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56.xml" ContentType="application/vnd.openxmlformats-officedocument.spreadsheetml.worksheet+xml"/>
  <Override PartName="/xl/worksheets/sheet55.xml" ContentType="application/vnd.openxmlformats-officedocument.spreadsheetml.worksheet+xml"/>
  <Override PartName="/xl/worksheets/sheet54.xml" ContentType="application/vnd.openxmlformats-officedocument.spreadsheetml.worksheet+xml"/>
  <Override PartName="/xl/worksheets/sheet53.xml" ContentType="application/vnd.openxmlformats-officedocument.spreadsheetml.worksheet+xml"/>
  <Override PartName="/xl/worksheets/sheet52.xml" ContentType="application/vnd.openxmlformats-officedocument.spreadsheetml.worksheet+xml"/>
  <Override PartName="/xl/worksheets/sheet51.xml" ContentType="application/vnd.openxmlformats-officedocument.spreadsheetml.worksheet+xml"/>
  <Override PartName="/xl/worksheets/sheet50.xml" ContentType="application/vnd.openxmlformats-officedocument.spreadsheetml.worksheet+xml"/>
  <Override PartName="/xl/worksheets/sheet46.xml" ContentType="application/vnd.openxmlformats-officedocument.spreadsheetml.worksheet+xml"/>
  <Override PartName="/xl/worksheets/sheet45.xml" ContentType="application/vnd.openxmlformats-officedocument.spreadsheetml.worksheet+xml"/>
  <Override PartName="/xl/worksheets/sheet44.xml" ContentType="application/vnd.openxmlformats-officedocument.spreadsheetml.worksheet+xml"/>
  <Override PartName="/xl/worksheets/sheet43.xml" ContentType="application/vnd.openxmlformats-officedocument.spreadsheetml.worksheet+xml"/>
  <Override PartName="/xl/worksheets/sheet42.xml" ContentType="application/vnd.openxmlformats-officedocument.spreadsheetml.worksheet+xml"/>
  <Override PartName="/xl/worksheets/sheet41.xml" ContentType="application/vnd.openxmlformats-officedocument.spreadsheetml.worksheet+xml"/>
  <Override PartName="/xl/worksheets/sheet40.xml" ContentType="application/vnd.openxmlformats-officedocument.spreadsheetml.worksheet+xml"/>
  <Override PartName="/xl/worksheets/sheet39.xml" ContentType="application/vnd.openxmlformats-officedocument.spreadsheetml.worksheet+xml"/>
  <Override PartName="/xl/worksheets/sheet38.xml" ContentType="application/vnd.openxmlformats-officedocument.spreadsheetml.worksheet+xml"/>
  <Override PartName="/xl/worksheets/sheet37.xml" ContentType="application/vnd.openxmlformats-officedocument.spreadsheetml.worksheet+xml"/>
  <Override PartName="/xl/worksheets/sheet36.xml" ContentType="application/vnd.openxmlformats-officedocument.spreadsheetml.worksheet+xml"/>
  <Override PartName="/xl/worksheets/sheet35.xml" ContentType="application/vnd.openxmlformats-officedocument.spreadsheetml.worksheet+xml"/>
  <Override PartName="/xl/worksheets/sheet34.xml" ContentType="application/vnd.openxmlformats-officedocument.spreadsheetml.worksheet+xml"/>
  <Override PartName="/xl/worksheets/sheet33.xml" ContentType="application/vnd.openxmlformats-officedocument.spreadsheetml.worksheet+xml"/>
  <Override PartName="/xl/worksheets/sheet19.xml" ContentType="application/vnd.openxmlformats-officedocument.spreadsheetml.worksheet+xml"/>
  <Override PartName="/xl/worksheets/sheet61.xml" ContentType="application/vnd.openxmlformats-officedocument.spreadsheetml.worksheet+xml"/>
  <Override PartName="/xl/worksheets/sheet2.xml" ContentType="application/vnd.openxmlformats-officedocument.spreadsheetml.worksheet+xml"/>
  <Override PartName="/xl/worksheets/sheet58.xml" ContentType="application/vnd.openxmlformats-officedocument.spreadsheetml.worksheet+xml"/>
  <Override PartName="/xl/worksheets/sheet60.xml" ContentType="application/vnd.openxmlformats-officedocument.spreadsheetml.worksheet+xml"/>
  <Override PartName="/xl/worksheets/sheet18.xml" ContentType="application/vnd.openxmlformats-officedocument.spreadsheetml.worksheet+xml"/>
  <Override PartName="/xl/worksheets/sheet1.xml" ContentType="application/vnd.openxmlformats-officedocument.spreadsheetml.worksheet+xml"/>
  <Override PartName="/xl/worksheets/sheet59.xml" ContentType="application/vnd.openxmlformats-officedocument.spreadsheetml.worksheet+xml"/>
  <Override PartName="/xl/worksheets/sheet25.xml" ContentType="application/vnd.openxmlformats-officedocument.spreadsheetml.worksheet+xml"/>
  <Override PartName="/xl/worksheets/sheet62.xml" ContentType="application/vnd.openxmlformats-officedocument.spreadsheetml.worksheet+xml"/>
  <Override PartName="/xl/worksheets/sheet3.xml" ContentType="application/vnd.openxmlformats-officedocument.spreadsheetml.worksheet+xml"/>
  <Override PartName="/xl/worksheets/sheet26.xml" ContentType="application/vnd.openxmlformats-officedocument.spreadsheetml.worksheet+xml"/>
  <Override PartName="/xl/worksheets/sheet63.xml" ContentType="application/vnd.openxmlformats-officedocument.spreadsheetml.worksheet+xml"/>
  <Override PartName="/xl/worksheets/sheet4.xml" ContentType="application/vnd.openxmlformats-officedocument.spreadsheetml.worksheet+xml"/>
  <Override PartName="/xl/worksheets/sheet27.xml" ContentType="application/vnd.openxmlformats-officedocument.spreadsheetml.worksheet+xml"/>
  <Override PartName="/xl/worksheets/sheet64.xml" ContentType="application/vnd.openxmlformats-officedocument.spreadsheetml.worksheet+xml"/>
  <Override PartName="/xl/worksheets/sheet28.xml" ContentType="application/vnd.openxmlformats-officedocument.spreadsheetml.worksheet+xml"/>
  <Override PartName="/xl/worksheets/sheet70.xml" ContentType="application/vnd.openxmlformats-officedocument.spreadsheetml.worksheet+xml"/>
  <Override PartName="/xl/worksheets/sheet65.xml" ContentType="application/vnd.openxmlformats-officedocument.spreadsheetml.worksheet+xml"/>
  <Override PartName="/xl/worksheets/sheet21.xml" ContentType="application/vnd.openxmlformats-officedocument.spreadsheetml.worksheet+xml"/>
  <Override PartName="/xl/worksheets/sheet6.xml" ContentType="application/vnd.openxmlformats-officedocument.spreadsheetml.worksheet+xml"/>
  <Override PartName="/xl/worksheets/sheet29.xml" ContentType="application/vnd.openxmlformats-officedocument.spreadsheetml.worksheet+xml"/>
  <Override PartName="/xl/worksheets/sheet71.xml" ContentType="application/vnd.openxmlformats-officedocument.spreadsheetml.worksheet+xml"/>
  <Override PartName="/xl/worksheets/sheet66.xml" ContentType="application/vnd.openxmlformats-officedocument.spreadsheetml.worksheet+xml"/>
  <Override PartName="/xl/worksheets/sheet22.xml" ContentType="application/vnd.openxmlformats-officedocument.spreadsheetml.worksheet+xml"/>
  <Override PartName="/xl/worksheets/sheet7.xml" ContentType="application/vnd.openxmlformats-officedocument.spreadsheetml.worksheet+xml"/>
  <Override PartName="/xl/worksheets/sheet79.xml" ContentType="application/vnd.openxmlformats-officedocument.spreadsheetml.worksheet+xml"/>
  <Override PartName="/xl/worksheets/sheet67.xml" ContentType="application/vnd.openxmlformats-officedocument.spreadsheetml.worksheet+xml"/>
  <Override PartName="/xl/worksheets/sheet30.xml" ContentType="application/vnd.openxmlformats-officedocument.spreadsheetml.worksheet+xml"/>
  <Override PartName="/xl/worksheets/sheet78.xml" ContentType="application/vnd.openxmlformats-officedocument.spreadsheetml.worksheet+xml"/>
  <Override PartName="/xl/worksheets/sheet77.xml" ContentType="application/vnd.openxmlformats-officedocument.spreadsheetml.worksheet+xml"/>
  <Override PartName="/xl/worksheets/sheet76.xml" ContentType="application/vnd.openxmlformats-officedocument.spreadsheetml.worksheet+xml"/>
  <Override PartName="/xl/worksheets/sheet75.xml" ContentType="application/vnd.openxmlformats-officedocument.spreadsheetml.worksheet+xml"/>
  <Override PartName="/xl/worksheets/sheet74.xml" ContentType="application/vnd.openxmlformats-officedocument.spreadsheetml.worksheet+xml"/>
  <Override PartName="/xl/worksheets/sheet73.xml" ContentType="application/vnd.openxmlformats-officedocument.spreadsheetml.worksheet+xml"/>
  <Override PartName="/xl/worksheets/sheet72.xml" ContentType="application/vnd.openxmlformats-officedocument.spreadsheetml.worksheet+xml"/>
  <Override PartName="/xl/worksheets/sheet69.xml" ContentType="application/vnd.openxmlformats-officedocument.spreadsheetml.worksheet+xml"/>
  <Override PartName="/xl/worksheets/sheet32.xml" ContentType="application/vnd.openxmlformats-officedocument.spreadsheetml.worksheet+xml"/>
  <Override PartName="/xl/worksheets/sheet68.xml" ContentType="application/vnd.openxmlformats-officedocument.spreadsheetml.worksheet+xml"/>
  <Override PartName="/xl/worksheets/sheet31.xml" ContentType="application/vnd.openxmlformats-officedocument.spreadsheetml.worksheet+xml"/>
  <Override PartName="/xl/worksheets/sheet57.xml" ContentType="application/vnd.openxmlformats-officedocument.spreadsheetml.worksheet+xml"/>
  <Override PartName="/xl/worksheets/sheet5.xml" ContentType="application/vnd.openxmlformats-officedocument.spreadsheetml.worksheet+xml"/>
  <Override PartName="/xl/worksheets/sheet20.xml" ContentType="application/vnd.openxmlformats-officedocument.spreadsheetml.worksheet+xml"/>
  <Override PartName="/xl/worksheets/sheet17.xml" ContentType="application/vnd.openxmlformats-officedocument.spreadsheetml.worksheet+xml"/>
  <Override PartName="/xl/worksheets/sheet16.xml" ContentType="application/vnd.openxmlformats-officedocument.spreadsheetml.worksheet+xml"/>
  <Override PartName="/xl/worksheets/sheet80.xml" ContentType="application/vnd.openxmlformats-officedocument.spreadsheetml.worksheet+xml"/>
  <Override PartName="/xl/worksheets/sheet15.xml" ContentType="application/vnd.openxmlformats-officedocument.spreadsheetml.worksheet+xml"/>
  <Override PartName="/xl/worksheets/sheet12.xml" ContentType="application/vnd.openxmlformats-officedocument.spreadsheetml.worksheet+xml"/>
  <Override PartName="/xl/worksheets/sheet49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23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24.xml" ContentType="application/vnd.openxmlformats-officedocument.spreadsheetml.worksheet+xml"/>
  <Override PartName="/xl/worksheets/sheet10.xml" ContentType="application/vnd.openxmlformats-officedocument.spreadsheetml.worksheet+xml"/>
  <Override PartName="/xl/worksheets/sheet47.xml" ContentType="application/vnd.openxmlformats-officedocument.spreadsheetml.worksheet+xml"/>
  <Override PartName="/xl/worksheets/sheet11.xml" ContentType="application/vnd.openxmlformats-officedocument.spreadsheetml.worksheet+xml"/>
  <Override PartName="/xl/worksheets/sheet48.xml" ContentType="application/vnd.openxmlformats-officedocument.spreadsheetml.worksheet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38"/>
  </bookViews>
  <sheets>
    <sheet name="ИУК1-11Б" sheetId="1" state="visible" r:id="rId4"/>
    <sheet name="ИУК1-12Б" sheetId="2" state="visible" r:id="rId5"/>
    <sheet name="ИУК1-19Б" sheetId="3" state="visible" r:id="rId6"/>
    <sheet name="ИУК1-31Б" sheetId="4" state="visible" r:id="rId7"/>
    <sheet name="ИУК1-32Б" sheetId="5" state="visible" r:id="rId8"/>
    <sheet name="ИУК1-39Б" sheetId="6" state="visible" r:id="rId9"/>
    <sheet name="ИУК1-51Б" sheetId="7" state="visible" r:id="rId10"/>
    <sheet name="ИУК1-52Б" sheetId="8" state="visible" r:id="rId11"/>
    <sheet name="ИУК1-71Б" sheetId="9" state="visible" r:id="rId12"/>
    <sheet name="ИУК1-72Б" sheetId="10" state="visible" r:id="rId13"/>
    <sheet name="ИУК1-73Б" sheetId="11" state="visible" r:id="rId14"/>
    <sheet name="ИУК1-11М" sheetId="12" state="visible" r:id="rId15"/>
    <sheet name="ИУК1-31М" sheetId="13" state="visible" r:id="rId16"/>
    <sheet name="ИУК2-11Б" sheetId="14" state="visible" r:id="rId17"/>
    <sheet name="ИУК2-12Б" sheetId="15" state="visible" r:id="rId18"/>
    <sheet name="ИУК2-13Б" sheetId="16" state="visible" r:id="rId19"/>
    <sheet name="ИУК2-31Б" sheetId="17" state="visible" r:id="rId20"/>
    <sheet name="ИУК2-32Б" sheetId="18" state="visible" r:id="rId21"/>
    <sheet name="ИУК2-33Б" sheetId="19" state="visible" r:id="rId22"/>
    <sheet name="ИУК2-51Б" sheetId="20" state="visible" r:id="rId23"/>
    <sheet name="ИУК2-52Б" sheetId="21" state="visible" r:id="rId24"/>
    <sheet name="ИУК2-71Б" sheetId="22" state="visible" r:id="rId25"/>
    <sheet name="ИУК2-72Б" sheetId="23" state="visible" r:id="rId26"/>
    <sheet name="ИУК2-11М" sheetId="24" state="visible" r:id="rId27"/>
    <sheet name="ИУК2-31М" sheetId="25" state="visible" r:id="rId28"/>
    <sheet name="ИУК3-11Б" sheetId="26" state="visible" r:id="rId29"/>
    <sheet name="ИУК3-12Б" sheetId="27" state="visible" r:id="rId30"/>
    <sheet name="ИУК3-31Б" sheetId="28" state="visible" r:id="rId31"/>
    <sheet name="ИУК3-32Б" sheetId="29" state="visible" r:id="rId32"/>
    <sheet name="ИУК3-51Б" sheetId="30" state="visible" r:id="rId33"/>
    <sheet name="ИУК3-52Б" sheetId="31" state="visible" r:id="rId34"/>
    <sheet name="ИУК3-71Б" sheetId="32" state="visible" r:id="rId35"/>
    <sheet name="ИУК3-72Б" sheetId="33" state="visible" r:id="rId36"/>
    <sheet name="ИУК3-11М" sheetId="34" state="visible" r:id="rId37"/>
    <sheet name="ИУК3-31М" sheetId="35" state="visible" r:id="rId38"/>
    <sheet name="ИУК4-11Б" sheetId="36" state="visible" r:id="rId39"/>
    <sheet name="ИУК4-12Б" sheetId="37" state="visible" r:id="rId40"/>
    <sheet name="ИУК4-13Б" sheetId="38" state="visible" r:id="rId41"/>
    <sheet name="ИУК4-31Б" sheetId="39" state="visible" r:id="rId42"/>
    <sheet name="ИУК4-32Б" sheetId="40" state="visible" r:id="rId43"/>
    <sheet name="ИУК4-33Б" sheetId="41" state="visible" r:id="rId44"/>
    <sheet name="ИУК4-51Б" sheetId="42" state="visible" r:id="rId45"/>
    <sheet name="ИУК4-52Б" sheetId="43" state="visible" r:id="rId46"/>
    <sheet name="ИУК4-71Б" sheetId="44" state="visible" r:id="rId47"/>
    <sheet name="ИУК4-72Б" sheetId="45" state="visible" r:id="rId48"/>
    <sheet name="ИУК4-11М" sheetId="46" state="visible" r:id="rId49"/>
    <sheet name="ИУК4-31М" sheetId="47" state="visible" r:id="rId50"/>
    <sheet name="ИУК5-11Б" sheetId="48" state="visible" r:id="rId51"/>
    <sheet name="ИУК5-12Б" sheetId="49" state="visible" r:id="rId52"/>
    <sheet name="ИУК5-13Б" sheetId="50" state="visible" r:id="rId53"/>
    <sheet name="ИУК5-31Б" sheetId="51" state="visible" r:id="rId54"/>
    <sheet name="ИУК5-32Б" sheetId="52" state="visible" r:id="rId55"/>
    <sheet name="ИУК5-33Б" sheetId="53" state="visible" r:id="rId56"/>
    <sheet name="ИУК5-51Б" sheetId="54" state="visible" r:id="rId57"/>
    <sheet name="ИУК5-52Б" sheetId="55" state="visible" r:id="rId58"/>
    <sheet name="ИУК5-71Б" sheetId="56" state="visible" r:id="rId59"/>
    <sheet name="ИУК5-72Б" sheetId="57" state="visible" r:id="rId60"/>
    <sheet name="ИУК5-11М" sheetId="58" state="visible" r:id="rId61"/>
    <sheet name="ИУК5-31М" sheetId="59" state="visible" r:id="rId62"/>
    <sheet name="ИУК6-11" sheetId="60" state="visible" r:id="rId63"/>
    <sheet name="ИУК6-13" sheetId="61" state="visible" r:id="rId64"/>
    <sheet name="ИУК6-19" sheetId="62" state="visible" r:id="rId65"/>
    <sheet name="ИУК6-31" sheetId="63" state="visible" r:id="rId66"/>
    <sheet name="ИУК6-32" sheetId="64" state="visible" r:id="rId67"/>
    <sheet name="ИУК6-39" sheetId="65" state="visible" r:id="rId68"/>
    <sheet name="ИУК6-51" sheetId="66" state="visible" r:id="rId69"/>
    <sheet name="ИУК6-59" sheetId="67" state="visible" r:id="rId70"/>
    <sheet name="ИУК6-71" sheetId="68" state="visible" r:id="rId71"/>
    <sheet name="ИУК6-91" sheetId="69" state="visible" r:id="rId72"/>
    <sheet name="ИУК6-99" sheetId="70" state="visible" r:id="rId73"/>
    <sheet name="ИУК6-111" sheetId="71" state="visible" r:id="rId74"/>
    <sheet name="ИУК7-11Б" sheetId="72" state="visible" r:id="rId75"/>
    <sheet name="ИУК7-31Б" sheetId="73" state="visible" r:id="rId76"/>
    <sheet name="ИУК7-51Б" sheetId="74" state="visible" r:id="rId77"/>
    <sheet name="ИУК7-71Б" sheetId="75" state="visible" r:id="rId78"/>
    <sheet name="ИУК7-11М" sheetId="76" state="visible" r:id="rId79"/>
    <sheet name="ИУК7-31М" sheetId="77" state="visible" r:id="rId80"/>
    <sheet name="ИУК11-11Б" sheetId="78" state="visible" r:id="rId81"/>
    <sheet name="ИУК11-31М" sheetId="79" state="visible" r:id="rId82"/>
    <sheet name="set" sheetId="80" state="visible" r:id="rId83"/>
  </sheets>
  <definedNames>
    <definedName function="false" hidden="false" name="ep_disc" vbProcedure="false">#REF!</definedName>
    <definedName function="false" hidden="false" name="ep_fio" vbProcedure="false">#REF!</definedName>
    <definedName function="false" hidden="false" name="header" vbProcedure="false">#REF!</definedName>
    <definedName function="false" hidden="false" localSheetId="13" name="ep_disc" vbProcedure="false">'иук2-11б'!#ref!</definedName>
    <definedName function="false" hidden="false" localSheetId="13" name="ep_fio" vbProcedure="false">'иук2-11б'!#ref!</definedName>
    <definedName function="false" hidden="false" localSheetId="13" name="header" vbProcedure="false">'иук2-11б'!#ref!</definedName>
    <definedName function="false" hidden="false" localSheetId="14" name="ep_disc" vbProcedure="false">'иук2-11б'!#ref!</definedName>
    <definedName function="false" hidden="false" localSheetId="14" name="ep_fio" vbProcedure="false">'иук2-11б'!#ref!</definedName>
    <definedName function="false" hidden="false" localSheetId="14" name="header" vbProcedure="false">'иук2-11б'!#ref!</definedName>
    <definedName function="false" hidden="false" localSheetId="15" name="ep_disc" vbProcedure="false">'иук2-11б'!#ref!</definedName>
    <definedName function="false" hidden="false" localSheetId="15" name="ep_fio" vbProcedure="false">'иук2-11б'!#ref!</definedName>
    <definedName function="false" hidden="false" localSheetId="15" name="header" vbProcedure="false">'иук2-11б'!#ref!</definedName>
    <definedName function="false" hidden="false" localSheetId="16" name="ep_disc" vbProcedure="false">#REF!</definedName>
    <definedName function="false" hidden="false" localSheetId="16" name="ep_fio" vbProcedure="false">#REF!</definedName>
    <definedName function="false" hidden="false" localSheetId="16" name="header" vbProcedure="false">#REF!</definedName>
    <definedName function="false" hidden="false" localSheetId="22" name="_GoBack" vbProcedure="false">'ИУК2-72Б'!$B$50</definedName>
    <definedName function="false" hidden="false" localSheetId="24" name="ep_disc" vbProcedure="false">#REF!</definedName>
    <definedName function="false" hidden="false" localSheetId="24" name="ep_fio" vbProcedure="false">#REF!</definedName>
    <definedName function="false" hidden="false" localSheetId="24" name="header" vbProcedure="false">#REF!</definedName>
    <definedName function="false" hidden="false" localSheetId="46" name="ep_disc" vbProcedure="false">#REF!</definedName>
    <definedName function="false" hidden="false" localSheetId="46" name="ep_fio" vbProcedure="false">#REF!</definedName>
    <definedName function="false" hidden="false" localSheetId="46" name="header" vbProcedure="false">#REF!</definedName>
    <definedName function="false" hidden="false" localSheetId="58" name="ep_disc" vbProcedure="false">#REF!</definedName>
    <definedName function="false" hidden="false" localSheetId="58" name="ep_fio" vbProcedure="false">#REF!</definedName>
    <definedName function="false" hidden="false" localSheetId="58" name="header" vbProcedure="false">#REF!</definedName>
    <definedName function="false" hidden="false" localSheetId="60" name="ep_disc" vbProcedure="false">#REF!</definedName>
    <definedName function="false" hidden="false" localSheetId="60" name="ep_fio" vbProcedure="false">#REF!</definedName>
    <definedName function="false" hidden="false" localSheetId="60" name="header" vbProcedure="false">#REF!</definedName>
    <definedName function="false" hidden="false" localSheetId="76" name="ep_disc" vbProcedure="false">#REF!</definedName>
    <definedName function="false" hidden="false" localSheetId="76" name="ep_fio" vbProcedure="false">#REF!</definedName>
    <definedName function="false" hidden="false" localSheetId="76" name="header" vbProcedure="false">#REF!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&lt;анонимный&gt;</author>
  </authors>
  <commentList>
    <comment ref="I5" authorId="0">
      <text>
        <r>
          <rPr>
            <sz val="10"/>
            <rFont val="Arial"/>
            <family val="2"/>
          </rPr>
          <t xml:space="preserve">Матвей Кузин:
</t>
        </r>
      </text>
    </comment>
  </commentList>
</comments>
</file>

<file path=xl/sharedStrings.xml><?xml version="1.0" encoding="utf-8"?>
<sst xmlns="http://schemas.openxmlformats.org/spreadsheetml/2006/main" count="7397" uniqueCount="3391">
  <si>
    <t xml:space="preserve">У Ч Е Б Н Ы Й   С М О Т Р №</t>
  </si>
  <si>
    <t xml:space="preserve">Срок сдачи учебного смотра</t>
  </si>
  <si>
    <t xml:space="preserve">№пп</t>
  </si>
  <si>
    <t xml:space="preserve">№лд</t>
  </si>
  <si>
    <t xml:space="preserve">ФИО</t>
  </si>
  <si>
    <t xml:space="preserve">Количество пропущенных часов</t>
  </si>
  <si>
    <t xml:space="preserve">ЭКЗАМЕНЫ</t>
  </si>
  <si>
    <t xml:space="preserve">ЗАЧЕТЫ</t>
  </si>
  <si>
    <t xml:space="preserve">Средний балл</t>
  </si>
  <si>
    <t xml:space="preserve">Успеваемость</t>
  </si>
  <si>
    <t xml:space="preserve">Посещаемость</t>
  </si>
  <si>
    <t xml:space="preserve">Статус</t>
  </si>
  <si>
    <t xml:space="preserve">АК задолженности</t>
  </si>
  <si>
    <t xml:space="preserve">Аналитическая геометрия и линейная алгебра</t>
  </si>
  <si>
    <t xml:space="preserve">Информатика</t>
  </si>
  <si>
    <t xml:space="preserve">Математический анализ</t>
  </si>
  <si>
    <t xml:space="preserve">Начертательная геометрия</t>
  </si>
  <si>
    <t xml:space="preserve">Инженерная графика</t>
  </si>
  <si>
    <t xml:space="preserve">Иностранный язык</t>
  </si>
  <si>
    <t xml:space="preserve">Общая химия</t>
  </si>
  <si>
    <t xml:space="preserve">Учебно-технологический практикум</t>
  </si>
  <si>
    <t xml:space="preserve"> Физическая культура и спорт</t>
  </si>
  <si>
    <t xml:space="preserve">МК10
144 ч. (4 зе)</t>
  </si>
  <si>
    <t xml:space="preserve">ИУК3
216 ч. (6 зе)</t>
  </si>
  <si>
    <t xml:space="preserve">МК10
180 ч. (5 зе)</t>
  </si>
  <si>
    <t xml:space="preserve">МК4
180 ч. (5 зе)</t>
  </si>
  <si>
    <t xml:space="preserve">МК4
72 ч. (2 зе)</t>
  </si>
  <si>
    <t xml:space="preserve">ИУК9
72 ч. (2 зе)</t>
  </si>
  <si>
    <t xml:space="preserve">ИУК3
72 ч. (2 зе)</t>
  </si>
  <si>
    <t xml:space="preserve">ИУК1
72 ч. (2 зе)</t>
  </si>
  <si>
    <t xml:space="preserve">ИУК10
72 ч. (2 зе)</t>
  </si>
  <si>
    <t xml:space="preserve">24КИ050</t>
  </si>
  <si>
    <t xml:space="preserve">Бараненков С.А.</t>
  </si>
  <si>
    <t xml:space="preserve">24КИ053</t>
  </si>
  <si>
    <t xml:space="preserve">Белокуров М.С.</t>
  </si>
  <si>
    <t xml:space="preserve">24КИ073</t>
  </si>
  <si>
    <t xml:space="preserve">Вишняков Г.В.</t>
  </si>
  <si>
    <t xml:space="preserve">24КИ106</t>
  </si>
  <si>
    <t xml:space="preserve">Даюров П.Ю.</t>
  </si>
  <si>
    <t xml:space="preserve">24КИ004</t>
  </si>
  <si>
    <t xml:space="preserve">Добкес А.В.</t>
  </si>
  <si>
    <t xml:space="preserve">24КИ111</t>
  </si>
  <si>
    <t xml:space="preserve">Доля Т.Н.</t>
  </si>
  <si>
    <t xml:space="preserve">24КИ123</t>
  </si>
  <si>
    <t xml:space="preserve">Зайцев Г.</t>
  </si>
  <si>
    <t xml:space="preserve">24КИ144</t>
  </si>
  <si>
    <t xml:space="preserve">Качнов Е.А.</t>
  </si>
  <si>
    <t xml:space="preserve">24КИ149</t>
  </si>
  <si>
    <t xml:space="preserve">Кирьянов М.С.</t>
  </si>
  <si>
    <t xml:space="preserve">23КИ124</t>
  </si>
  <si>
    <t xml:space="preserve">Кочубеев Я.В.</t>
  </si>
  <si>
    <t xml:space="preserve">24КИ232</t>
  </si>
  <si>
    <t xml:space="preserve">Никулин М.А.</t>
  </si>
  <si>
    <t xml:space="preserve">24КИ241</t>
  </si>
  <si>
    <t xml:space="preserve">Павладзе А.В.</t>
  </si>
  <si>
    <t xml:space="preserve">22КИ214</t>
  </si>
  <si>
    <t xml:space="preserve">Падий Д.В.</t>
  </si>
  <si>
    <t xml:space="preserve">24КИ245</t>
  </si>
  <si>
    <t xml:space="preserve">Пашутин М.М.</t>
  </si>
  <si>
    <t xml:space="preserve">23КИ218</t>
  </si>
  <si>
    <t xml:space="preserve">Савосин А.А.</t>
  </si>
  <si>
    <t xml:space="preserve">24КИ286</t>
  </si>
  <si>
    <t xml:space="preserve">Смехов В.М.</t>
  </si>
  <si>
    <t xml:space="preserve">24КИ306</t>
  </si>
  <si>
    <t xml:space="preserve">Томилин Н.Е.</t>
  </si>
  <si>
    <t xml:space="preserve">24КИ318</t>
  </si>
  <si>
    <t xml:space="preserve">Устинов И.В.</t>
  </si>
  <si>
    <t xml:space="preserve">24КИ354</t>
  </si>
  <si>
    <t xml:space="preserve">Фоминов Н.В.</t>
  </si>
  <si>
    <t xml:space="preserve">24КИ329</t>
  </si>
  <si>
    <t xml:space="preserve">Хлопенов И.А.</t>
  </si>
  <si>
    <t xml:space="preserve">24КИ026</t>
  </si>
  <si>
    <t xml:space="preserve">Черников Е.В.</t>
  </si>
  <si>
    <t xml:space="preserve">24КИ028</t>
  </si>
  <si>
    <t xml:space="preserve">Шаповалова О.А.</t>
  </si>
  <si>
    <t xml:space="preserve">24КИ344</t>
  </si>
  <si>
    <t xml:space="preserve">Шихонцов Д.Е.</t>
  </si>
  <si>
    <t xml:space="preserve">Средний балл по дисциплине</t>
  </si>
  <si>
    <t xml:space="preserve">Успеваемость по дисциплине%</t>
  </si>
  <si>
    <t xml:space="preserve">Посещаемость ___________</t>
  </si>
  <si>
    <t xml:space="preserve">Всего в группе</t>
  </si>
  <si>
    <t xml:space="preserve">Дисциплина</t>
  </si>
  <si>
    <t xml:space="preserve">Ф.И.О. преподавателя</t>
  </si>
  <si>
    <t xml:space="preserve">Успевающие</t>
  </si>
  <si>
    <t xml:space="preserve">Неуспевающие</t>
  </si>
  <si>
    <t xml:space="preserve">Благодарность</t>
  </si>
  <si>
    <t xml:space="preserve">Нормально</t>
  </si>
  <si>
    <t xml:space="preserve">Предупреждение</t>
  </si>
  <si>
    <t xml:space="preserve">Выговор</t>
  </si>
  <si>
    <t xml:space="preserve">Староста: </t>
  </si>
  <si>
    <t xml:space="preserve">Фоминов Николай Владимирович</t>
  </si>
  <si>
    <t xml:space="preserve">Куратор: ______________ </t>
  </si>
  <si>
    <t xml:space="preserve">Артеменко Ольга Александровна</t>
  </si>
  <si>
    <t xml:space="preserve">Оценка на дату смотра:</t>
  </si>
  <si>
    <t xml:space="preserve">0 - не приступил к выполнению учебного плана</t>
  </si>
  <si>
    <t xml:space="preserve">1 - систематические пропуски, невыполнение учебного плана</t>
  </si>
  <si>
    <t xml:space="preserve">2 - невыполнение учебного плана</t>
  </si>
  <si>
    <t xml:space="preserve">3 - выполнение учебного плана с серьезными замечаниями</t>
  </si>
  <si>
    <t xml:space="preserve">4 - выполнение учебного плана с незначительными замечаниями</t>
  </si>
  <si>
    <t xml:space="preserve">5 - выполнение учебного плана</t>
  </si>
  <si>
    <t xml:space="preserve">24КИ037</t>
  </si>
  <si>
    <t xml:space="preserve">Аксенов Г.С.</t>
  </si>
  <si>
    <t xml:space="preserve">24КИ089</t>
  </si>
  <si>
    <t xml:space="preserve">Головченко С.А.</t>
  </si>
  <si>
    <t xml:space="preserve">24КИ094</t>
  </si>
  <si>
    <t xml:space="preserve">Горелов А.А.</t>
  </si>
  <si>
    <t xml:space="preserve">24КИ097</t>
  </si>
  <si>
    <t xml:space="preserve">Грабарь А.Л.</t>
  </si>
  <si>
    <t xml:space="preserve">24КИ104</t>
  </si>
  <si>
    <t xml:space="preserve">Данилюк К.П.</t>
  </si>
  <si>
    <t xml:space="preserve">24КИ114</t>
  </si>
  <si>
    <t xml:space="preserve">Дрожжин П.Ю.</t>
  </si>
  <si>
    <t xml:space="preserve">24КИ127</t>
  </si>
  <si>
    <t xml:space="preserve">Зуева С.А.</t>
  </si>
  <si>
    <t xml:space="preserve">24КИ129</t>
  </si>
  <si>
    <t xml:space="preserve">Иванов В.М.</t>
  </si>
  <si>
    <t xml:space="preserve">24КИ133</t>
  </si>
  <si>
    <t xml:space="preserve">Ильин А.Д.</t>
  </si>
  <si>
    <t xml:space="preserve">24КИ155</t>
  </si>
  <si>
    <t xml:space="preserve">Колесников З.П.</t>
  </si>
  <si>
    <t xml:space="preserve">24КИ156</t>
  </si>
  <si>
    <t xml:space="preserve">Колоболоцкий А.В.</t>
  </si>
  <si>
    <t xml:space="preserve">24КИ353</t>
  </si>
  <si>
    <t xml:space="preserve">Мурашов М.С.</t>
  </si>
  <si>
    <t xml:space="preserve">24КИ254</t>
  </si>
  <si>
    <t xml:space="preserve">Прохоров А.В.</t>
  </si>
  <si>
    <t xml:space="preserve">24КИ257</t>
  </si>
  <si>
    <t xml:space="preserve">Рассолов А.М.</t>
  </si>
  <si>
    <t xml:space="preserve">24КИ261</t>
  </si>
  <si>
    <t xml:space="preserve">Рогов Г.М.</t>
  </si>
  <si>
    <t xml:space="preserve">24КИ263</t>
  </si>
  <si>
    <t xml:space="preserve">Рожков А.И.</t>
  </si>
  <si>
    <t xml:space="preserve">23КИ221</t>
  </si>
  <si>
    <t xml:space="preserve">Сапронов А.В.</t>
  </si>
  <si>
    <t xml:space="preserve">24КИ284</t>
  </si>
  <si>
    <t xml:space="preserve">Скворцов Е.А.</t>
  </si>
  <si>
    <t xml:space="preserve">24КИ300</t>
  </si>
  <si>
    <t xml:space="preserve">Тарасов И.А.</t>
  </si>
  <si>
    <t xml:space="preserve">24КИ341</t>
  </si>
  <si>
    <t xml:space="preserve">Шеломов А.Д.</t>
  </si>
  <si>
    <t xml:space="preserve">Староста:  </t>
  </si>
  <si>
    <t xml:space="preserve">Зуева София Александровна</t>
  </si>
  <si>
    <t xml:space="preserve">Крыленкина Антонина Вячеславовна</t>
  </si>
  <si>
    <t xml:space="preserve"> Иностранный язык</t>
  </si>
  <si>
    <t xml:space="preserve"> История России</t>
  </si>
  <si>
    <t xml:space="preserve"> Общевоинские уставы Вооруженных Сил
Российской Федерации</t>
  </si>
  <si>
    <t xml:space="preserve"> Радиационная, химическая и биологическая защита</t>
  </si>
  <si>
    <t xml:space="preserve">Физическая культура и спорт</t>
  </si>
  <si>
    <t xml:space="preserve">МК4
108 ч. (3 зе)</t>
  </si>
  <si>
    <t xml:space="preserve">ИУК8
72 ч. (2 зе)</t>
  </si>
  <si>
    <t xml:space="preserve">ИУК11
72 ч. (2 зе)</t>
  </si>
  <si>
    <t xml:space="preserve">КФ7
72 ч. (2 зе)</t>
  </si>
  <si>
    <t xml:space="preserve">24КИ001</t>
  </si>
  <si>
    <t xml:space="preserve">Бурлаков А.Н.</t>
  </si>
  <si>
    <t xml:space="preserve">24КИ006</t>
  </si>
  <si>
    <t xml:space="preserve">Ивкин К.М.</t>
  </si>
  <si>
    <t xml:space="preserve">24КИ016</t>
  </si>
  <si>
    <t xml:space="preserve">Пекшин А.В.</t>
  </si>
  <si>
    <t xml:space="preserve">24КИ021</t>
  </si>
  <si>
    <t xml:space="preserve">Суворов А.В.</t>
  </si>
  <si>
    <t xml:space="preserve">24КИ029</t>
  </si>
  <si>
    <t xml:space="preserve">Шолохов И.В.</t>
  </si>
  <si>
    <t xml:space="preserve">Суворов Александр Вячеславович</t>
  </si>
  <si>
    <t xml:space="preserve">Волков Алексей Владимирович</t>
  </si>
  <si>
    <t xml:space="preserve"> Основы конструирования приборов
</t>
  </si>
  <si>
    <t xml:space="preserve"> Физика </t>
  </si>
  <si>
    <t xml:space="preserve"> Функциональная логика и теория алгоритмов</t>
  </si>
  <si>
    <t xml:space="preserve"> Электротехника</t>
  </si>
  <si>
    <t xml:space="preserve"> Дискретная математика </t>
  </si>
  <si>
    <t xml:space="preserve"> Технологическая подготовка производствав</t>
  </si>
  <si>
    <t xml:space="preserve"> Философия</t>
  </si>
  <si>
    <t xml:space="preserve">ИУК1
144 ч. (4 зе)</t>
  </si>
  <si>
    <t xml:space="preserve">МК11
144 ч. (4 зе)</t>
  </si>
  <si>
    <t xml:space="preserve">МК10
108 ч. (3 зе)</t>
  </si>
  <si>
    <t xml:space="preserve">ИУК1
108 ч. (3 зе)</t>
  </si>
  <si>
    <t xml:space="preserve">ИУК8
108 ч. (3 зе)</t>
  </si>
  <si>
    <t xml:space="preserve">ИУК10
0 ч. (0 зе)</t>
  </si>
  <si>
    <t xml:space="preserve">23КИ025</t>
  </si>
  <si>
    <t xml:space="preserve">Алтаев А.А.</t>
  </si>
  <si>
    <t xml:space="preserve">23КИ047</t>
  </si>
  <si>
    <t xml:space="preserve">Борисов Д.А.</t>
  </si>
  <si>
    <t xml:space="preserve">22КИ043</t>
  </si>
  <si>
    <t xml:space="preserve">Бузюкин М.А.</t>
  </si>
  <si>
    <t xml:space="preserve">22КИ056</t>
  </si>
  <si>
    <t xml:space="preserve">Воробьев Р.С.</t>
  </si>
  <si>
    <t xml:space="preserve">23КИ058</t>
  </si>
  <si>
    <t xml:space="preserve">Гац А.С.</t>
  </si>
  <si>
    <t xml:space="preserve">23КИ077</t>
  </si>
  <si>
    <t xml:space="preserve">Доренский И.А.</t>
  </si>
  <si>
    <t xml:space="preserve">23КИ080</t>
  </si>
  <si>
    <t xml:space="preserve">Емашкин С.В.</t>
  </si>
  <si>
    <t xml:space="preserve">23КИ095</t>
  </si>
  <si>
    <t xml:space="preserve">Игнатьев В.В.</t>
  </si>
  <si>
    <t xml:space="preserve">22КИ126</t>
  </si>
  <si>
    <t xml:space="preserve">Иринархов В.В.</t>
  </si>
  <si>
    <t xml:space="preserve">22КИ133</t>
  </si>
  <si>
    <t xml:space="preserve">Каратаев И.К.</t>
  </si>
  <si>
    <t xml:space="preserve">23КИ116</t>
  </si>
  <si>
    <t xml:space="preserve">Комаров М.С.</t>
  </si>
  <si>
    <t xml:space="preserve">23КИ131</t>
  </si>
  <si>
    <t xml:space="preserve">Кузнецов М.Р.</t>
  </si>
  <si>
    <t xml:space="preserve">21КИ147</t>
  </si>
  <si>
    <t xml:space="preserve">Куропатов С.И.</t>
  </si>
  <si>
    <t xml:space="preserve">22КИ179</t>
  </si>
  <si>
    <t xml:space="preserve">Максимов Н.В.</t>
  </si>
  <si>
    <t xml:space="preserve">22КИ199</t>
  </si>
  <si>
    <t xml:space="preserve">Наумов И.Ю.</t>
  </si>
  <si>
    <t xml:space="preserve">23КИ183</t>
  </si>
  <si>
    <t xml:space="preserve">Павельев М.А.</t>
  </si>
  <si>
    <t xml:space="preserve">23КИ196</t>
  </si>
  <si>
    <t xml:space="preserve">Пономарев Д.Н.</t>
  </si>
  <si>
    <t xml:space="preserve">23КИ199</t>
  </si>
  <si>
    <t xml:space="preserve">Прилепин Е.О.</t>
  </si>
  <si>
    <t xml:space="preserve">23КИ207</t>
  </si>
  <si>
    <t xml:space="preserve">Радченко Д.В.</t>
  </si>
  <si>
    <t xml:space="preserve">23КИ241</t>
  </si>
  <si>
    <t xml:space="preserve">Сухотинова П.С.</t>
  </si>
  <si>
    <t xml:space="preserve">23КИ243</t>
  </si>
  <si>
    <t xml:space="preserve">Таранков К.Д.</t>
  </si>
  <si>
    <t xml:space="preserve">21КИ023</t>
  </si>
  <si>
    <t xml:space="preserve">Фокин М.В.</t>
  </si>
  <si>
    <t xml:space="preserve">22КИ278</t>
  </si>
  <si>
    <t xml:space="preserve">Хабаров И.Е.</t>
  </si>
  <si>
    <t xml:space="preserve">21КИ257</t>
  </si>
  <si>
    <t xml:space="preserve">Хасибзянов Э.Э.</t>
  </si>
  <si>
    <t xml:space="preserve">23КИ266</t>
  </si>
  <si>
    <t xml:space="preserve">Черников Д.А.</t>
  </si>
  <si>
    <t xml:space="preserve">23КИ015</t>
  </si>
  <si>
    <t xml:space="preserve">Шевцов А.А.</t>
  </si>
  <si>
    <t xml:space="preserve">Максимов Никита Владимирович</t>
  </si>
  <si>
    <t xml:space="preserve">Куратор: _____________ </t>
  </si>
  <si>
    <t xml:space="preserve">Тунанова Надежда Александровна</t>
  </si>
  <si>
    <t xml:space="preserve">22КИ285</t>
  </si>
  <si>
    <t xml:space="preserve">Беляков Д.И.</t>
  </si>
  <si>
    <t xml:space="preserve">22КИ044</t>
  </si>
  <si>
    <t xml:space="preserve">Булатов Р.М.</t>
  </si>
  <si>
    <t xml:space="preserve">23КИ060</t>
  </si>
  <si>
    <t xml:space="preserve">Голенева А.А.</t>
  </si>
  <si>
    <t xml:space="preserve">23КИ064</t>
  </si>
  <si>
    <t xml:space="preserve">Горланов И.Л.</t>
  </si>
  <si>
    <t xml:space="preserve">23КИ067</t>
  </si>
  <si>
    <t xml:space="preserve">Гудков А.И.</t>
  </si>
  <si>
    <t xml:space="preserve">23КИ072</t>
  </si>
  <si>
    <t xml:space="preserve">Дежников Д.С.</t>
  </si>
  <si>
    <t xml:space="preserve">23КИ088</t>
  </si>
  <si>
    <t xml:space="preserve">Зимовец Д.О.</t>
  </si>
  <si>
    <t xml:space="preserve">23КИ092</t>
  </si>
  <si>
    <t xml:space="preserve">Ивашкина К.В.</t>
  </si>
  <si>
    <t xml:space="preserve">23КИ096</t>
  </si>
  <si>
    <t xml:space="preserve">Ионкин И.В.</t>
  </si>
  <si>
    <t xml:space="preserve">23КИ108</t>
  </si>
  <si>
    <t xml:space="preserve">Кирюхин А.В.</t>
  </si>
  <si>
    <t xml:space="preserve">23КИ117</t>
  </si>
  <si>
    <t xml:space="preserve">Коржиков А.В.</t>
  </si>
  <si>
    <t xml:space="preserve">23КИ134</t>
  </si>
  <si>
    <t xml:space="preserve">Кушнир В.Ю.</t>
  </si>
  <si>
    <t xml:space="preserve">23КИ139</t>
  </si>
  <si>
    <t xml:space="preserve">Логинов А.А.</t>
  </si>
  <si>
    <t xml:space="preserve">23КИ147</t>
  </si>
  <si>
    <t xml:space="preserve">Максименко Д.А.</t>
  </si>
  <si>
    <t xml:space="preserve">23КИ148</t>
  </si>
  <si>
    <t xml:space="preserve">Максимов А.А.</t>
  </si>
  <si>
    <t xml:space="preserve">23КИ153</t>
  </si>
  <si>
    <t xml:space="preserve">Матвеев Н.В.</t>
  </si>
  <si>
    <t xml:space="preserve">23КИ177</t>
  </si>
  <si>
    <t xml:space="preserve">Никуленко О.В.</t>
  </si>
  <si>
    <t xml:space="preserve">22КИ236</t>
  </si>
  <si>
    <t xml:space="preserve">Рыбанов А.Д.</t>
  </si>
  <si>
    <t xml:space="preserve">23КИ230</t>
  </si>
  <si>
    <t xml:space="preserve">Смогленко Т.А.</t>
  </si>
  <si>
    <t xml:space="preserve">23КИ251</t>
  </si>
  <si>
    <t xml:space="preserve">Турдаков Н.С.</t>
  </si>
  <si>
    <t xml:space="preserve">22КИ293</t>
  </si>
  <si>
    <t xml:space="preserve">Шерстюк Д.О.</t>
  </si>
  <si>
    <t xml:space="preserve">Голенева Анастасия Андреевна</t>
  </si>
  <si>
    <t xml:space="preserve"> Тактика
</t>
  </si>
  <si>
    <t xml:space="preserve"> Огневая подготовка из стрелкового оружия </t>
  </si>
  <si>
    <t xml:space="preserve">Функциональная логика, теория алгоритмов и дискретная математика</t>
  </si>
  <si>
    <t xml:space="preserve">КФ7
108 ч. (3 зе)</t>
  </si>
  <si>
    <t xml:space="preserve">23КИ002</t>
  </si>
  <si>
    <t xml:space="preserve">Афонин В.А.</t>
  </si>
  <si>
    <t xml:space="preserve">23КИ003</t>
  </si>
  <si>
    <t xml:space="preserve">Волков Д.А.</t>
  </si>
  <si>
    <t xml:space="preserve">23КИ007</t>
  </si>
  <si>
    <t xml:space="preserve">Ерзин А.В.</t>
  </si>
  <si>
    <t xml:space="preserve">23КИ017</t>
  </si>
  <si>
    <t xml:space="preserve">Шумейко Д.Г.</t>
  </si>
  <si>
    <t xml:space="preserve">Волков Дмитрий Алексеевич</t>
  </si>
  <si>
    <t xml:space="preserve">Гайдаревский Алексей Александрович</t>
  </si>
  <si>
    <t xml:space="preserve">Срок сдачи:</t>
  </si>
  <si>
    <t xml:space="preserve"> Общая теория автоматического управления </t>
  </si>
  <si>
    <t xml:space="preserve"> Сети и телекоммуникации</t>
  </si>
  <si>
    <t xml:space="preserve"> Технология электронных средств</t>
  </si>
  <si>
    <t xml:space="preserve"> Электроника и микроэлектроника</t>
  </si>
  <si>
    <t xml:space="preserve"> Конструирование приборов (к.п.)</t>
  </si>
  <si>
    <t xml:space="preserve"> Социология</t>
  </si>
  <si>
    <t xml:space="preserve"> Экология</t>
  </si>
  <si>
    <t xml:space="preserve">Физическая культура и спорт </t>
  </si>
  <si>
    <t xml:space="preserve">ИУК3
144 ч. (4 зе)</t>
  </si>
  <si>
    <t xml:space="preserve">ИУК5
144 ч. (4 зе)</t>
  </si>
  <si>
    <t xml:space="preserve">ИУК7
108 ч. (3 зе)</t>
  </si>
  <si>
    <t xml:space="preserve">22КИ213</t>
  </si>
  <si>
    <t xml:space="preserve">Аветисян А.А.</t>
  </si>
  <si>
    <t xml:space="preserve">18КИ208</t>
  </si>
  <si>
    <t xml:space="preserve">Андреев М.С.</t>
  </si>
  <si>
    <t xml:space="preserve">22КМ018</t>
  </si>
  <si>
    <t xml:space="preserve">Балин В.Е.</t>
  </si>
  <si>
    <t xml:space="preserve">22КИ048</t>
  </si>
  <si>
    <t xml:space="preserve">Варников А.И.</t>
  </si>
  <si>
    <t xml:space="preserve">22КИ074</t>
  </si>
  <si>
    <t xml:space="preserve">Гришин В.О.</t>
  </si>
  <si>
    <t xml:space="preserve">22КИ109</t>
  </si>
  <si>
    <t xml:space="preserve">Забелла Н.И.</t>
  </si>
  <si>
    <t xml:space="preserve">22КИ149</t>
  </si>
  <si>
    <t xml:space="preserve">Ковтун И.А.</t>
  </si>
  <si>
    <t xml:space="preserve">22КИ150</t>
  </si>
  <si>
    <t xml:space="preserve">Конопатов Н.А.</t>
  </si>
  <si>
    <t xml:space="preserve">22КИ170</t>
  </si>
  <si>
    <t xml:space="preserve">Леонов С.А.</t>
  </si>
  <si>
    <t xml:space="preserve">22КИ174</t>
  </si>
  <si>
    <t xml:space="preserve">Лыков А.Д.</t>
  </si>
  <si>
    <t xml:space="preserve">21КИ176</t>
  </si>
  <si>
    <t xml:space="preserve">Москалев Д.А.</t>
  </si>
  <si>
    <t xml:space="preserve">22КИ198</t>
  </si>
  <si>
    <t xml:space="preserve">Мясников С.А.</t>
  </si>
  <si>
    <t xml:space="preserve">22КИ210</t>
  </si>
  <si>
    <t xml:space="preserve">Осминов К.А.</t>
  </si>
  <si>
    <t xml:space="preserve">19КИ205</t>
  </si>
  <si>
    <t xml:space="preserve">Тимофеев А.А.</t>
  </si>
  <si>
    <t xml:space="preserve">22КИ289</t>
  </si>
  <si>
    <t xml:space="preserve">Чикаленко М.А.</t>
  </si>
  <si>
    <t xml:space="preserve">Забелла Никита Игоревич</t>
  </si>
  <si>
    <t xml:space="preserve">Лыков Дмитрий Анатольевич</t>
  </si>
  <si>
    <t xml:space="preserve">22КИ046</t>
  </si>
  <si>
    <t xml:space="preserve">Валякин А.М.</t>
  </si>
  <si>
    <t xml:space="preserve">22КИ049</t>
  </si>
  <si>
    <t xml:space="preserve">Васильев Н.Т.</t>
  </si>
  <si>
    <t xml:space="preserve">22КИ061</t>
  </si>
  <si>
    <t xml:space="preserve">Геращенко А.Е.</t>
  </si>
  <si>
    <t xml:space="preserve">22КИ112</t>
  </si>
  <si>
    <t xml:space="preserve">Захаренков А.Н.</t>
  </si>
  <si>
    <t xml:space="preserve">22КИ146</t>
  </si>
  <si>
    <t xml:space="preserve">Кобец Ф.В.</t>
  </si>
  <si>
    <t xml:space="preserve">22КИ147</t>
  </si>
  <si>
    <t xml:space="preserve">Кобяков В.Е.</t>
  </si>
  <si>
    <t xml:space="preserve">22КИ172</t>
  </si>
  <si>
    <t xml:space="preserve">Лики И.И.</t>
  </si>
  <si>
    <t xml:space="preserve">22КИ202</t>
  </si>
  <si>
    <t xml:space="preserve">Никандрова А.А.</t>
  </si>
  <si>
    <t xml:space="preserve">22КИ212</t>
  </si>
  <si>
    <t xml:space="preserve">Оськин Е.Д.</t>
  </si>
  <si>
    <t xml:space="preserve">22КМ124</t>
  </si>
  <si>
    <t xml:space="preserve">Палладин А.Е.</t>
  </si>
  <si>
    <t xml:space="preserve">22КИ230</t>
  </si>
  <si>
    <t xml:space="preserve">Присняк И.Д.</t>
  </si>
  <si>
    <t xml:space="preserve">21КИ205</t>
  </si>
  <si>
    <t xml:space="preserve">Разаренчиков А.А.</t>
  </si>
  <si>
    <t xml:space="preserve">22КИ237</t>
  </si>
  <si>
    <t xml:space="preserve">Савичкин А.О.</t>
  </si>
  <si>
    <t xml:space="preserve">22КИ257</t>
  </si>
  <si>
    <t xml:space="preserve">Сорокин А.А.</t>
  </si>
  <si>
    <t xml:space="preserve">22КИ260</t>
  </si>
  <si>
    <t xml:space="preserve">Стогов А.И.</t>
  </si>
  <si>
    <t xml:space="preserve">22КИ261</t>
  </si>
  <si>
    <t xml:space="preserve">Стюфеев Д.Д.</t>
  </si>
  <si>
    <t xml:space="preserve">22КИ283</t>
  </si>
  <si>
    <t xml:space="preserve">Цыбульский Д.Д.</t>
  </si>
  <si>
    <r>
      <rPr>
        <sz val="12"/>
        <color rgb="FF000000"/>
        <rFont val="Calibri"/>
        <family val="2"/>
        <charset val="204"/>
      </rPr>
      <t xml:space="preserve">Староста</t>
    </r>
    <r>
      <rPr>
        <u val="single"/>
        <sz val="12"/>
        <color rgb="FF000000"/>
        <rFont val="Calibri"/>
        <family val="2"/>
        <charset val="204"/>
      </rPr>
      <t xml:space="preserve"> </t>
    </r>
  </si>
  <si>
    <t xml:space="preserve">Геращенко Александр Евгеньевич</t>
  </si>
  <si>
    <t xml:space="preserve">Куратор:</t>
  </si>
  <si>
    <t xml:space="preserve">ЭКЗАМЕН</t>
  </si>
  <si>
    <t xml:space="preserve"> Конструкторское проектирование электронных
средств, систем и сетей</t>
  </si>
  <si>
    <t xml:space="preserve"> Основы радиотехники</t>
  </si>
  <si>
    <t xml:space="preserve">Системы автоматизированного проектирования
электронных средств</t>
  </si>
  <si>
    <t xml:space="preserve"> Технологические процессы микроэлектроники </t>
  </si>
  <si>
    <t xml:space="preserve"> Автоматизация и системы автоматизированного
проектирования электронных средств</t>
  </si>
  <si>
    <t xml:space="preserve"> Автоматизация производства электронных средств (к.п.)</t>
  </si>
  <si>
    <t xml:space="preserve"> Научно-исследовательская работа</t>
  </si>
  <si>
    <t xml:space="preserve"> Основы аналого-цифровой схемотехники</t>
  </si>
  <si>
    <t xml:space="preserve">Экономика</t>
  </si>
  <si>
    <t xml:space="preserve">МК8
108 ч. (3 зе)</t>
  </si>
  <si>
    <t xml:space="preserve">21КИ035</t>
  </si>
  <si>
    <t xml:space="preserve">Андреев Д.И.</t>
  </si>
  <si>
    <t xml:space="preserve">21КИ038</t>
  </si>
  <si>
    <t xml:space="preserve">Артенян Г.А.</t>
  </si>
  <si>
    <t xml:space="preserve">20КИ221</t>
  </si>
  <si>
    <t xml:space="preserve">Володько Т.В.</t>
  </si>
  <si>
    <t xml:space="preserve">20КИ072</t>
  </si>
  <si>
    <t xml:space="preserve">Евстигнеев Я.В.</t>
  </si>
  <si>
    <t xml:space="preserve">21КИ115</t>
  </si>
  <si>
    <t xml:space="preserve">Ильин Е.Н.</t>
  </si>
  <si>
    <t xml:space="preserve">21КИ286</t>
  </si>
  <si>
    <t xml:space="preserve">Кузин М.М.</t>
  </si>
  <si>
    <t xml:space="preserve">21КИ182</t>
  </si>
  <si>
    <t xml:space="preserve">Неринг Д.А.</t>
  </si>
  <si>
    <t xml:space="preserve">21КИ287</t>
  </si>
  <si>
    <t xml:space="preserve">Нецветаев И.В.</t>
  </si>
  <si>
    <t xml:space="preserve">21КИ196</t>
  </si>
  <si>
    <t xml:space="preserve">Пересыпкин М.Г.</t>
  </si>
  <si>
    <t xml:space="preserve">20КИ150</t>
  </si>
  <si>
    <t xml:space="preserve">Потапов Н.С.</t>
  </si>
  <si>
    <t xml:space="preserve">18КИ164</t>
  </si>
  <si>
    <t xml:space="preserve">Сорокин С.Д.</t>
  </si>
  <si>
    <t xml:space="preserve">21КИ268</t>
  </si>
  <si>
    <t xml:space="preserve">Шахаев Б.М.</t>
  </si>
  <si>
    <t xml:space="preserve">Староста:</t>
  </si>
  <si>
    <t xml:space="preserve">Пересыпкин Михаил Григорьевич</t>
  </si>
  <si>
    <t xml:space="preserve">Куратор: </t>
  </si>
  <si>
    <t xml:space="preserve">Кашин Виталий Валерьевич</t>
  </si>
  <si>
    <t xml:space="preserve">21КИ034</t>
  </si>
  <si>
    <t xml:space="preserve">Андреев Д.А.</t>
  </si>
  <si>
    <t xml:space="preserve">21КИ065</t>
  </si>
  <si>
    <t xml:space="preserve">Васильев Н.А.</t>
  </si>
  <si>
    <t xml:space="preserve">21КИ080</t>
  </si>
  <si>
    <t xml:space="preserve">Гришин Д.Ю.</t>
  </si>
  <si>
    <t xml:space="preserve">21КИ123</t>
  </si>
  <si>
    <t xml:space="preserve">Карнюхин А.С.</t>
  </si>
  <si>
    <t xml:space="preserve">21КИ144</t>
  </si>
  <si>
    <t xml:space="preserve">Кулабухов В.С.</t>
  </si>
  <si>
    <t xml:space="preserve">21КИ172</t>
  </si>
  <si>
    <t xml:space="preserve">Моисеев М.В.</t>
  </si>
  <si>
    <t xml:space="preserve">21КИ189</t>
  </si>
  <si>
    <t xml:space="preserve">Павельев А.А.</t>
  </si>
  <si>
    <t xml:space="preserve">21КИ215</t>
  </si>
  <si>
    <t xml:space="preserve">Саженков Д.О.</t>
  </si>
  <si>
    <t xml:space="preserve">21КИ218</t>
  </si>
  <si>
    <t xml:space="preserve">Самофалов В.Г.</t>
  </si>
  <si>
    <t xml:space="preserve">21КИ289</t>
  </si>
  <si>
    <t xml:space="preserve">Тепляков А.А.</t>
  </si>
  <si>
    <t xml:space="preserve">21КИ249</t>
  </si>
  <si>
    <t xml:space="preserve">Фадеев И.С.</t>
  </si>
  <si>
    <t xml:space="preserve">21КИ266</t>
  </si>
  <si>
    <t xml:space="preserve">Чураков Д.А.</t>
  </si>
  <si>
    <t xml:space="preserve">Всего в гр</t>
  </si>
  <si>
    <t xml:space="preserve">Карнюхин Антон Сергеевич</t>
  </si>
  <si>
    <t xml:space="preserve"> Итоговая аттестация по военной подготовке </t>
  </si>
  <si>
    <t xml:space="preserve"> Работа на средствах радиосвязи</t>
  </si>
  <si>
    <t xml:space="preserve"> Техническое обеспечение связи и автоматизации</t>
  </si>
  <si>
    <t xml:space="preserve">КФ7
36 ч. (1 зе)</t>
  </si>
  <si>
    <t xml:space="preserve">ИУК1
180 ч. (5 зе)</t>
  </si>
  <si>
    <t xml:space="preserve">21КИ003</t>
  </si>
  <si>
    <t xml:space="preserve">Бычков Д.Ю.</t>
  </si>
  <si>
    <t xml:space="preserve">21КИ004</t>
  </si>
  <si>
    <t xml:space="preserve">Гильфанов М.Р.</t>
  </si>
  <si>
    <t xml:space="preserve">21КИ284</t>
  </si>
  <si>
    <t xml:space="preserve">Годунов А.А.</t>
  </si>
  <si>
    <t xml:space="preserve">21КИ009</t>
  </si>
  <si>
    <t xml:space="preserve">Забродин А.Г.</t>
  </si>
  <si>
    <t xml:space="preserve">21КИ107</t>
  </si>
  <si>
    <t xml:space="preserve">Зайцев Р.Е.</t>
  </si>
  <si>
    <t xml:space="preserve">21КИ012</t>
  </si>
  <si>
    <t xml:space="preserve">Ильичев В.М.</t>
  </si>
  <si>
    <t xml:space="preserve">21КИ013</t>
  </si>
  <si>
    <t xml:space="preserve">Ковтун П.А.</t>
  </si>
  <si>
    <t xml:space="preserve">21КИ015</t>
  </si>
  <si>
    <t xml:space="preserve">Петраков Р.И.</t>
  </si>
  <si>
    <t xml:space="preserve">21КИ017</t>
  </si>
  <si>
    <t xml:space="preserve">Прыгов Д.В.</t>
  </si>
  <si>
    <t xml:space="preserve">21КИ019</t>
  </si>
  <si>
    <t xml:space="preserve">Салтаев И.Н.</t>
  </si>
  <si>
    <t xml:space="preserve">21КИ022</t>
  </si>
  <si>
    <t xml:space="preserve">Ткачев А.С.</t>
  </si>
  <si>
    <t xml:space="preserve">Прыгов Данила Валерьевич</t>
  </si>
  <si>
    <t xml:space="preserve">Тихонов Александр Анатольевич</t>
  </si>
  <si>
    <t xml:space="preserve">AK задолженности</t>
  </si>
  <si>
    <t xml:space="preserve"> Микро- и нанотехнологии</t>
  </si>
  <si>
    <t xml:space="preserve"> Управление сложными техническими системами
</t>
  </si>
  <si>
    <t xml:space="preserve">Научно-исследовательская работа</t>
  </si>
  <si>
    <t xml:space="preserve">Управление персоналом </t>
  </si>
  <si>
    <t xml:space="preserve"> Эксплуатационная практика</t>
  </si>
  <si>
    <t xml:space="preserve">ИУК1
540 ч. (15 зе)</t>
  </si>
  <si>
    <t xml:space="preserve">ИУК1
36 ч. (1 зе)</t>
  </si>
  <si>
    <t xml:space="preserve">24КИМ001</t>
  </si>
  <si>
    <t xml:space="preserve">Алёхин А.В.</t>
  </si>
  <si>
    <t xml:space="preserve">24КИМ002</t>
  </si>
  <si>
    <t xml:space="preserve">Белинский Д.Н.</t>
  </si>
  <si>
    <t xml:space="preserve">24КИМ010</t>
  </si>
  <si>
    <t xml:space="preserve">Гуськов Д.А.</t>
  </si>
  <si>
    <t xml:space="preserve">24КИМ012</t>
  </si>
  <si>
    <t xml:space="preserve">Захаров Е.Н.</t>
  </si>
  <si>
    <t xml:space="preserve">24КИМ016</t>
  </si>
  <si>
    <t xml:space="preserve">Козлов А.И.</t>
  </si>
  <si>
    <t xml:space="preserve">24КИМ019</t>
  </si>
  <si>
    <t xml:space="preserve">Лужко В.В.</t>
  </si>
  <si>
    <t xml:space="preserve">24КИМ020</t>
  </si>
  <si>
    <t xml:space="preserve">Лукашов Д.И.</t>
  </si>
  <si>
    <t xml:space="preserve">24КИМ023</t>
  </si>
  <si>
    <t xml:space="preserve">Перевозчикова Д.С.</t>
  </si>
  <si>
    <t xml:space="preserve">24КИМ025</t>
  </si>
  <si>
    <t xml:space="preserve">Радзышевская В.В.</t>
  </si>
  <si>
    <t xml:space="preserve">24КИМ026</t>
  </si>
  <si>
    <t xml:space="preserve">Рогов Д.М.</t>
  </si>
  <si>
    <t xml:space="preserve">24КИМ037</t>
  </si>
  <si>
    <t xml:space="preserve">Тюрин С.В.</t>
  </si>
  <si>
    <t xml:space="preserve">24КИМ039</t>
  </si>
  <si>
    <t xml:space="preserve">Цирульников И.Ю.</t>
  </si>
  <si>
    <t xml:space="preserve">24КИМ046</t>
  </si>
  <si>
    <t xml:space="preserve">Яночкин А.С.</t>
  </si>
  <si>
    <t xml:space="preserve">ФИО преподавателя</t>
  </si>
  <si>
    <t xml:space="preserve">Белинский Дмитрий Николаевич</t>
  </si>
  <si>
    <t xml:space="preserve">Андреев Владимир Викторович</t>
  </si>
  <si>
    <t xml:space="preserve">Срок сдачи</t>
  </si>
  <si>
    <t xml:space="preserve"> Контроль и диагностика электронных приборов и
средств</t>
  </si>
  <si>
    <t xml:space="preserve"> ДВ №2 Методы контроля в микро- и
наноэлектронике</t>
  </si>
  <si>
    <t xml:space="preserve"> Основы системного анализа</t>
  </si>
  <si>
    <t xml:space="preserve"> Педагогическая практика</t>
  </si>
  <si>
    <t xml:space="preserve"> Проектно-технологическая практика</t>
  </si>
  <si>
    <t xml:space="preserve"> Сквозное автоматизированное проектирование
электронных средств (к.п.)</t>
  </si>
  <si>
    <t xml:space="preserve"> Специальная оценка условий труда</t>
  </si>
  <si>
    <t xml:space="preserve">ИУК2
144 ч. (4 зе)</t>
  </si>
  <si>
    <t xml:space="preserve">ИУК1
432 ч. (12 зе)</t>
  </si>
  <si>
    <t xml:space="preserve">23КИМ080</t>
  </si>
  <si>
    <t xml:space="preserve">Анцыпович Д.А.</t>
  </si>
  <si>
    <t xml:space="preserve">23КИМ002</t>
  </si>
  <si>
    <t xml:space="preserve">Борисов Е.О.</t>
  </si>
  <si>
    <t xml:space="preserve">23КИМ004</t>
  </si>
  <si>
    <t xml:space="preserve">Ботов А.Н.</t>
  </si>
  <si>
    <t xml:space="preserve">23КИМ009</t>
  </si>
  <si>
    <t xml:space="preserve">Гришин Г.К.</t>
  </si>
  <si>
    <t xml:space="preserve">23КИМ013</t>
  </si>
  <si>
    <t xml:space="preserve">Ефременко Е.И.</t>
  </si>
  <si>
    <t xml:space="preserve">23КИМ032</t>
  </si>
  <si>
    <t xml:space="preserve">Ломакин С.А.</t>
  </si>
  <si>
    <t xml:space="preserve">23КИМ065</t>
  </si>
  <si>
    <t xml:space="preserve">Мельниченко Н.А.</t>
  </si>
  <si>
    <t xml:space="preserve">23КИМ042</t>
  </si>
  <si>
    <t xml:space="preserve">Наврузова А.А.</t>
  </si>
  <si>
    <t xml:space="preserve">23КИМ045</t>
  </si>
  <si>
    <t xml:space="preserve">Платошин В.О.</t>
  </si>
  <si>
    <t xml:space="preserve">23КИМ047</t>
  </si>
  <si>
    <t xml:space="preserve">Пузиков К.А.</t>
  </si>
  <si>
    <t xml:space="preserve">23КИМ048</t>
  </si>
  <si>
    <t xml:space="preserve">Пуляев В.А.</t>
  </si>
  <si>
    <t xml:space="preserve">23КИМ085</t>
  </si>
  <si>
    <t xml:space="preserve">Сегодин П.С.</t>
  </si>
  <si>
    <t xml:space="preserve">23КИМ068</t>
  </si>
  <si>
    <t xml:space="preserve">Серов И.Е.</t>
  </si>
  <si>
    <t xml:space="preserve">23КИМ057</t>
  </si>
  <si>
    <t xml:space="preserve">Чубурков А.Е.</t>
  </si>
  <si>
    <t xml:space="preserve">АК задолж</t>
  </si>
  <si>
    <t xml:space="preserve">Гришин Григорий Константинович</t>
  </si>
  <si>
    <t xml:space="preserve"> Алгоритмизация и программирование</t>
  </si>
  <si>
    <t xml:space="preserve"> Аналитическая геометрия и линейная алгебра</t>
  </si>
  <si>
    <t xml:space="preserve"> Инженерная графика</t>
  </si>
  <si>
    <t xml:space="preserve"> Математический анализ</t>
  </si>
  <si>
    <t xml:space="preserve">Ознакомительная практика</t>
  </si>
  <si>
    <t xml:space="preserve"> Теоретическая информатика</t>
  </si>
  <si>
    <t xml:space="preserve">ИУК5
180 ч. (5 зе)</t>
  </si>
  <si>
    <t xml:space="preserve">ИУК2
72 ч. (2 зе)</t>
  </si>
  <si>
    <t xml:space="preserve">ИУК2
108 ч. (3 зе)</t>
  </si>
  <si>
    <t xml:space="preserve">24КИ424</t>
  </si>
  <si>
    <t xml:space="preserve">Бричева В.А.</t>
  </si>
  <si>
    <t xml:space="preserve">24КИ064</t>
  </si>
  <si>
    <t xml:space="preserve">Бурмистров М.О.</t>
  </si>
  <si>
    <t xml:space="preserve">24КИ074</t>
  </si>
  <si>
    <t xml:space="preserve">Власов А.С.</t>
  </si>
  <si>
    <t xml:space="preserve">24КИ002</t>
  </si>
  <si>
    <t xml:space="preserve">Выстрелков В.А.</t>
  </si>
  <si>
    <t xml:space="preserve">24КИ082</t>
  </si>
  <si>
    <t xml:space="preserve">Гашков Д.Р.</t>
  </si>
  <si>
    <t xml:space="preserve">24КИ085</t>
  </si>
  <si>
    <t xml:space="preserve">Геннеберг Р.А.</t>
  </si>
  <si>
    <t xml:space="preserve">24КИ003</t>
  </si>
  <si>
    <t xml:space="preserve">Городничев К.В.</t>
  </si>
  <si>
    <t xml:space="preserve">24КИ434</t>
  </si>
  <si>
    <t xml:space="preserve">Ераносян С.</t>
  </si>
  <si>
    <t xml:space="preserve">23КИ087</t>
  </si>
  <si>
    <t xml:space="preserve">Завьялов В.В.</t>
  </si>
  <si>
    <t xml:space="preserve">24КИ147</t>
  </si>
  <si>
    <t xml:space="preserve">Ким Д.В.</t>
  </si>
  <si>
    <t xml:space="preserve">24КИ152</t>
  </si>
  <si>
    <t xml:space="preserve">Козлов А.В.</t>
  </si>
  <si>
    <t xml:space="preserve">24КИ374</t>
  </si>
  <si>
    <t xml:space="preserve">Комаревцев И.В.</t>
  </si>
  <si>
    <t xml:space="preserve">24КИ184</t>
  </si>
  <si>
    <t xml:space="preserve">Леонидов А.А.</t>
  </si>
  <si>
    <t xml:space="preserve">24КИ191</t>
  </si>
  <si>
    <t xml:space="preserve">Лохман Б.И.</t>
  </si>
  <si>
    <t xml:space="preserve">23КИ009</t>
  </si>
  <si>
    <t xml:space="preserve">Людкевич А.В.</t>
  </si>
  <si>
    <t xml:space="preserve">24КИ205</t>
  </si>
  <si>
    <t xml:space="preserve">Мартынов А.С.</t>
  </si>
  <si>
    <t xml:space="preserve">24КИ213</t>
  </si>
  <si>
    <t xml:space="preserve">Меркулов Н.Д.</t>
  </si>
  <si>
    <t xml:space="preserve">24КИ385</t>
  </si>
  <si>
    <t xml:space="preserve">Милов И.П.</t>
  </si>
  <si>
    <t xml:space="preserve">24КИ390</t>
  </si>
  <si>
    <t xml:space="preserve">Нилов М.В.</t>
  </si>
  <si>
    <t xml:space="preserve">24КИ391</t>
  </si>
  <si>
    <t xml:space="preserve">Носов В.А.</t>
  </si>
  <si>
    <t xml:space="preserve">24КИ015</t>
  </si>
  <si>
    <t xml:space="preserve">Пантелеев М.М.</t>
  </si>
  <si>
    <t xml:space="preserve">23КИ326</t>
  </si>
  <si>
    <t xml:space="preserve">Самодуров М.Н.</t>
  </si>
  <si>
    <t xml:space="preserve">24КИ275</t>
  </si>
  <si>
    <t xml:space="preserve">Сашин А.Н.</t>
  </si>
  <si>
    <t xml:space="preserve">24КИ282</t>
  </si>
  <si>
    <t xml:space="preserve">Симакова Е.В.</t>
  </si>
  <si>
    <t xml:space="preserve">24КИ287</t>
  </si>
  <si>
    <t xml:space="preserve">Смоляр А.А.</t>
  </si>
  <si>
    <t xml:space="preserve">24КИ305</t>
  </si>
  <si>
    <t xml:space="preserve">Толстов Д.С.</t>
  </si>
  <si>
    <t xml:space="preserve">24КИ308</t>
  </si>
  <si>
    <t xml:space="preserve">Трифонов Н.А.</t>
  </si>
  <si>
    <t xml:space="preserve">24КИ022</t>
  </si>
  <si>
    <t xml:space="preserve">Тювин Ю.А.</t>
  </si>
  <si>
    <t xml:space="preserve">24КИ343</t>
  </si>
  <si>
    <t xml:space="preserve">Шептунов С.В.</t>
  </si>
  <si>
    <t xml:space="preserve">Тювин Юрий Алексеевич</t>
  </si>
  <si>
    <t xml:space="preserve">Дерюгина Елена Олеговна</t>
  </si>
  <si>
    <t xml:space="preserve">24КИ046</t>
  </si>
  <si>
    <t xml:space="preserve">Асманкин А.Д.</t>
  </si>
  <si>
    <t xml:space="preserve">24КИ422</t>
  </si>
  <si>
    <t xml:space="preserve">Бессонова Д.А.</t>
  </si>
  <si>
    <t xml:space="preserve">24КИ072</t>
  </si>
  <si>
    <t xml:space="preserve">Винокуров Е.Д.</t>
  </si>
  <si>
    <t xml:space="preserve">24КИ075</t>
  </si>
  <si>
    <t xml:space="preserve">Воробьев В.К.</t>
  </si>
  <si>
    <t xml:space="preserve">24КИ359</t>
  </si>
  <si>
    <t xml:space="preserve">Ворона К.М.</t>
  </si>
  <si>
    <t xml:space="preserve">24КИ083</t>
  </si>
  <si>
    <t xml:space="preserve">Гвоздев К.П.</t>
  </si>
  <si>
    <t xml:space="preserve">24КИ093</t>
  </si>
  <si>
    <t xml:space="preserve">Гордейчик А.А.</t>
  </si>
  <si>
    <t xml:space="preserve">24КИ102</t>
  </si>
  <si>
    <t xml:space="preserve">Давыдова Е.М.</t>
  </si>
  <si>
    <t xml:space="preserve">24КИ112</t>
  </si>
  <si>
    <t xml:space="preserve">Донской И.О.</t>
  </si>
  <si>
    <t xml:space="preserve">24КИ369</t>
  </si>
  <si>
    <t xml:space="preserve">Ивахненко Н.А.</t>
  </si>
  <si>
    <t xml:space="preserve">24КИ154</t>
  </si>
  <si>
    <t xml:space="preserve">Колесников А.Ю.</t>
  </si>
  <si>
    <t xml:space="preserve">24КИ187</t>
  </si>
  <si>
    <t xml:space="preserve">Липатов Е.Е.</t>
  </si>
  <si>
    <t xml:space="preserve">24КИ197</t>
  </si>
  <si>
    <t xml:space="preserve">Малахов М.С.</t>
  </si>
  <si>
    <t xml:space="preserve">24КИ219</t>
  </si>
  <si>
    <t xml:space="preserve">Момот А.А.</t>
  </si>
  <si>
    <t xml:space="preserve">24КИ225</t>
  </si>
  <si>
    <t xml:space="preserve">Мягков Е.Д.</t>
  </si>
  <si>
    <t xml:space="preserve">24КИ227</t>
  </si>
  <si>
    <t xml:space="preserve">Надеев А.Е.</t>
  </si>
  <si>
    <t xml:space="preserve">24КИ388</t>
  </si>
  <si>
    <t xml:space="preserve">Никитин Н.Е.</t>
  </si>
  <si>
    <t xml:space="preserve">24КИ234</t>
  </si>
  <si>
    <t xml:space="preserve">Новиков И.А.</t>
  </si>
  <si>
    <t xml:space="preserve">24КИ236</t>
  </si>
  <si>
    <t xml:space="preserve">Носков Я.Д.</t>
  </si>
  <si>
    <t xml:space="preserve">23КИ324</t>
  </si>
  <si>
    <t xml:space="preserve">Рудик Е.А.</t>
  </si>
  <si>
    <t xml:space="preserve">24КИ283</t>
  </si>
  <si>
    <t xml:space="preserve">Симонин Е.Д.</t>
  </si>
  <si>
    <t xml:space="preserve">24КИ290</t>
  </si>
  <si>
    <t xml:space="preserve">Соловьёва П.И.</t>
  </si>
  <si>
    <t xml:space="preserve">23КИ342</t>
  </si>
  <si>
    <t xml:space="preserve">Сплюхин Н.А.</t>
  </si>
  <si>
    <t xml:space="preserve">24КИ403</t>
  </si>
  <si>
    <t xml:space="preserve">Старостин Н.М.</t>
  </si>
  <si>
    <t xml:space="preserve">24КИ426</t>
  </si>
  <si>
    <t xml:space="preserve">Старостин Р.А.</t>
  </si>
  <si>
    <t xml:space="preserve">24КИ407</t>
  </si>
  <si>
    <t xml:space="preserve">Субочев Т.А.</t>
  </si>
  <si>
    <t xml:space="preserve">24КИ314</t>
  </si>
  <si>
    <t xml:space="preserve">Тюхтин Д.М.</t>
  </si>
  <si>
    <t xml:space="preserve">24КИ327</t>
  </si>
  <si>
    <t xml:space="preserve">Харламов А.М.</t>
  </si>
  <si>
    <t xml:space="preserve">24КИ337</t>
  </si>
  <si>
    <t xml:space="preserve">Чуйко М.Д.</t>
  </si>
  <si>
    <t xml:space="preserve">24КИ428</t>
  </si>
  <si>
    <t xml:space="preserve">Шаповал Д.Е.</t>
  </si>
  <si>
    <t xml:space="preserve">Захаров В.Ю.</t>
  </si>
  <si>
    <t xml:space="preserve">Писаренко И.С.</t>
  </si>
  <si>
    <t xml:space="preserve">Дерюгина Е.О.</t>
  </si>
  <si>
    <t xml:space="preserve">Лысенко Л.В.</t>
  </si>
  <si>
    <t xml:space="preserve">Белов И.К.</t>
  </si>
  <si>
    <t xml:space="preserve">Вяткин А.А.</t>
  </si>
  <si>
    <t xml:space="preserve">Борсук Н.А.</t>
  </si>
  <si>
    <t xml:space="preserve">Гладских А.П.</t>
  </si>
  <si>
    <t xml:space="preserve">Воронов Кирилл Максимович</t>
  </si>
  <si>
    <t xml:space="preserve"> Учебно-технологический практикум</t>
  </si>
  <si>
    <t xml:space="preserve">24КИ035</t>
  </si>
  <si>
    <t xml:space="preserve">Аждаров Д. А. оглы</t>
  </si>
  <si>
    <t xml:space="preserve">24КИ043</t>
  </si>
  <si>
    <t xml:space="preserve">Артамонов А.М.</t>
  </si>
  <si>
    <t xml:space="preserve">24КИ049</t>
  </si>
  <si>
    <t xml:space="preserve">Балашов И.С.</t>
  </si>
  <si>
    <t xml:space="preserve">24КИ430</t>
  </si>
  <si>
    <t xml:space="preserve">Бровка М.С.</t>
  </si>
  <si>
    <t xml:space="preserve">24КИ062</t>
  </si>
  <si>
    <t xml:space="preserve">Будников В.А.</t>
  </si>
  <si>
    <t xml:space="preserve">24КИ069</t>
  </si>
  <si>
    <t xml:space="preserve">Васильев В.В.</t>
  </si>
  <si>
    <t xml:space="preserve">24КИ071</t>
  </si>
  <si>
    <t xml:space="preserve">Виговский А.М.</t>
  </si>
  <si>
    <t xml:space="preserve">24КИ077</t>
  </si>
  <si>
    <t xml:space="preserve">Ворохаев М.Г.</t>
  </si>
  <si>
    <t xml:space="preserve">24КИ110</t>
  </si>
  <si>
    <t xml:space="preserve">Дмитриева Л.С.</t>
  </si>
  <si>
    <t xml:space="preserve">24КИ431</t>
  </si>
  <si>
    <t xml:space="preserve">Дунайный К.С.</t>
  </si>
  <si>
    <t xml:space="preserve">24КИ159</t>
  </si>
  <si>
    <t xml:space="preserve">Конаков Д.В.</t>
  </si>
  <si>
    <t xml:space="preserve">24КИ166</t>
  </si>
  <si>
    <t xml:space="preserve">Котельников К.В.</t>
  </si>
  <si>
    <t xml:space="preserve">24КИ378</t>
  </si>
  <si>
    <t xml:space="preserve">Кушаева К.Д.</t>
  </si>
  <si>
    <t xml:space="preserve">24КИ182</t>
  </si>
  <si>
    <t xml:space="preserve">Лацис Г.С.</t>
  </si>
  <si>
    <t xml:space="preserve">24КИ189</t>
  </si>
  <si>
    <t xml:space="preserve">Лозгачев Я.С.</t>
  </si>
  <si>
    <t xml:space="preserve">24КИ193</t>
  </si>
  <si>
    <t xml:space="preserve">Людкевич В.Я.</t>
  </si>
  <si>
    <t xml:space="preserve">24КИ202</t>
  </si>
  <si>
    <t xml:space="preserve">Марков К.В.</t>
  </si>
  <si>
    <t xml:space="preserve">24КИ203</t>
  </si>
  <si>
    <t xml:space="preserve">Марков С.А.</t>
  </si>
  <si>
    <t xml:space="preserve">24КИ217</t>
  </si>
  <si>
    <t xml:space="preserve">Мовергоз А.М.</t>
  </si>
  <si>
    <t xml:space="preserve">24КИ223</t>
  </si>
  <si>
    <t xml:space="preserve">Москалев С.С.</t>
  </si>
  <si>
    <t xml:space="preserve">24КИ264</t>
  </si>
  <si>
    <t xml:space="preserve">Романов А.Д.</t>
  </si>
  <si>
    <t xml:space="preserve">24КИ277</t>
  </si>
  <si>
    <t xml:space="preserve">Семченко Д.А.</t>
  </si>
  <si>
    <t xml:space="preserve">24КИ293</t>
  </si>
  <si>
    <t xml:space="preserve">Спасенова Е.С.</t>
  </si>
  <si>
    <t xml:space="preserve">24КИ298</t>
  </si>
  <si>
    <t xml:space="preserve">Суханов Я.И.</t>
  </si>
  <si>
    <t xml:space="preserve">24КИ421</t>
  </si>
  <si>
    <t xml:space="preserve">Щеглов А.С.</t>
  </si>
  <si>
    <t xml:space="preserve">24КИ432</t>
  </si>
  <si>
    <t xml:space="preserve">Ясюк С.А.</t>
  </si>
  <si>
    <t xml:space="preserve">Балашов Иван Сергеевич</t>
  </si>
  <si>
    <t xml:space="preserve">Белова Ирина Константиновка</t>
  </si>
  <si>
    <t xml:space="preserve"> Основы электроники</t>
  </si>
  <si>
    <t xml:space="preserve"> Системное программирование</t>
  </si>
  <si>
    <t xml:space="preserve"> Физика</t>
  </si>
  <si>
    <t xml:space="preserve"> Языки программирования с управляемым кодом</t>
  </si>
  <si>
    <t xml:space="preserve">Дискретная математика</t>
  </si>
  <si>
    <t xml:space="preserve"> Теория информационных систем</t>
  </si>
  <si>
    <t xml:space="preserve"> Цифровые измерительные системы</t>
  </si>
  <si>
    <t xml:space="preserve">ИУК4
144 ч. (4 зе)</t>
  </si>
  <si>
    <t xml:space="preserve">ИУК4
108 ч. (3 зе)</t>
  </si>
  <si>
    <t xml:space="preserve">23КИ035</t>
  </si>
  <si>
    <t xml:space="preserve">Афонькин Г.А.</t>
  </si>
  <si>
    <t xml:space="preserve">21КИ057</t>
  </si>
  <si>
    <t xml:space="preserve">Бурдужа Д.М.</t>
  </si>
  <si>
    <t xml:space="preserve">22КИ082</t>
  </si>
  <si>
    <t xml:space="preserve">Дацкий А.Н.</t>
  </si>
  <si>
    <t xml:space="preserve">22КИ085</t>
  </si>
  <si>
    <t xml:space="preserve">Десяткин Е.О.</t>
  </si>
  <si>
    <t xml:space="preserve">23КИ335</t>
  </si>
  <si>
    <t xml:space="preserve">Джанаев К.С</t>
  </si>
  <si>
    <t xml:space="preserve">22КИ100</t>
  </si>
  <si>
    <t xml:space="preserve">Дюбо Д.М.</t>
  </si>
  <si>
    <t xml:space="preserve">23КИ082</t>
  </si>
  <si>
    <t xml:space="preserve">Ефремова М.А.</t>
  </si>
  <si>
    <t xml:space="preserve">23КИ083</t>
  </si>
  <si>
    <t xml:space="preserve">Жданова А.А.</t>
  </si>
  <si>
    <t xml:space="preserve">23КИ123</t>
  </si>
  <si>
    <t xml:space="preserve">Кочникова Д.М.</t>
  </si>
  <si>
    <t xml:space="preserve">23КИ128</t>
  </si>
  <si>
    <t xml:space="preserve">Кудряев М.А.</t>
  </si>
  <si>
    <t xml:space="preserve">23КИ133</t>
  </si>
  <si>
    <t xml:space="preserve">Курильченко Н.Г.</t>
  </si>
  <si>
    <t xml:space="preserve">23КИ317</t>
  </si>
  <si>
    <t xml:space="preserve">Лисичкин А.В.</t>
  </si>
  <si>
    <t xml:space="preserve">23КИ140</t>
  </si>
  <si>
    <t xml:space="preserve">Лосик С.С.</t>
  </si>
  <si>
    <t xml:space="preserve">23КИ318</t>
  </si>
  <si>
    <t xml:space="preserve">Лоскутов С.И.</t>
  </si>
  <si>
    <t xml:space="preserve">23КИ171</t>
  </si>
  <si>
    <t xml:space="preserve">Мухина П.И.</t>
  </si>
  <si>
    <t xml:space="preserve">21КИ187</t>
  </si>
  <si>
    <t xml:space="preserve">Ольхин В.В.</t>
  </si>
  <si>
    <t xml:space="preserve">23КИ184</t>
  </si>
  <si>
    <t xml:space="preserve">Павлов И.В.</t>
  </si>
  <si>
    <t xml:space="preserve">23КИ193</t>
  </si>
  <si>
    <t xml:space="preserve">Платонов А.Е.</t>
  </si>
  <si>
    <t xml:space="preserve">23КИ214</t>
  </si>
  <si>
    <t xml:space="preserve">Савельев Т.Г.</t>
  </si>
  <si>
    <t xml:space="preserve">22КИ256</t>
  </si>
  <si>
    <t xml:space="preserve">Смирнов К.К.</t>
  </si>
  <si>
    <t xml:space="preserve">20КИ013</t>
  </si>
  <si>
    <t xml:space="preserve">Соловьев В.А.</t>
  </si>
  <si>
    <t xml:space="preserve">23КИ237</t>
  </si>
  <si>
    <t xml:space="preserve">Сторожук В.А.</t>
  </si>
  <si>
    <t xml:space="preserve">23КИ245</t>
  </si>
  <si>
    <t xml:space="preserve">Тихонов Н.А.</t>
  </si>
  <si>
    <t xml:space="preserve">23КИ270</t>
  </si>
  <si>
    <t xml:space="preserve">Чугунов М.Д.</t>
  </si>
  <si>
    <t xml:space="preserve">Мухина Полина Ивановна</t>
  </si>
  <si>
    <t xml:space="preserve">Борсук Наталья Александровна</t>
  </si>
  <si>
    <t xml:space="preserve">23КИ054</t>
  </si>
  <si>
    <t xml:space="preserve">Виноградов А.Ю.</t>
  </si>
  <si>
    <t xml:space="preserve">23КИ062</t>
  </si>
  <si>
    <t xml:space="preserve">Голубева А.Д.</t>
  </si>
  <si>
    <t xml:space="preserve">23КИ063</t>
  </si>
  <si>
    <t xml:space="preserve">Горисова С.А.</t>
  </si>
  <si>
    <t xml:space="preserve">23КИ071</t>
  </si>
  <si>
    <t xml:space="preserve">Даудов А.К.</t>
  </si>
  <si>
    <t xml:space="preserve">22КИ091</t>
  </si>
  <si>
    <t xml:space="preserve">Долгов А.А.</t>
  </si>
  <si>
    <t xml:space="preserve">21КИ096</t>
  </si>
  <si>
    <t xml:space="preserve">Егоркин Д.К.</t>
  </si>
  <si>
    <t xml:space="preserve">22КИ136</t>
  </si>
  <si>
    <t xml:space="preserve">Картузов Д.А.</t>
  </si>
  <si>
    <t xml:space="preserve">23КИ112</t>
  </si>
  <si>
    <t xml:space="preserve">Колесников А.С.</t>
  </si>
  <si>
    <t xml:space="preserve">23КИ126</t>
  </si>
  <si>
    <t xml:space="preserve">Кривчиков В.В.</t>
  </si>
  <si>
    <t xml:space="preserve">23КИ127</t>
  </si>
  <si>
    <t xml:space="preserve">Крылов Д.Е.</t>
  </si>
  <si>
    <t xml:space="preserve">23КИ137</t>
  </si>
  <si>
    <t xml:space="preserve">Леонов Е.Д.</t>
  </si>
  <si>
    <t xml:space="preserve">21КИ297</t>
  </si>
  <si>
    <t xml:space="preserve">Лукашов Е.Н.</t>
  </si>
  <si>
    <t xml:space="preserve">23КИ145</t>
  </si>
  <si>
    <t xml:space="preserve">Макеев В.Р.</t>
  </si>
  <si>
    <t xml:space="preserve">23КИ167</t>
  </si>
  <si>
    <t xml:space="preserve">Мозуль А.А.</t>
  </si>
  <si>
    <t xml:space="preserve">23КИ320</t>
  </si>
  <si>
    <t xml:space="preserve">Насонова А.А.</t>
  </si>
  <si>
    <t xml:space="preserve">23КИ173</t>
  </si>
  <si>
    <t xml:space="preserve">Низовская М.Ю.</t>
  </si>
  <si>
    <t xml:space="preserve">23КИ189</t>
  </si>
  <si>
    <t xml:space="preserve">Перковский Д.А.</t>
  </si>
  <si>
    <t xml:space="preserve">21КИ298</t>
  </si>
  <si>
    <t xml:space="preserve">Разин С.В.</t>
  </si>
  <si>
    <t xml:space="preserve">23КИ215</t>
  </si>
  <si>
    <t xml:space="preserve">Савин Д.А.</t>
  </si>
  <si>
    <t xml:space="preserve">23КИ224</t>
  </si>
  <si>
    <t xml:space="preserve">Севец Р.Ю.</t>
  </si>
  <si>
    <t xml:space="preserve">22КИ255</t>
  </si>
  <si>
    <t xml:space="preserve">Смирнов К.А.</t>
  </si>
  <si>
    <t xml:space="preserve">23КИ233</t>
  </si>
  <si>
    <t xml:space="preserve">Сорокин В.А.</t>
  </si>
  <si>
    <t xml:space="preserve">23КИ337</t>
  </si>
  <si>
    <t xml:space="preserve">Усенко М.Д.</t>
  </si>
  <si>
    <t xml:space="preserve">23КИ255</t>
  </si>
  <si>
    <t xml:space="preserve">Филимонов М.Э.</t>
  </si>
  <si>
    <t xml:space="preserve">23КИ258</t>
  </si>
  <si>
    <t xml:space="preserve">Фролов А.И.</t>
  </si>
  <si>
    <t xml:space="preserve">23КИ263</t>
  </si>
  <si>
    <t xml:space="preserve">Цыгановкин С.Н.</t>
  </si>
  <si>
    <t xml:space="preserve">23КИ331</t>
  </si>
  <si>
    <t xml:space="preserve">Шайко Д.Д.</t>
  </si>
  <si>
    <t xml:space="preserve">Макеев Владислав Романович</t>
  </si>
  <si>
    <t xml:space="preserve">Белова Ирина Константиновна</t>
  </si>
  <si>
    <t xml:space="preserve">23КИ021</t>
  </si>
  <si>
    <t xml:space="preserve">Акулкин Ф.А.</t>
  </si>
  <si>
    <t xml:space="preserve">23КИ032</t>
  </si>
  <si>
    <t xml:space="preserve">Анищенко Н.А.</t>
  </si>
  <si>
    <t xml:space="preserve">23КИ308</t>
  </si>
  <si>
    <t xml:space="preserve">Гусаров М.Д.</t>
  </si>
  <si>
    <t xml:space="preserve">23КИ073</t>
  </si>
  <si>
    <t xml:space="preserve">Демидов И.А.</t>
  </si>
  <si>
    <t xml:space="preserve">23КИ121</t>
  </si>
  <si>
    <t xml:space="preserve">Коропчану Д.С.</t>
  </si>
  <si>
    <t xml:space="preserve">23КИ157</t>
  </si>
  <si>
    <t xml:space="preserve">Мельников З.С.</t>
  </si>
  <si>
    <t xml:space="preserve">23КИ178</t>
  </si>
  <si>
    <t xml:space="preserve">Новиков Д.А.</t>
  </si>
  <si>
    <t xml:space="preserve">23КИ211</t>
  </si>
  <si>
    <t xml:space="preserve">Рома М.К.</t>
  </si>
  <si>
    <t xml:space="preserve">23КИ213</t>
  </si>
  <si>
    <t xml:space="preserve">Рябишин Н.С.</t>
  </si>
  <si>
    <t xml:space="preserve">23КИ229</t>
  </si>
  <si>
    <t xml:space="preserve">Скрепнюк Е.И.</t>
  </si>
  <si>
    <t xml:space="preserve">23КИ244</t>
  </si>
  <si>
    <t xml:space="preserve">Тарасов А.М.</t>
  </si>
  <si>
    <t xml:space="preserve">23КИ256</t>
  </si>
  <si>
    <t xml:space="preserve">Филиппов Н.А.</t>
  </si>
  <si>
    <t xml:space="preserve">23КИ257</t>
  </si>
  <si>
    <t xml:space="preserve">Фотиев М.В.</t>
  </si>
  <si>
    <t xml:space="preserve">23КИ267</t>
  </si>
  <si>
    <t xml:space="preserve">Черных Е.А.</t>
  </si>
  <si>
    <t xml:space="preserve">23КИ269</t>
  </si>
  <si>
    <t xml:space="preserve">Чистяков Д.С.</t>
  </si>
  <si>
    <t xml:space="preserve">23КИ289</t>
  </si>
  <si>
    <t xml:space="preserve">Яковенко Я.В.</t>
  </si>
  <si>
    <t xml:space="preserve">Рома Мария Константиновеа</t>
  </si>
  <si>
    <t xml:space="preserve"> Операционные системы</t>
  </si>
  <si>
    <t xml:space="preserve"> Платформы виртуальной реальности</t>
  </si>
  <si>
    <t xml:space="preserve"> Функциональные узлы и компоненты
информационно-вычислительных систем</t>
  </si>
  <si>
    <t xml:space="preserve"> Разработка Веб-приложений (к.п.)</t>
  </si>
  <si>
    <t xml:space="preserve">21КИ039</t>
  </si>
  <si>
    <t xml:space="preserve">Асеев Б.Д.</t>
  </si>
  <si>
    <t xml:space="preserve">22КИ027</t>
  </si>
  <si>
    <t xml:space="preserve">Афанасенко А.В.</t>
  </si>
  <si>
    <t xml:space="preserve">22КИ029</t>
  </si>
  <si>
    <t xml:space="preserve">Бадмаев В.И.</t>
  </si>
  <si>
    <t xml:space="preserve">22КИ040</t>
  </si>
  <si>
    <t xml:space="preserve">Бровкина А.В.</t>
  </si>
  <si>
    <t xml:space="preserve">21КИ055</t>
  </si>
  <si>
    <t xml:space="preserve">Буланов А.А.</t>
  </si>
  <si>
    <t xml:space="preserve">22КИ047</t>
  </si>
  <si>
    <t xml:space="preserve">Ванаков С.В.</t>
  </si>
  <si>
    <t xml:space="preserve">21КИ066</t>
  </si>
  <si>
    <t xml:space="preserve">Внукова А.А.</t>
  </si>
  <si>
    <t xml:space="preserve">22КИ057</t>
  </si>
  <si>
    <t xml:space="preserve">Гаврилюк Д.П.</t>
  </si>
  <si>
    <t xml:space="preserve">21КИ075</t>
  </si>
  <si>
    <t xml:space="preserve">Горланов И.А.</t>
  </si>
  <si>
    <t xml:space="preserve">22КИ076</t>
  </si>
  <si>
    <t xml:space="preserve">Громыко А.Д.</t>
  </si>
  <si>
    <t xml:space="preserve">19КИ066</t>
  </si>
  <si>
    <t xml:space="preserve">Дьячков С.В.</t>
  </si>
  <si>
    <t xml:space="preserve">22КИ101</t>
  </si>
  <si>
    <t xml:space="preserve">Евтеев А.С.</t>
  </si>
  <si>
    <t xml:space="preserve">22КИ115</t>
  </si>
  <si>
    <t xml:space="preserve">Зубарев С.П.</t>
  </si>
  <si>
    <t xml:space="preserve">22КИ139</t>
  </si>
  <si>
    <t xml:space="preserve">Кашицын Д.Д.</t>
  </si>
  <si>
    <t xml:space="preserve">22КИ305</t>
  </si>
  <si>
    <t xml:space="preserve">Козлова А.Д.</t>
  </si>
  <si>
    <t xml:space="preserve">22КИ152</t>
  </si>
  <si>
    <t xml:space="preserve">Коровкин К.К.</t>
  </si>
  <si>
    <t xml:space="preserve">22КИ166</t>
  </si>
  <si>
    <t xml:space="preserve">Кулаков М.А.</t>
  </si>
  <si>
    <t xml:space="preserve">20КИ129</t>
  </si>
  <si>
    <t xml:space="preserve">Милейко И.А.</t>
  </si>
  <si>
    <t xml:space="preserve">22КИ195</t>
  </si>
  <si>
    <t xml:space="preserve">Мосин М.О.</t>
  </si>
  <si>
    <t xml:space="preserve">22КИ197</t>
  </si>
  <si>
    <t xml:space="preserve">Мушкамбарян Д.Т.</t>
  </si>
  <si>
    <t xml:space="preserve">22КИ223</t>
  </si>
  <si>
    <t xml:space="preserve">Поликарпов А.С.</t>
  </si>
  <si>
    <t xml:space="preserve">20КИ156</t>
  </si>
  <si>
    <t xml:space="preserve">Рогунович Г.К.</t>
  </si>
  <si>
    <t xml:space="preserve">22КИ267</t>
  </si>
  <si>
    <t xml:space="preserve">Торопкин Е.В.</t>
  </si>
  <si>
    <t xml:space="preserve">18КИ179</t>
  </si>
  <si>
    <t xml:space="preserve">Федякин М.В.</t>
  </si>
  <si>
    <t xml:space="preserve">22КИ275</t>
  </si>
  <si>
    <t xml:space="preserve">Филатов С.А.</t>
  </si>
  <si>
    <t xml:space="preserve">22КИ276</t>
  </si>
  <si>
    <t xml:space="preserve">Филиппова М.Н.</t>
  </si>
  <si>
    <t xml:space="preserve">21КИ275</t>
  </si>
  <si>
    <t xml:space="preserve">Шлапак И.И.</t>
  </si>
  <si>
    <t xml:space="preserve">Бровкина Алиса Вадимовна</t>
  </si>
  <si>
    <t xml:space="preserve">Козеева Ольга Олеговна</t>
  </si>
  <si>
    <t xml:space="preserve">21КИ042</t>
  </si>
  <si>
    <t xml:space="preserve">Афонин С.Е.</t>
  </si>
  <si>
    <t xml:space="preserve">22КИ032</t>
  </si>
  <si>
    <t xml:space="preserve">Баранов В.А.</t>
  </si>
  <si>
    <t xml:space="preserve">22КИ052</t>
  </si>
  <si>
    <t xml:space="preserve">Власюк Д.М.</t>
  </si>
  <si>
    <t xml:space="preserve">22КИ073</t>
  </si>
  <si>
    <t xml:space="preserve">Григорьева Д.М.</t>
  </si>
  <si>
    <t xml:space="preserve">22КИ075</t>
  </si>
  <si>
    <t xml:space="preserve">Гришко К.А.</t>
  </si>
  <si>
    <t xml:space="preserve">21КИ085</t>
  </si>
  <si>
    <t xml:space="preserve">Давыдов Д.А.</t>
  </si>
  <si>
    <t xml:space="preserve">22КИ087</t>
  </si>
  <si>
    <t xml:space="preserve">Дмитриев М.В.</t>
  </si>
  <si>
    <t xml:space="preserve">22КИ130</t>
  </si>
  <si>
    <t xml:space="preserve">Казалиев И.К.</t>
  </si>
  <si>
    <t xml:space="preserve">22КИ131</t>
  </si>
  <si>
    <t xml:space="preserve">Кайзер Д.А.</t>
  </si>
  <si>
    <t xml:space="preserve">22КИ132</t>
  </si>
  <si>
    <t xml:space="preserve">Кандалаев С.С.</t>
  </si>
  <si>
    <t xml:space="preserve">22КИ137</t>
  </si>
  <si>
    <t xml:space="preserve">Касаткин И.И.</t>
  </si>
  <si>
    <t xml:space="preserve">21КИ138</t>
  </si>
  <si>
    <t xml:space="preserve">Котов Н.Н.</t>
  </si>
  <si>
    <t xml:space="preserve">21КИ152</t>
  </si>
  <si>
    <t xml:space="preserve">Лобацевич Ю.С.</t>
  </si>
  <si>
    <t xml:space="preserve">21КИ154</t>
  </si>
  <si>
    <t xml:space="preserve">Маджидов Д.Н.</t>
  </si>
  <si>
    <t xml:space="preserve">22КИ177</t>
  </si>
  <si>
    <t xml:space="preserve">Майер Г.Е.</t>
  </si>
  <si>
    <t xml:space="preserve">22КИ181</t>
  </si>
  <si>
    <t xml:space="preserve">Мариго Рябов Б.</t>
  </si>
  <si>
    <t xml:space="preserve">22КИ209</t>
  </si>
  <si>
    <t xml:space="preserve">Осиповский Д.С.</t>
  </si>
  <si>
    <t xml:space="preserve">22КИ221</t>
  </si>
  <si>
    <t xml:space="preserve">Пивкин В.Д.</t>
  </si>
  <si>
    <t xml:space="preserve">22КИ222</t>
  </si>
  <si>
    <t xml:space="preserve">Поздняков Д.Д.</t>
  </si>
  <si>
    <t xml:space="preserve">22КИ249</t>
  </si>
  <si>
    <t xml:space="preserve">Сизоненко Ю.П.</t>
  </si>
  <si>
    <t xml:space="preserve">22КИ254</t>
  </si>
  <si>
    <t xml:space="preserve">Скрябин А.А.</t>
  </si>
  <si>
    <t xml:space="preserve">22КИ269</t>
  </si>
  <si>
    <t xml:space="preserve">Трушаков Р.В.</t>
  </si>
  <si>
    <t xml:space="preserve">21КИ251</t>
  </si>
  <si>
    <t xml:space="preserve">Фетисов Д.В.</t>
  </si>
  <si>
    <t xml:space="preserve">22КИ279</t>
  </si>
  <si>
    <t xml:space="preserve">Харченко А.И.</t>
  </si>
  <si>
    <t xml:space="preserve">21КИ279</t>
  </si>
  <si>
    <t xml:space="preserve">Ючковская А.Г.</t>
  </si>
  <si>
    <t xml:space="preserve">22КИ299</t>
  </si>
  <si>
    <t xml:space="preserve">Яцуро Е.Ю.</t>
  </si>
  <si>
    <t xml:space="preserve">Григорьева Дарья Михайловна</t>
  </si>
  <si>
    <t xml:space="preserve">Онуфриева Татьяна Александровна</t>
  </si>
  <si>
    <t xml:space="preserve"> Искусственные нейронные сети</t>
  </si>
  <si>
    <t xml:space="preserve"> Методологии разработки программного обеспечения</t>
  </si>
  <si>
    <t xml:space="preserve">Системы передачи данных</t>
  </si>
  <si>
    <t xml:space="preserve"> Архитектура вычислительных систем (к.п.)</t>
  </si>
  <si>
    <t xml:space="preserve"> Беспроводные технологии передачи данных</t>
  </si>
  <si>
    <t xml:space="preserve"> Методы машинного обучения </t>
  </si>
  <si>
    <t xml:space="preserve"> Экономика</t>
  </si>
  <si>
    <t xml:space="preserve">ИУК2
216 ч. (6 зе)</t>
  </si>
  <si>
    <t xml:space="preserve">ИУК5
108 ч. (3 зе)</t>
  </si>
  <si>
    <t xml:space="preserve">21КИ050</t>
  </si>
  <si>
    <t xml:space="preserve">Башкалова Д.С.</t>
  </si>
  <si>
    <t xml:space="preserve">21КИ082</t>
  </si>
  <si>
    <t xml:space="preserve">Гусаров А.А.</t>
  </si>
  <si>
    <t xml:space="preserve">21КИ090</t>
  </si>
  <si>
    <t xml:space="preserve">Дёмин А.В.</t>
  </si>
  <si>
    <t xml:space="preserve">21КИ139</t>
  </si>
  <si>
    <t xml:space="preserve">Кравцов Д.А.</t>
  </si>
  <si>
    <t xml:space="preserve">21КИ157</t>
  </si>
  <si>
    <t xml:space="preserve">Манухин С.А.</t>
  </si>
  <si>
    <t xml:space="preserve">21КИ160</t>
  </si>
  <si>
    <t xml:space="preserve">Мартынов В.М.</t>
  </si>
  <si>
    <t xml:space="preserve">21КИ163</t>
  </si>
  <si>
    <t xml:space="preserve">Мастыкаш Д.В.</t>
  </si>
  <si>
    <t xml:space="preserve">21КИ174</t>
  </si>
  <si>
    <t xml:space="preserve">Моисеев С.П.</t>
  </si>
  <si>
    <t xml:space="preserve">21КИ016</t>
  </si>
  <si>
    <t xml:space="preserve">Полуянов М.Е.</t>
  </si>
  <si>
    <t xml:space="preserve">21КИ221</t>
  </si>
  <si>
    <t xml:space="preserve">Севастьянова М.А.</t>
  </si>
  <si>
    <t xml:space="preserve">21КИ225</t>
  </si>
  <si>
    <t xml:space="preserve">Сережников А.В.</t>
  </si>
  <si>
    <t xml:space="preserve">21КИ228</t>
  </si>
  <si>
    <t xml:space="preserve">Силиштян Д.П.</t>
  </si>
  <si>
    <t xml:space="preserve">19КИ197</t>
  </si>
  <si>
    <t xml:space="preserve">Совершеннов И.В.</t>
  </si>
  <si>
    <t xml:space="preserve">18КИ163</t>
  </si>
  <si>
    <t xml:space="preserve">Соломников Д.И.</t>
  </si>
  <si>
    <t xml:space="preserve">21КИ260</t>
  </si>
  <si>
    <t xml:space="preserve">Цахилаев А.О.</t>
  </si>
  <si>
    <t xml:space="preserve">Севастьянова Марина Александровна</t>
  </si>
  <si>
    <t xml:space="preserve">21КИ032</t>
  </si>
  <si>
    <t xml:space="preserve">Аксенов И.В.</t>
  </si>
  <si>
    <t xml:space="preserve">21КИ036</t>
  </si>
  <si>
    <t xml:space="preserve">Арбузов К.Ю.</t>
  </si>
  <si>
    <t xml:space="preserve">21КИ089</t>
  </si>
  <si>
    <t xml:space="preserve">Дементьев В.Д.</t>
  </si>
  <si>
    <t xml:space="preserve">21КИ121</t>
  </si>
  <si>
    <t xml:space="preserve">Капитанов Ф.В.</t>
  </si>
  <si>
    <t xml:space="preserve">21КИ126</t>
  </si>
  <si>
    <t xml:space="preserve">Киров А.В.</t>
  </si>
  <si>
    <t xml:space="preserve">21КИ128</t>
  </si>
  <si>
    <t xml:space="preserve">Киселёва А.К.</t>
  </si>
  <si>
    <t xml:space="preserve">21КИ140</t>
  </si>
  <si>
    <t xml:space="preserve">Кравченко Г.А.</t>
  </si>
  <si>
    <t xml:space="preserve">21КИ142</t>
  </si>
  <si>
    <t xml:space="preserve">Кубасов Д.А.</t>
  </si>
  <si>
    <t xml:space="preserve">20КИ121</t>
  </si>
  <si>
    <t xml:space="preserve">Любимов Н.А.</t>
  </si>
  <si>
    <t xml:space="preserve">21КИ177</t>
  </si>
  <si>
    <t xml:space="preserve">Мустафаев Р.Н.</t>
  </si>
  <si>
    <t xml:space="preserve">21КИ178</t>
  </si>
  <si>
    <t xml:space="preserve">Мутовин Н.С.</t>
  </si>
  <si>
    <t xml:space="preserve">18КИ127</t>
  </si>
  <si>
    <t xml:space="preserve">Орешков К.Г.</t>
  </si>
  <si>
    <t xml:space="preserve">19КИ155</t>
  </si>
  <si>
    <t xml:space="preserve">Панкрушов Г.В.</t>
  </si>
  <si>
    <t xml:space="preserve">19КИ162</t>
  </si>
  <si>
    <t xml:space="preserve">Поликарпов Е.С.</t>
  </si>
  <si>
    <t xml:space="preserve">21КИ202</t>
  </si>
  <si>
    <t xml:space="preserve">Преминина С.А.</t>
  </si>
  <si>
    <t xml:space="preserve">21КИ220</t>
  </si>
  <si>
    <t xml:space="preserve">Сарваль П.А.</t>
  </si>
  <si>
    <t xml:space="preserve">18КИ176</t>
  </si>
  <si>
    <t xml:space="preserve">Угольков В.А.</t>
  </si>
  <si>
    <t xml:space="preserve">21КИ261</t>
  </si>
  <si>
    <t xml:space="preserve">Цыганок Д.А.</t>
  </si>
  <si>
    <t xml:space="preserve">21КИ263</t>
  </si>
  <si>
    <t xml:space="preserve">Чернова О.Н.</t>
  </si>
  <si>
    <t xml:space="preserve">21КИ270</t>
  </si>
  <si>
    <t xml:space="preserve">Шилинг М.Н.</t>
  </si>
  <si>
    <t xml:space="preserve">Чернова Оксана Николаевна</t>
  </si>
  <si>
    <t xml:space="preserve">Крысин Иван Александрович</t>
  </si>
  <si>
    <t xml:space="preserve"> Вейвлет-преобразования сигналов</t>
  </si>
  <si>
    <t xml:space="preserve"> Методы проектирования биоинспирированных
распределенных систем</t>
  </si>
  <si>
    <t xml:space="preserve"> Проектирование интеллектуальных систем</t>
  </si>
  <si>
    <t xml:space="preserve"> Системы мультимедиа, прототипирование и разработка интерфейса веб-проекта</t>
  </si>
  <si>
    <t xml:space="preserve"> Технологическая практика</t>
  </si>
  <si>
    <t xml:space="preserve"> Управление персоналом </t>
  </si>
  <si>
    <t xml:space="preserve">ИУК4
180 ч. (5 зе)</t>
  </si>
  <si>
    <t xml:space="preserve">ИУК2
288 ч. (8 зе)</t>
  </si>
  <si>
    <t xml:space="preserve">ИУК2
36 ч. (1 зе)</t>
  </si>
  <si>
    <t xml:space="preserve">24КИМ049</t>
  </si>
  <si>
    <t xml:space="preserve">Видяев К.А.</t>
  </si>
  <si>
    <t xml:space="preserve">24КИМ006</t>
  </si>
  <si>
    <t xml:space="preserve">Гатилова П.Д.</t>
  </si>
  <si>
    <t xml:space="preserve">24КИМ009</t>
  </si>
  <si>
    <t xml:space="preserve">Григорьев И.С.</t>
  </si>
  <si>
    <t xml:space="preserve">24КИМ011</t>
  </si>
  <si>
    <t xml:space="preserve">Задоркин С.М.</t>
  </si>
  <si>
    <t xml:space="preserve">24КИМ015</t>
  </si>
  <si>
    <t xml:space="preserve">Ковров Д.А.</t>
  </si>
  <si>
    <t xml:space="preserve">23КИМ030</t>
  </si>
  <si>
    <t xml:space="preserve">Кузьмин Д.А.</t>
  </si>
  <si>
    <t xml:space="preserve">24КИМ036</t>
  </si>
  <si>
    <t xml:space="preserve">Титов А.Ю.</t>
  </si>
  <si>
    <t xml:space="preserve">24КИМ038</t>
  </si>
  <si>
    <t xml:space="preserve">Царев Л.В.</t>
  </si>
  <si>
    <t xml:space="preserve">Царев Леонид Владимирович</t>
  </si>
  <si>
    <t xml:space="preserve">Чухраев Игорь Владимирович</t>
  </si>
  <si>
    <t xml:space="preserve"> Вычислительные системы с адаптивными информационными каналами</t>
  </si>
  <si>
    <t xml:space="preserve"> Эргономический анализ человеко-машинных интерфейсов</t>
  </si>
  <si>
    <t xml:space="preserve"> Облачные технологии для обработки больших данных (к.п.)</t>
  </si>
  <si>
    <t xml:space="preserve"> Параллельные процессы в информационных системах</t>
  </si>
  <si>
    <t xml:space="preserve"> Перспективные технологии разработки
программных средств</t>
  </si>
  <si>
    <t xml:space="preserve">Проектно-технологическая практика</t>
  </si>
  <si>
    <t xml:space="preserve">23КИМ005</t>
  </si>
  <si>
    <t xml:space="preserve">23КИМ007</t>
  </si>
  <si>
    <t xml:space="preserve">Гордеева А.Ю.</t>
  </si>
  <si>
    <t xml:space="preserve">23КИМ008</t>
  </si>
  <si>
    <t xml:space="preserve">Горлов К.Д.</t>
  </si>
  <si>
    <t xml:space="preserve">23КИМ012</t>
  </si>
  <si>
    <t xml:space="preserve">Долгополова А.С.</t>
  </si>
  <si>
    <t xml:space="preserve">23КИМ016</t>
  </si>
  <si>
    <t xml:space="preserve">Замалаев П.Э.</t>
  </si>
  <si>
    <t xml:space="preserve">23КИМ025</t>
  </si>
  <si>
    <t xml:space="preserve">Колосов М.И.</t>
  </si>
  <si>
    <t xml:space="preserve">23КИМ027</t>
  </si>
  <si>
    <t xml:space="preserve">Королев Ф.А.</t>
  </si>
  <si>
    <t xml:space="preserve">23КИМ067</t>
  </si>
  <si>
    <t xml:space="preserve">Чуев В.Л.</t>
  </si>
  <si>
    <t xml:space="preserve">23КИМ061</t>
  </si>
  <si>
    <t xml:space="preserve">Югай Н.В.</t>
  </si>
  <si>
    <t xml:space="preserve">Долгополова Анастасия Сергеевна</t>
  </si>
  <si>
    <t xml:space="preserve"> Информатика</t>
  </si>
  <si>
    <t xml:space="preserve"> Математический анализ </t>
  </si>
  <si>
    <t xml:space="preserve"> Начертательная геометрия</t>
  </si>
  <si>
    <t xml:space="preserve">24КИ060</t>
  </si>
  <si>
    <t xml:space="preserve">Брижевский В.Е.</t>
  </si>
  <si>
    <t xml:space="preserve">24КИ063</t>
  </si>
  <si>
    <t xml:space="preserve">Булах П.А.</t>
  </si>
  <si>
    <t xml:space="preserve">24КИ352</t>
  </si>
  <si>
    <t xml:space="preserve">Деев И.В.</t>
  </si>
  <si>
    <t xml:space="preserve">24КИ007</t>
  </si>
  <si>
    <t xml:space="preserve">Качаева А.В.</t>
  </si>
  <si>
    <t xml:space="preserve">24КИ160</t>
  </si>
  <si>
    <t xml:space="preserve">Кондраев П.А.</t>
  </si>
  <si>
    <t xml:space="preserve">24КИ010</t>
  </si>
  <si>
    <t xml:space="preserve">Кондря Н.</t>
  </si>
  <si>
    <t xml:space="preserve">24КИ172</t>
  </si>
  <si>
    <t xml:space="preserve">Кудряшов М.А.</t>
  </si>
  <si>
    <t xml:space="preserve">24КИ178</t>
  </si>
  <si>
    <t xml:space="preserve">Куренков А.Г.</t>
  </si>
  <si>
    <t xml:space="preserve">24КИ186</t>
  </si>
  <si>
    <t xml:space="preserve">Леонов Г.О.</t>
  </si>
  <si>
    <t xml:space="preserve">24КИ199</t>
  </si>
  <si>
    <t xml:space="preserve">Малышев Н.Ю.</t>
  </si>
  <si>
    <t xml:space="preserve">24КИ206</t>
  </si>
  <si>
    <t xml:space="preserve">Матвеев А.П.</t>
  </si>
  <si>
    <t xml:space="preserve">23КИ159</t>
  </si>
  <si>
    <t xml:space="preserve">Митрофанов Н.А.</t>
  </si>
  <si>
    <t xml:space="preserve">24КИ215</t>
  </si>
  <si>
    <t xml:space="preserve">Михаляшкин Д.А.</t>
  </si>
  <si>
    <t xml:space="preserve">24КИ218</t>
  </si>
  <si>
    <t xml:space="preserve">Моисеев Ю.В.</t>
  </si>
  <si>
    <t xml:space="preserve">24КИ221</t>
  </si>
  <si>
    <t xml:space="preserve">Морозов П.С.</t>
  </si>
  <si>
    <t xml:space="preserve">24КИ258</t>
  </si>
  <si>
    <t xml:space="preserve">Ратников И.С.</t>
  </si>
  <si>
    <t xml:space="preserve">24КИ411</t>
  </si>
  <si>
    <t xml:space="preserve">Телков А.А.</t>
  </si>
  <si>
    <t xml:space="preserve">24КИ319</t>
  </si>
  <si>
    <t xml:space="preserve">Фарзиев М.Э.</t>
  </si>
  <si>
    <t xml:space="preserve">Булах Петр Алексеевич</t>
  </si>
  <si>
    <t xml:space="preserve">Финошин Александр Викторович</t>
  </si>
  <si>
    <t xml:space="preserve">24КИ031</t>
  </si>
  <si>
    <t xml:space="preserve">Абашин М.И.</t>
  </si>
  <si>
    <t xml:space="preserve">24КИ040</t>
  </si>
  <si>
    <t xml:space="preserve">Андрюшин Р.А.</t>
  </si>
  <si>
    <t xml:space="preserve">24КИ076</t>
  </si>
  <si>
    <t xml:space="preserve">Воробьев Д.В.</t>
  </si>
  <si>
    <t xml:space="preserve">24КИ086</t>
  </si>
  <si>
    <t xml:space="preserve">Герасимов Д.И.</t>
  </si>
  <si>
    <t xml:space="preserve">24КИ103</t>
  </si>
  <si>
    <t xml:space="preserve">Данев Д.Д.</t>
  </si>
  <si>
    <t xml:space="preserve">24КИ124</t>
  </si>
  <si>
    <t xml:space="preserve">Закуткин Д.Р.</t>
  </si>
  <si>
    <t xml:space="preserve">24КИ128</t>
  </si>
  <si>
    <t xml:space="preserve">Зяблицкий Г.Е.</t>
  </si>
  <si>
    <t xml:space="preserve">24КИ141</t>
  </si>
  <si>
    <t xml:space="preserve">Карасев М.А.</t>
  </si>
  <si>
    <t xml:space="preserve">24КИ167</t>
  </si>
  <si>
    <t xml:space="preserve">Кравец И.Э.</t>
  </si>
  <si>
    <t xml:space="preserve">24КИ190</t>
  </si>
  <si>
    <t xml:space="preserve">Лосев Р.Н.</t>
  </si>
  <si>
    <t xml:space="preserve">24КИ228</t>
  </si>
  <si>
    <t xml:space="preserve">Наранович А.В.</t>
  </si>
  <si>
    <t xml:space="preserve">24КИ231</t>
  </si>
  <si>
    <t xml:space="preserve">Никишина К.В.</t>
  </si>
  <si>
    <t xml:space="preserve">24КИ392</t>
  </si>
  <si>
    <t xml:space="preserve">Павловский В.А.</t>
  </si>
  <si>
    <t xml:space="preserve">24КИ247</t>
  </si>
  <si>
    <t xml:space="preserve">Петрусь Р.В.</t>
  </si>
  <si>
    <t xml:space="preserve">24КИ270</t>
  </si>
  <si>
    <t xml:space="preserve">Сазонов Д.М.</t>
  </si>
  <si>
    <t xml:space="preserve">24КИ350</t>
  </si>
  <si>
    <t xml:space="preserve">Яковлев С.Ю.</t>
  </si>
  <si>
    <t xml:space="preserve">Петрусь Руслан Витальевич</t>
  </si>
  <si>
    <t xml:space="preserve"> Основы конструирования приборов</t>
  </si>
  <si>
    <t xml:space="preserve"> Программирование и основы алгоритмизации</t>
  </si>
  <si>
    <t xml:space="preserve"> Управление электрическими машинами</t>
  </si>
  <si>
    <t xml:space="preserve"> Компьютерная графика </t>
  </si>
  <si>
    <t xml:space="preserve"> Язык программирования Си++ </t>
  </si>
  <si>
    <t xml:space="preserve">ИУК3
108 ч. (3 зе)</t>
  </si>
  <si>
    <t xml:space="preserve">23КИ029</t>
  </si>
  <si>
    <t xml:space="preserve">Андриенко С.В.</t>
  </si>
  <si>
    <t xml:space="preserve">23КИ039</t>
  </si>
  <si>
    <t xml:space="preserve">Барков Д.А.</t>
  </si>
  <si>
    <t xml:space="preserve">22КИ045</t>
  </si>
  <si>
    <t xml:space="preserve">Бутузов М.Ю.</t>
  </si>
  <si>
    <t xml:space="preserve">23КИ053</t>
  </si>
  <si>
    <t xml:space="preserve">Вельма А.В.</t>
  </si>
  <si>
    <t xml:space="preserve">23КИ057</t>
  </si>
  <si>
    <t xml:space="preserve">Гайдукова П.А.</t>
  </si>
  <si>
    <t xml:space="preserve">23КИ066</t>
  </si>
  <si>
    <t xml:space="preserve">Гудилин И.П.</t>
  </si>
  <si>
    <t xml:space="preserve">23КИ097</t>
  </si>
  <si>
    <t xml:space="preserve">Исаев А.А.</t>
  </si>
  <si>
    <t xml:space="preserve">23КИ101</t>
  </si>
  <si>
    <t xml:space="preserve">Капитанова Д.М.</t>
  </si>
  <si>
    <t xml:space="preserve">23КИ103</t>
  </si>
  <si>
    <t xml:space="preserve">Качанов А.И.</t>
  </si>
  <si>
    <t xml:space="preserve">23КИ106</t>
  </si>
  <si>
    <t xml:space="preserve">Кирсанов Т.В.</t>
  </si>
  <si>
    <t xml:space="preserve">23КИ111</t>
  </si>
  <si>
    <t xml:space="preserve">Койда С.А.</t>
  </si>
  <si>
    <t xml:space="preserve">20КИ104</t>
  </si>
  <si>
    <t xml:space="preserve">Коняхин А.А.</t>
  </si>
  <si>
    <t xml:space="preserve">22КИ184</t>
  </si>
  <si>
    <t xml:space="preserve">Маслов А.Н.</t>
  </si>
  <si>
    <t xml:space="preserve">23КИ195</t>
  </si>
  <si>
    <t xml:space="preserve">Поляков В.Н.</t>
  </si>
  <si>
    <t xml:space="preserve">23КИ200</t>
  </si>
  <si>
    <t xml:space="preserve">Проваленко В.С.</t>
  </si>
  <si>
    <t xml:space="preserve">23КИ212</t>
  </si>
  <si>
    <t xml:space="preserve">Романов Е.С.</t>
  </si>
  <si>
    <t xml:space="preserve">23КИ246</t>
  </si>
  <si>
    <t xml:space="preserve">Торосян О.Р.</t>
  </si>
  <si>
    <t xml:space="preserve">21КИ258</t>
  </si>
  <si>
    <t xml:space="preserve">Хлопков А.Ю.</t>
  </si>
  <si>
    <t xml:space="preserve">23КИ284</t>
  </si>
  <si>
    <t xml:space="preserve">Щербакова Е.В.</t>
  </si>
  <si>
    <t xml:space="preserve">Койда Сергей Александрович</t>
  </si>
  <si>
    <t xml:space="preserve">Фишер Максим Робертович</t>
  </si>
  <si>
    <t xml:space="preserve">20КИ019</t>
  </si>
  <si>
    <t xml:space="preserve">Александру В.В.</t>
  </si>
  <si>
    <t xml:space="preserve">23КИ027</t>
  </si>
  <si>
    <t xml:space="preserve">Алябьев А.А.</t>
  </si>
  <si>
    <t xml:space="preserve">23КИ028</t>
  </si>
  <si>
    <t xml:space="preserve">23КИ037</t>
  </si>
  <si>
    <t xml:space="preserve">Байков И.А.</t>
  </si>
  <si>
    <t xml:space="preserve">22КИ033</t>
  </si>
  <si>
    <t xml:space="preserve">Бархатов К.О.</t>
  </si>
  <si>
    <t xml:space="preserve">23КИ041</t>
  </si>
  <si>
    <t xml:space="preserve">Бахтин М.Р.</t>
  </si>
  <si>
    <t xml:space="preserve">22КИ035</t>
  </si>
  <si>
    <t xml:space="preserve">Берестов Б.А.</t>
  </si>
  <si>
    <t xml:space="preserve">23КИ079</t>
  </si>
  <si>
    <t xml:space="preserve">Евтеев Д.В.</t>
  </si>
  <si>
    <t xml:space="preserve">23КИ081</t>
  </si>
  <si>
    <t xml:space="preserve">Ермолаев Г.В.</t>
  </si>
  <si>
    <t xml:space="preserve">23КИ105</t>
  </si>
  <si>
    <t xml:space="preserve">Керзикова К.Б.</t>
  </si>
  <si>
    <t xml:space="preserve">23КИ132</t>
  </si>
  <si>
    <t xml:space="preserve">Кундик Е.А.</t>
  </si>
  <si>
    <t xml:space="preserve">23КИ141</t>
  </si>
  <si>
    <t xml:space="preserve">Лунин А.С.</t>
  </si>
  <si>
    <t xml:space="preserve">23КИ143</t>
  </si>
  <si>
    <t xml:space="preserve">Макаров Н.А.</t>
  </si>
  <si>
    <t xml:space="preserve">23КИ146</t>
  </si>
  <si>
    <t xml:space="preserve">Максаков А.В.</t>
  </si>
  <si>
    <t xml:space="preserve">23КИ152</t>
  </si>
  <si>
    <t xml:space="preserve">Марков И.Д.</t>
  </si>
  <si>
    <t xml:space="preserve">23КИ201</t>
  </si>
  <si>
    <t xml:space="preserve">Провоторов Т.В.</t>
  </si>
  <si>
    <t xml:space="preserve">23КИ202</t>
  </si>
  <si>
    <t xml:space="preserve">Прокопий А.И.</t>
  </si>
  <si>
    <t xml:space="preserve">23КИ219</t>
  </si>
  <si>
    <t xml:space="preserve">Савосина В.А.</t>
  </si>
  <si>
    <t xml:space="preserve">23КИ260</t>
  </si>
  <si>
    <t xml:space="preserve">Харьков В.В.</t>
  </si>
  <si>
    <t xml:space="preserve">Савосина Вера Алексеевна</t>
  </si>
  <si>
    <t xml:space="preserve"> Логическое проектирование цифровых систем управления</t>
  </si>
  <si>
    <t xml:space="preserve"> Общая теория автоматического управленияя</t>
  </si>
  <si>
    <t xml:space="preserve"> Программная реализация алгоритмов управления</t>
  </si>
  <si>
    <t xml:space="preserve"> Вычислительные методы теории управления (к.п.)</t>
  </si>
  <si>
    <t xml:space="preserve">ИУК9
72ч. (2 зе)</t>
  </si>
  <si>
    <t xml:space="preserve">22КИ106</t>
  </si>
  <si>
    <t xml:space="preserve">Жидков А.В.</t>
  </si>
  <si>
    <t xml:space="preserve">22КИ111</t>
  </si>
  <si>
    <t xml:space="preserve">Зайцева К.В.</t>
  </si>
  <si>
    <t xml:space="preserve">21КИ118</t>
  </si>
  <si>
    <t xml:space="preserve">Кабанович И.С.</t>
  </si>
  <si>
    <t xml:space="preserve">22КИ159</t>
  </si>
  <si>
    <t xml:space="preserve">Красильников М.В.</t>
  </si>
  <si>
    <t xml:space="preserve">22КИ169</t>
  </si>
  <si>
    <t xml:space="preserve">Лебедев Г.С.</t>
  </si>
  <si>
    <t xml:space="preserve">19КИ117</t>
  </si>
  <si>
    <t xml:space="preserve">Логунов В.Д.</t>
  </si>
  <si>
    <t xml:space="preserve">22КИ178</t>
  </si>
  <si>
    <t xml:space="preserve">Макаров А.В.</t>
  </si>
  <si>
    <t xml:space="preserve">22КИ193</t>
  </si>
  <si>
    <t xml:space="preserve">Морозов М.Е.</t>
  </si>
  <si>
    <t xml:space="preserve">22КИ286</t>
  </si>
  <si>
    <t xml:space="preserve">Черномазов Д.С.</t>
  </si>
  <si>
    <t xml:space="preserve">22КИ013</t>
  </si>
  <si>
    <t xml:space="preserve">Чиканков В.А.</t>
  </si>
  <si>
    <t xml:space="preserve">21КИ273</t>
  </si>
  <si>
    <t xml:space="preserve">Шишмаков Г.А.</t>
  </si>
  <si>
    <t xml:space="preserve">Макаров Арсений Владимирович</t>
  </si>
  <si>
    <t xml:space="preserve">Мельников Дмитрий Владимирович</t>
  </si>
  <si>
    <t xml:space="preserve">22КИ030</t>
  </si>
  <si>
    <t xml:space="preserve">Балахонский Я.А.</t>
  </si>
  <si>
    <t xml:space="preserve">21КИ056</t>
  </si>
  <si>
    <t xml:space="preserve">Булгаков Д.И.</t>
  </si>
  <si>
    <t xml:space="preserve">22КИ058</t>
  </si>
  <si>
    <t xml:space="preserve">Галяунер В.А.</t>
  </si>
  <si>
    <t xml:space="preserve">21КИ071</t>
  </si>
  <si>
    <t xml:space="preserve">Герасютенко А.Д.</t>
  </si>
  <si>
    <t xml:space="preserve">22КИ064</t>
  </si>
  <si>
    <t xml:space="preserve">Голенев М.К.</t>
  </si>
  <si>
    <t xml:space="preserve">22КИ097</t>
  </si>
  <si>
    <t xml:space="preserve">Дуков К.А.</t>
  </si>
  <si>
    <t xml:space="preserve">22КИ158</t>
  </si>
  <si>
    <t xml:space="preserve">Кочетов Н.Я.</t>
  </si>
  <si>
    <t xml:space="preserve">22КИ175</t>
  </si>
  <si>
    <t xml:space="preserve">Лысенко О.Д.</t>
  </si>
  <si>
    <t xml:space="preserve">22КИ203</t>
  </si>
  <si>
    <t xml:space="preserve">Николаев А.С.</t>
  </si>
  <si>
    <t xml:space="preserve">21КИ229</t>
  </si>
  <si>
    <t xml:space="preserve">Симонов А.А.</t>
  </si>
  <si>
    <t xml:space="preserve">22КИ262</t>
  </si>
  <si>
    <t xml:space="preserve">Сухацкий М.О.</t>
  </si>
  <si>
    <t xml:space="preserve">21КИ243</t>
  </si>
  <si>
    <t xml:space="preserve">Туркин А.Д.</t>
  </si>
  <si>
    <t xml:space="preserve">21КИ245</t>
  </si>
  <si>
    <t xml:space="preserve">Тюрин Д.А.</t>
  </si>
  <si>
    <t xml:space="preserve">22КИ277</t>
  </si>
  <si>
    <t xml:space="preserve">Фролов Н.А.</t>
  </si>
  <si>
    <t xml:space="preserve">22КИ296</t>
  </si>
  <si>
    <t xml:space="preserve">Щеглов В.А.</t>
  </si>
  <si>
    <t xml:space="preserve">АК задолжн</t>
  </si>
  <si>
    <t xml:space="preserve">Галяунер Владимир Алексеевич</t>
  </si>
  <si>
    <t xml:space="preserve"> Исполнительные устройства систем управления</t>
  </si>
  <si>
    <t xml:space="preserve"> Оптимальное управление детерминированными процессами</t>
  </si>
  <si>
    <t xml:space="preserve"> Оценивание состояния и идентификация динамических систем</t>
  </si>
  <si>
    <t xml:space="preserve"> Программирование микроконтроллеров</t>
  </si>
  <si>
    <t xml:space="preserve"> Автоматизация проектирования электронных
средств</t>
  </si>
  <si>
    <t xml:space="preserve">Статистическая динамика информационно_x0002_управляющих систем (к.п.)</t>
  </si>
  <si>
    <t xml:space="preserve">ИУК3
72ч. (2 зе)</t>
  </si>
  <si>
    <t xml:space="preserve">мк8
108ч. (3 зе)</t>
  </si>
  <si>
    <t xml:space="preserve">21КИ002</t>
  </si>
  <si>
    <t xml:space="preserve">Безлюдов М.Д.</t>
  </si>
  <si>
    <t xml:space="preserve">21КИ063</t>
  </si>
  <si>
    <t xml:space="preserve">Васенков П.А.</t>
  </si>
  <si>
    <t xml:space="preserve">21КИ068</t>
  </si>
  <si>
    <t xml:space="preserve">Воробьев В.С.</t>
  </si>
  <si>
    <t xml:space="preserve">19КИ046</t>
  </si>
  <si>
    <t xml:space="preserve">Грачев М.Р.</t>
  </si>
  <si>
    <t xml:space="preserve">21КИ005</t>
  </si>
  <si>
    <t xml:space="preserve">Гржегоржевский А.А.</t>
  </si>
  <si>
    <t xml:space="preserve">21КИ094</t>
  </si>
  <si>
    <t xml:space="preserve">Евтеева Д.М.</t>
  </si>
  <si>
    <t xml:space="preserve">19КИ151</t>
  </si>
  <si>
    <t xml:space="preserve">Оленич Н.Н.</t>
  </si>
  <si>
    <t xml:space="preserve">21КИ213</t>
  </si>
  <si>
    <t xml:space="preserve">Рыжов В.Ю.</t>
  </si>
  <si>
    <t xml:space="preserve">21КИ232</t>
  </si>
  <si>
    <t xml:space="preserve">Смирнов Ф.С.</t>
  </si>
  <si>
    <t xml:space="preserve">21КИ253</t>
  </si>
  <si>
    <t xml:space="preserve">Фирсов В.П.</t>
  </si>
  <si>
    <t xml:space="preserve">19КИ235</t>
  </si>
  <si>
    <t xml:space="preserve">Шмелев Д.Н.</t>
  </si>
  <si>
    <t xml:space="preserve">Староста</t>
  </si>
  <si>
    <t xml:space="preserve">Евтеева Дарья Михайловна</t>
  </si>
  <si>
    <t xml:space="preserve">Куратор </t>
  </si>
  <si>
    <t xml:space="preserve">Коновалов Владимир Николаевич</t>
  </si>
  <si>
    <t xml:space="preserve">21КИ030</t>
  </si>
  <si>
    <t xml:space="preserve">Акиндинов Д.А.</t>
  </si>
  <si>
    <t xml:space="preserve">20КИ029</t>
  </si>
  <si>
    <t xml:space="preserve">Белкин Д.С.</t>
  </si>
  <si>
    <t xml:space="preserve">21КИ083</t>
  </si>
  <si>
    <t xml:space="preserve">Гутман Л.И.</t>
  </si>
  <si>
    <t xml:space="preserve">21КИ098</t>
  </si>
  <si>
    <t xml:space="preserve">Елинский А.А.</t>
  </si>
  <si>
    <t xml:space="preserve">18КИ070</t>
  </si>
  <si>
    <t xml:space="preserve">Замчалов К.С.</t>
  </si>
  <si>
    <t xml:space="preserve">21КИ161</t>
  </si>
  <si>
    <t xml:space="preserve">Мартынов Н.А.</t>
  </si>
  <si>
    <t xml:space="preserve">21КИ200</t>
  </si>
  <si>
    <t xml:space="preserve">Порываев О.П.</t>
  </si>
  <si>
    <t xml:space="preserve">21КИ208</t>
  </si>
  <si>
    <t xml:space="preserve">Решетников Г.А.</t>
  </si>
  <si>
    <t xml:space="preserve">21КИ254</t>
  </si>
  <si>
    <t xml:space="preserve">Фомин А.Д.</t>
  </si>
  <si>
    <t xml:space="preserve">Гутман Леонид Ильич</t>
  </si>
  <si>
    <t xml:space="preserve"> Математическое и имитационное моделирование </t>
  </si>
  <si>
    <t xml:space="preserve"> Методы и алгоритмы интеллектуальной обработки сигналов и изображений</t>
  </si>
  <si>
    <t xml:space="preserve">Оптимальное управление техническими системами</t>
  </si>
  <si>
    <t xml:space="preserve"> Управление сложными техническими системами</t>
  </si>
  <si>
    <t xml:space="preserve"> Управление персоналом</t>
  </si>
  <si>
    <t xml:space="preserve">МК7
144 ч. (4 зе)</t>
  </si>
  <si>
    <t xml:space="preserve">ИУК3
288 ч. (8 зе)</t>
  </si>
  <si>
    <t xml:space="preserve">ИУК3
36 ч. (1 зе)</t>
  </si>
  <si>
    <t xml:space="preserve">24КИМ004</t>
  </si>
  <si>
    <t xml:space="preserve">Варданян Т.А.</t>
  </si>
  <si>
    <t xml:space="preserve">23КИМ018</t>
  </si>
  <si>
    <t xml:space="preserve">Захаров И.Д.</t>
  </si>
  <si>
    <t xml:space="preserve">24КИМ018</t>
  </si>
  <si>
    <t xml:space="preserve">Лашкевич Д.М.</t>
  </si>
  <si>
    <t xml:space="preserve">23КИМ041</t>
  </si>
  <si>
    <t xml:space="preserve">Морев И.В.</t>
  </si>
  <si>
    <t xml:space="preserve">24КИМ021</t>
  </si>
  <si>
    <t xml:space="preserve">Никитин М.В.</t>
  </si>
  <si>
    <t xml:space="preserve">23КИМ044</t>
  </si>
  <si>
    <t xml:space="preserve">Панченко А.П.</t>
  </si>
  <si>
    <t xml:space="preserve">24КИМ028</t>
  </si>
  <si>
    <t xml:space="preserve">Рябченков С.В.</t>
  </si>
  <si>
    <t xml:space="preserve">24КИМ054</t>
  </si>
  <si>
    <t xml:space="preserve">Семёхин Д.Е.</t>
  </si>
  <si>
    <t xml:space="preserve">23КИМ053</t>
  </si>
  <si>
    <t xml:space="preserve">Терехов А.И.</t>
  </si>
  <si>
    <t xml:space="preserve">24КИМ041</t>
  </si>
  <si>
    <t xml:space="preserve">Чэнь Х.</t>
  </si>
  <si>
    <t xml:space="preserve">24КИМ044</t>
  </si>
  <si>
    <t xml:space="preserve">Шиленков И.Д.</t>
  </si>
  <si>
    <t xml:space="preserve">Никитин Максим Вячеславович</t>
  </si>
  <si>
    <t xml:space="preserve">Корлякова Мария Олеговна</t>
  </si>
  <si>
    <t xml:space="preserve"> Контроль и диагностика электронных приборов и средств</t>
  </si>
  <si>
    <t xml:space="preserve"> Современные проблемы компьютерных и телекоммуникационных сетей</t>
  </si>
  <si>
    <t xml:space="preserve"> Адаптивное управление электромеханическими системами</t>
  </si>
  <si>
    <t xml:space="preserve"> Нечеткие и робастные системы управления</t>
  </si>
  <si>
    <t xml:space="preserve">21КИМ705</t>
  </si>
  <si>
    <t xml:space="preserve">Баранова А.А.</t>
  </si>
  <si>
    <t xml:space="preserve">23КИМ006</t>
  </si>
  <si>
    <t xml:space="preserve">Гафуров Э.Т.</t>
  </si>
  <si>
    <t xml:space="preserve">23КИМ019</t>
  </si>
  <si>
    <t xml:space="preserve">Зинов Е.А.</t>
  </si>
  <si>
    <t xml:space="preserve">23КИМ023</t>
  </si>
  <si>
    <t xml:space="preserve">Иванцов Д.А.</t>
  </si>
  <si>
    <t xml:space="preserve">23КИМ031</t>
  </si>
  <si>
    <t xml:space="preserve">Литовченко Д.М.</t>
  </si>
  <si>
    <t xml:space="preserve">23КИМ035</t>
  </si>
  <si>
    <t xml:space="preserve">Маркелов И.П.</t>
  </si>
  <si>
    <t xml:space="preserve">22КИМ035</t>
  </si>
  <si>
    <t xml:space="preserve">Пармузин И.И.</t>
  </si>
  <si>
    <t xml:space="preserve">22КИМ053</t>
  </si>
  <si>
    <t xml:space="preserve">Хайруллин Р.О.</t>
  </si>
  <si>
    <t xml:space="preserve">Гафуров Эмиль Тимурович</t>
  </si>
  <si>
    <t xml:space="preserve"> Высокоуровневое программирование</t>
  </si>
  <si>
    <t xml:space="preserve"> Ознакомительная практика</t>
  </si>
  <si>
    <t xml:space="preserve">ИУК4
72 ч. (2 зе)</t>
  </si>
  <si>
    <t xml:space="preserve">24КИ045</t>
  </si>
  <si>
    <t xml:space="preserve">Артёмов А.С.</t>
  </si>
  <si>
    <t xml:space="preserve">24КИ048</t>
  </si>
  <si>
    <t xml:space="preserve">Багров И.О.</t>
  </si>
  <si>
    <t xml:space="preserve">24КИ057</t>
  </si>
  <si>
    <t xml:space="preserve">Борисенко С.В.</t>
  </si>
  <si>
    <t xml:space="preserve">24КИ357</t>
  </si>
  <si>
    <t xml:space="preserve">Василенков И.А.</t>
  </si>
  <si>
    <t xml:space="preserve">24КИ360</t>
  </si>
  <si>
    <t xml:space="preserve">Гаврилеев Д.С.</t>
  </si>
  <si>
    <t xml:space="preserve">24КИ435</t>
  </si>
  <si>
    <t xml:space="preserve">Ганбаатар Х.</t>
  </si>
  <si>
    <t xml:space="preserve">24КИ095</t>
  </si>
  <si>
    <t xml:space="preserve">Горохова Д.А.</t>
  </si>
  <si>
    <t xml:space="preserve">24КИ100</t>
  </si>
  <si>
    <t xml:space="preserve">Гудов Н.О.</t>
  </si>
  <si>
    <t xml:space="preserve">24КИ142</t>
  </si>
  <si>
    <t xml:space="preserve">Карпов И.М.</t>
  </si>
  <si>
    <t xml:space="preserve">24КИ009</t>
  </si>
  <si>
    <t xml:space="preserve">Клипко В.В.</t>
  </si>
  <si>
    <t xml:space="preserve">24КИ371</t>
  </si>
  <si>
    <t xml:space="preserve">Клюев И.А.</t>
  </si>
  <si>
    <t xml:space="preserve">24КИ372</t>
  </si>
  <si>
    <t xml:space="preserve">Козлова Е.Д.</t>
  </si>
  <si>
    <t xml:space="preserve">24КИ165</t>
  </si>
  <si>
    <t xml:space="preserve">Костин И.В.</t>
  </si>
  <si>
    <t xml:space="preserve">24КИ168</t>
  </si>
  <si>
    <t xml:space="preserve">Красавин А.А.</t>
  </si>
  <si>
    <t xml:space="preserve">24КИ183</t>
  </si>
  <si>
    <t xml:space="preserve">Левушкина П.А.</t>
  </si>
  <si>
    <t xml:space="preserve">24КИ381</t>
  </si>
  <si>
    <t xml:space="preserve">Лукашов Д.А.</t>
  </si>
  <si>
    <t xml:space="preserve">24КИ429</t>
  </si>
  <si>
    <t xml:space="preserve">Лукоянов И.С.</t>
  </si>
  <si>
    <t xml:space="preserve">24КИ237</t>
  </si>
  <si>
    <t xml:space="preserve">Омаргаджиев Р.Р.</t>
  </si>
  <si>
    <t xml:space="preserve">24КИ259</t>
  </si>
  <si>
    <t xml:space="preserve">Рахимов Э.Ш.</t>
  </si>
  <si>
    <t xml:space="preserve">24КИ019</t>
  </si>
  <si>
    <t xml:space="preserve">Салов К.С.</t>
  </si>
  <si>
    <t xml:space="preserve">24КИ273</t>
  </si>
  <si>
    <t xml:space="preserve">Сафин А.М.</t>
  </si>
  <si>
    <t xml:space="preserve">23КИ012</t>
  </si>
  <si>
    <t xml:space="preserve">Серегин В.Ю.</t>
  </si>
  <si>
    <t xml:space="preserve">24КИ433</t>
  </si>
  <si>
    <t xml:space="preserve">Собириён С.С.</t>
  </si>
  <si>
    <t xml:space="preserve">24КИ020</t>
  </si>
  <si>
    <t xml:space="preserve">Соловьев И.В.</t>
  </si>
  <si>
    <t xml:space="preserve">24КИ296</t>
  </si>
  <si>
    <t xml:space="preserve">Сулоев Е.И.</t>
  </si>
  <si>
    <t xml:space="preserve">24КИ303</t>
  </si>
  <si>
    <t xml:space="preserve">Титов А.С.</t>
  </si>
  <si>
    <t xml:space="preserve">24КИ317</t>
  </si>
  <si>
    <t xml:space="preserve">Усенко Е.Р.</t>
  </si>
  <si>
    <t xml:space="preserve">24КИ320</t>
  </si>
  <si>
    <t xml:space="preserve">Фаткулин В.А.</t>
  </si>
  <si>
    <t xml:space="preserve">24КИ027</t>
  </si>
  <si>
    <t xml:space="preserve">Чиканкова А.А.</t>
  </si>
  <si>
    <t xml:space="preserve">Гудов Никита Олегович</t>
  </si>
  <si>
    <t xml:space="preserve">Амеличева Кира Александровна</t>
  </si>
  <si>
    <t xml:space="preserve">24КИ030</t>
  </si>
  <si>
    <t xml:space="preserve">Абазов Р.А.</t>
  </si>
  <si>
    <t xml:space="preserve">24КИ059</t>
  </si>
  <si>
    <t xml:space="preserve">Борисов К.Н.</t>
  </si>
  <si>
    <t xml:space="preserve">24КИ361</t>
  </si>
  <si>
    <t xml:space="preserve">Гайдамут Н.В.</t>
  </si>
  <si>
    <t xml:space="preserve">24КИ363</t>
  </si>
  <si>
    <t xml:space="preserve">Горбунова К.Д.</t>
  </si>
  <si>
    <t xml:space="preserve">24КИ099</t>
  </si>
  <si>
    <t xml:space="preserve">Гришанин М.А.</t>
  </si>
  <si>
    <t xml:space="preserve">24КИ109</t>
  </si>
  <si>
    <t xml:space="preserve">Дмитриев В.В.</t>
  </si>
  <si>
    <t xml:space="preserve">24КИ134</t>
  </si>
  <si>
    <t xml:space="preserve">Ильченко К.В.</t>
  </si>
  <si>
    <t xml:space="preserve">21КИ120</t>
  </si>
  <si>
    <t xml:space="preserve">Камнев А.Д.</t>
  </si>
  <si>
    <t xml:space="preserve">24КИ150</t>
  </si>
  <si>
    <t xml:space="preserve">Кисвянцев Д.М.</t>
  </si>
  <si>
    <t xml:space="preserve">23КИ110</t>
  </si>
  <si>
    <t xml:space="preserve">Козлов В.А.</t>
  </si>
  <si>
    <t xml:space="preserve">24КИ376</t>
  </si>
  <si>
    <t xml:space="preserve">Королев М.Д.</t>
  </si>
  <si>
    <t xml:space="preserve">24КИ185</t>
  </si>
  <si>
    <t xml:space="preserve">Леонов А.Ю.</t>
  </si>
  <si>
    <t xml:space="preserve">24КИ192</t>
  </si>
  <si>
    <t xml:space="preserve">Лытасов А.С.</t>
  </si>
  <si>
    <t xml:space="preserve">24КИ195</t>
  </si>
  <si>
    <t xml:space="preserve">Макаров Д.А.</t>
  </si>
  <si>
    <t xml:space="preserve">24КИ198</t>
  </si>
  <si>
    <t xml:space="preserve">Малков Р.Е.</t>
  </si>
  <si>
    <t xml:space="preserve">24КИ384</t>
  </si>
  <si>
    <t xml:space="preserve">Медведев М.С.</t>
  </si>
  <si>
    <t xml:space="preserve">24КИ387</t>
  </si>
  <si>
    <t xml:space="preserve">Неспанов М.А.</t>
  </si>
  <si>
    <t xml:space="preserve">24КИ249</t>
  </si>
  <si>
    <t xml:space="preserve">Подосёнов С.А.</t>
  </si>
  <si>
    <t xml:space="preserve">24КИ274</t>
  </si>
  <si>
    <t xml:space="preserve">Сафронников Ю.Е.</t>
  </si>
  <si>
    <t xml:space="preserve">24КИ276</t>
  </si>
  <si>
    <t xml:space="preserve">Семенков Д.А.</t>
  </si>
  <si>
    <t xml:space="preserve">24КИ278</t>
  </si>
  <si>
    <t xml:space="preserve">Сергунов П.И.</t>
  </si>
  <si>
    <t xml:space="preserve">24КИ297</t>
  </si>
  <si>
    <t xml:space="preserve">Суринова В.Д.</t>
  </si>
  <si>
    <t xml:space="preserve">24КИ414</t>
  </si>
  <si>
    <t xml:space="preserve">Ужегов А.А.</t>
  </si>
  <si>
    <t xml:space="preserve">24КИ316</t>
  </si>
  <si>
    <t xml:space="preserve">Усачев Е.И.</t>
  </si>
  <si>
    <t xml:space="preserve">24КИ321</t>
  </si>
  <si>
    <t xml:space="preserve">Федоров А.С.</t>
  </si>
  <si>
    <t xml:space="preserve">24КИ416</t>
  </si>
  <si>
    <t xml:space="preserve">Хаджинов Е.С.</t>
  </si>
  <si>
    <t xml:space="preserve">24КИ427</t>
  </si>
  <si>
    <t xml:space="preserve">Ханьжин М.А.</t>
  </si>
  <si>
    <t xml:space="preserve">24КИ335</t>
  </si>
  <si>
    <t xml:space="preserve">Черепанов В.Ю.</t>
  </si>
  <si>
    <t xml:space="preserve">24КИ342</t>
  </si>
  <si>
    <t xml:space="preserve">Шельпякова А.В.</t>
  </si>
  <si>
    <t xml:space="preserve">АК</t>
  </si>
  <si>
    <t xml:space="preserve">Дмитриев Владислав Викторович</t>
  </si>
  <si>
    <t xml:space="preserve">Амеличива Кира Александровна</t>
  </si>
  <si>
    <t xml:space="preserve">24КИ036</t>
  </si>
  <si>
    <t xml:space="preserve">Акобян Р.Р.</t>
  </si>
  <si>
    <t xml:space="preserve">24КИ038</t>
  </si>
  <si>
    <t xml:space="preserve">Александров А.В.</t>
  </si>
  <si>
    <t xml:space="preserve">24КИ047</t>
  </si>
  <si>
    <t xml:space="preserve">Афанасьева Ю.Р.</t>
  </si>
  <si>
    <t xml:space="preserve">24КИ058</t>
  </si>
  <si>
    <t xml:space="preserve">Борисов Д.С.</t>
  </si>
  <si>
    <t xml:space="preserve">24КИ366</t>
  </si>
  <si>
    <t xml:space="preserve">Гундаков Р.И.</t>
  </si>
  <si>
    <t xml:space="preserve">24КИ120</t>
  </si>
  <si>
    <t xml:space="preserve">Елисеев Н.С.</t>
  </si>
  <si>
    <t xml:space="preserve">24КИ125</t>
  </si>
  <si>
    <t xml:space="preserve">Зимина С.Ю.</t>
  </si>
  <si>
    <t xml:space="preserve">24КИ138</t>
  </si>
  <si>
    <t xml:space="preserve">Казачинский М.Ю.</t>
  </si>
  <si>
    <t xml:space="preserve">24КИ157</t>
  </si>
  <si>
    <t xml:space="preserve">Колышкин А.С.</t>
  </si>
  <si>
    <t xml:space="preserve">24КИ173</t>
  </si>
  <si>
    <t xml:space="preserve">Кузин Н.С.</t>
  </si>
  <si>
    <t xml:space="preserve">24КИ379</t>
  </si>
  <si>
    <t xml:space="preserve">Лайков Я.Д.</t>
  </si>
  <si>
    <t xml:space="preserve">24КИ188</t>
  </si>
  <si>
    <t xml:space="preserve">Логунков И.М.</t>
  </si>
  <si>
    <t xml:space="preserve">24КИ224</t>
  </si>
  <si>
    <t xml:space="preserve">Мырзагалиева З.Н.</t>
  </si>
  <si>
    <t xml:space="preserve">24КИ233</t>
  </si>
  <si>
    <t xml:space="preserve">Новиков В.В.</t>
  </si>
  <si>
    <t xml:space="preserve">24КИ238</t>
  </si>
  <si>
    <t xml:space="preserve">Орехов В.В.</t>
  </si>
  <si>
    <t xml:space="preserve">24КИ248</t>
  </si>
  <si>
    <t xml:space="preserve">Питикин М.И.</t>
  </si>
  <si>
    <t xml:space="preserve">23КИ205</t>
  </si>
  <si>
    <t xml:space="preserve">Прунов Д.Н.</t>
  </si>
  <si>
    <t xml:space="preserve">24КИ272</t>
  </si>
  <si>
    <t xml:space="preserve">Самохина Е.А.</t>
  </si>
  <si>
    <t xml:space="preserve">24КИ399</t>
  </si>
  <si>
    <t xml:space="preserve">Семизорова</t>
  </si>
  <si>
    <t xml:space="preserve">24КИ400</t>
  </si>
  <si>
    <t xml:space="preserve">Ситнов Е.В.</t>
  </si>
  <si>
    <t xml:space="preserve">24КИ285</t>
  </si>
  <si>
    <t xml:space="preserve">Скринников Д.</t>
  </si>
  <si>
    <t xml:space="preserve">24КИ402</t>
  </si>
  <si>
    <t xml:space="preserve">Смирнов К.И.</t>
  </si>
  <si>
    <t xml:space="preserve">24КИ295</t>
  </si>
  <si>
    <t xml:space="preserve">Старовойт А.В.</t>
  </si>
  <si>
    <t xml:space="preserve">24КИ406</t>
  </si>
  <si>
    <t xml:space="preserve">Столяров В.В.</t>
  </si>
  <si>
    <t xml:space="preserve">24КИ328</t>
  </si>
  <si>
    <t xml:space="preserve">Хлопенов Е.О.</t>
  </si>
  <si>
    <t xml:space="preserve">24КИ418</t>
  </si>
  <si>
    <t xml:space="preserve">Черников А.П.</t>
  </si>
  <si>
    <t xml:space="preserve">24КИ419</t>
  </si>
  <si>
    <t xml:space="preserve">Шишкин И.Н.</t>
  </si>
  <si>
    <t xml:space="preserve">24КИ347</t>
  </si>
  <si>
    <t xml:space="preserve">Шмытков Р.В.</t>
  </si>
  <si>
    <t xml:space="preserve">Андриянов Г. И.</t>
  </si>
  <si>
    <t xml:space="preserve">Писаренко И. С.</t>
  </si>
  <si>
    <t xml:space="preserve">Савотин А. И.</t>
  </si>
  <si>
    <t xml:space="preserve">Дерюгина Е. О.</t>
  </si>
  <si>
    <t xml:space="preserve">Лысенко А. Л.</t>
  </si>
  <si>
    <t xml:space="preserve">Пчелинцева Н. И.</t>
  </si>
  <si>
    <t xml:space="preserve">Шестернина Е. А.</t>
  </si>
  <si>
    <t xml:space="preserve">Крыленкина А. В.</t>
  </si>
  <si>
    <t xml:space="preserve">Амеличева К. А.</t>
  </si>
  <si>
    <t xml:space="preserve">Смирнов Константин Игоревич</t>
  </si>
  <si>
    <t xml:space="preserve">Пчелинцева Наталья Ибрагимовна</t>
  </si>
  <si>
    <t xml:space="preserve"> Перспективные языки программирования</t>
  </si>
  <si>
    <t xml:space="preserve"> Дискретная математика</t>
  </si>
  <si>
    <t xml:space="preserve"> Типы и структуры данных</t>
  </si>
  <si>
    <t xml:space="preserve">23КИ332</t>
  </si>
  <si>
    <t xml:space="preserve">Абдалла А.М.</t>
  </si>
  <si>
    <t xml:space="preserve">22КИ026</t>
  </si>
  <si>
    <t xml:space="preserve">Арефьев Ф.Д.</t>
  </si>
  <si>
    <t xml:space="preserve">23КИ036</t>
  </si>
  <si>
    <t xml:space="preserve">Бабошко К.А.</t>
  </si>
  <si>
    <t xml:space="preserve">23КИ042</t>
  </si>
  <si>
    <t xml:space="preserve">Белозеров В.А.</t>
  </si>
  <si>
    <t xml:space="preserve">23КИ333</t>
  </si>
  <si>
    <t xml:space="preserve">Беседин А.В.</t>
  </si>
  <si>
    <t xml:space="preserve">23КИ045</t>
  </si>
  <si>
    <t xml:space="preserve">Богачев А.Н.</t>
  </si>
  <si>
    <t xml:space="preserve">23КИ049</t>
  </si>
  <si>
    <t xml:space="preserve">Бугаевский С.А.</t>
  </si>
  <si>
    <t xml:space="preserve">23КИ302</t>
  </si>
  <si>
    <t xml:space="preserve">Булгаков П.С.</t>
  </si>
  <si>
    <t xml:space="preserve">23КИ006</t>
  </si>
  <si>
    <t xml:space="preserve">Денисевич М.А.</t>
  </si>
  <si>
    <t xml:space="preserve">23КИ076</t>
  </si>
  <si>
    <t xml:space="preserve">Донской Д.Д.</t>
  </si>
  <si>
    <t xml:space="preserve">23КИ334</t>
  </si>
  <si>
    <t xml:space="preserve">Ибрагим Р.В.</t>
  </si>
  <si>
    <t xml:space="preserve">23КИ094</t>
  </si>
  <si>
    <t xml:space="preserve">Игнатов А.Н.</t>
  </si>
  <si>
    <t xml:space="preserve">23КИ115</t>
  </si>
  <si>
    <t xml:space="preserve">Колычев Д.М.</t>
  </si>
  <si>
    <t xml:space="preserve">23КИ158</t>
  </si>
  <si>
    <t xml:space="preserve">Мирзабеков Р.Г.</t>
  </si>
  <si>
    <t xml:space="preserve">23КИ011</t>
  </si>
  <si>
    <t xml:space="preserve">Низовская Е.Ю.</t>
  </si>
  <si>
    <t xml:space="preserve">20КИ282</t>
  </si>
  <si>
    <t xml:space="preserve">Погосян Р.Э.</t>
  </si>
  <si>
    <t xml:space="preserve">23КИ197</t>
  </si>
  <si>
    <t xml:space="preserve">Попков Н.Р.</t>
  </si>
  <si>
    <t xml:space="preserve">22КИ244</t>
  </si>
  <si>
    <t xml:space="preserve">Селиверстов Ю.А.</t>
  </si>
  <si>
    <t xml:space="preserve">23КИ238</t>
  </si>
  <si>
    <t xml:space="preserve">Суриков Н.С.</t>
  </si>
  <si>
    <t xml:space="preserve">23КИ240</t>
  </si>
  <si>
    <t xml:space="preserve">Суханов Г.П.</t>
  </si>
  <si>
    <t xml:space="preserve">23КИ276</t>
  </si>
  <si>
    <t xml:space="preserve">Шейн Е.Р.</t>
  </si>
  <si>
    <t xml:space="preserve">23КИ279</t>
  </si>
  <si>
    <t xml:space="preserve">Ширантаева А.Г.</t>
  </si>
  <si>
    <t xml:space="preserve">Чухраев И. В.</t>
  </si>
  <si>
    <t xml:space="preserve">Осипова О. В.</t>
  </si>
  <si>
    <t xml:space="preserve">Силаева Н. А.</t>
  </si>
  <si>
    <t xml:space="preserve">Никитенко У. В.</t>
  </si>
  <si>
    <t xml:space="preserve">Журавлева И. В. Гаврикова Л. Г. Тунанова Н. А.</t>
  </si>
  <si>
    <t xml:space="preserve">Былинка М. И.</t>
  </si>
  <si>
    <t xml:space="preserve">Ильин В. В.</t>
  </si>
  <si>
    <t xml:space="preserve">Масютин С. В.</t>
  </si>
  <si>
    <t xml:space="preserve">Суриков Никита Сергеевич</t>
  </si>
  <si>
    <t xml:space="preserve">Никитенко Ульяна Вячеславовна</t>
  </si>
  <si>
    <t xml:space="preserve">23КИ024</t>
  </si>
  <si>
    <t xml:space="preserve">Алова А.Д.</t>
  </si>
  <si>
    <t xml:space="preserve">23КИ033</t>
  </si>
  <si>
    <t xml:space="preserve">Артамонов С.М.</t>
  </si>
  <si>
    <t xml:space="preserve">23КИ034</t>
  </si>
  <si>
    <t xml:space="preserve">Артемочкина М.В.</t>
  </si>
  <si>
    <t xml:space="preserve">23КИ044</t>
  </si>
  <si>
    <t xml:space="preserve">Бобров К.А.</t>
  </si>
  <si>
    <t xml:space="preserve">23КИ050</t>
  </si>
  <si>
    <t xml:space="preserve">Бычков Д.А.</t>
  </si>
  <si>
    <t xml:space="preserve">23КИ052</t>
  </si>
  <si>
    <t xml:space="preserve">Ванин И.Т.</t>
  </si>
  <si>
    <t xml:space="preserve">23КИ065</t>
  </si>
  <si>
    <t xml:space="preserve">Грачев В.М.</t>
  </si>
  <si>
    <t xml:space="preserve">23КИ125</t>
  </si>
  <si>
    <t xml:space="preserve">Кривошлыков Е.А.</t>
  </si>
  <si>
    <t xml:space="preserve">23КИ316</t>
  </si>
  <si>
    <t xml:space="preserve">Кузнецов И.П.</t>
  </si>
  <si>
    <t xml:space="preserve">23КИ135</t>
  </si>
  <si>
    <t xml:space="preserve">Лебедев Д.Ю.</t>
  </si>
  <si>
    <t xml:space="preserve">23КИ144</t>
  </si>
  <si>
    <t xml:space="preserve">Макаров Т.О.</t>
  </si>
  <si>
    <t xml:space="preserve">23КИ155</t>
  </si>
  <si>
    <t xml:space="preserve">Машарова Т.К.</t>
  </si>
  <si>
    <t xml:space="preserve">19КИ133</t>
  </si>
  <si>
    <t xml:space="preserve">Медведев С.Ю.</t>
  </si>
  <si>
    <t xml:space="preserve">20КИ245</t>
  </si>
  <si>
    <t xml:space="preserve">Пиянин Р.С.</t>
  </si>
  <si>
    <t xml:space="preserve">23КИ223</t>
  </si>
  <si>
    <t xml:space="preserve">Сахабиев С.О.</t>
  </si>
  <si>
    <t xml:space="preserve">22КИ246</t>
  </si>
  <si>
    <t xml:space="preserve">Семёнов И.С.</t>
  </si>
  <si>
    <t xml:space="preserve">21КИ230</t>
  </si>
  <si>
    <t xml:space="preserve">Скаржинский В.С.</t>
  </si>
  <si>
    <t xml:space="preserve">23КИ236</t>
  </si>
  <si>
    <t xml:space="preserve">Степина Е.В.</t>
  </si>
  <si>
    <t xml:space="preserve">23КИ338</t>
  </si>
  <si>
    <t xml:space="preserve">Сулоев К.И.</t>
  </si>
  <si>
    <t xml:space="preserve">21КИ244</t>
  </si>
  <si>
    <t xml:space="preserve">Туркова Д.А.</t>
  </si>
  <si>
    <t xml:space="preserve">23КИ343</t>
  </si>
  <si>
    <t xml:space="preserve">Цугунян Ю.А.</t>
  </si>
  <si>
    <t xml:space="preserve">23КИ285</t>
  </si>
  <si>
    <t xml:space="preserve">Щукин Д.А.</t>
  </si>
  <si>
    <t xml:space="preserve">23КИ287</t>
  </si>
  <si>
    <t xml:space="preserve">Юркин Н.А.</t>
  </si>
  <si>
    <t xml:space="preserve">Кривошлыков Егор Андреевич</t>
  </si>
  <si>
    <t xml:space="preserve">Никетенко Ульяна Вячеславовна</t>
  </si>
  <si>
    <t xml:space="preserve">23КИ020</t>
  </si>
  <si>
    <t xml:space="preserve">Акимов С.В.</t>
  </si>
  <si>
    <t xml:space="preserve">23КИ026</t>
  </si>
  <si>
    <t xml:space="preserve">Алымова А.В.</t>
  </si>
  <si>
    <t xml:space="preserve">23КИ301</t>
  </si>
  <si>
    <t xml:space="preserve">Бобылева Д.Д.</t>
  </si>
  <si>
    <t xml:space="preserve">23КИ074</t>
  </si>
  <si>
    <t xml:space="preserve">Добров Д.С.</t>
  </si>
  <si>
    <t xml:space="preserve">23КИ119</t>
  </si>
  <si>
    <t xml:space="preserve">Коробко Л.Ф.</t>
  </si>
  <si>
    <t xml:space="preserve">23КИ120</t>
  </si>
  <si>
    <t xml:space="preserve">Королев С.К.</t>
  </si>
  <si>
    <t xml:space="preserve">23КИ142</t>
  </si>
  <si>
    <t xml:space="preserve">Мазина Ю.А.</t>
  </si>
  <si>
    <t xml:space="preserve">23КИ151</t>
  </si>
  <si>
    <t xml:space="preserve">Маняхин М.О.</t>
  </si>
  <si>
    <t xml:space="preserve">23КИ162</t>
  </si>
  <si>
    <t xml:space="preserve">Михин А.О.</t>
  </si>
  <si>
    <t xml:space="preserve">23КИ174</t>
  </si>
  <si>
    <t xml:space="preserve">Низовцев М.А.</t>
  </si>
  <si>
    <t xml:space="preserve">23КИ206</t>
  </si>
  <si>
    <t xml:space="preserve">Рабаджи А.В.</t>
  </si>
  <si>
    <t xml:space="preserve">23КИ327</t>
  </si>
  <si>
    <t xml:space="preserve">Сароян Н.А.</t>
  </si>
  <si>
    <t xml:space="preserve">23КИ225</t>
  </si>
  <si>
    <t xml:space="preserve">Сергиенко А.П.</t>
  </si>
  <si>
    <t xml:space="preserve">23КИ232</t>
  </si>
  <si>
    <t xml:space="preserve">Соловьев И.А.</t>
  </si>
  <si>
    <t xml:space="preserve">23КИ253</t>
  </si>
  <si>
    <t xml:space="preserve">Ушачев А.С.</t>
  </si>
  <si>
    <t xml:space="preserve">23КИ265</t>
  </si>
  <si>
    <t xml:space="preserve">Цюцюра Б.Д.</t>
  </si>
  <si>
    <t xml:space="preserve">23КИ275</t>
  </si>
  <si>
    <t xml:space="preserve">Шевченко Р.В.</t>
  </si>
  <si>
    <t xml:space="preserve">23КИ280</t>
  </si>
  <si>
    <t xml:space="preserve">Шихвеледов Ш.А.</t>
  </si>
  <si>
    <t xml:space="preserve">23КИ286</t>
  </si>
  <si>
    <t xml:space="preserve">Элоян Ж.В.</t>
  </si>
  <si>
    <t xml:space="preserve">Элоян Жанна Вазгеновна</t>
  </si>
  <si>
    <t xml:space="preserve">Глебов Сергей Александрович</t>
  </si>
  <si>
    <t xml:space="preserve"> Проектирование систем хранения и обработки данных</t>
  </si>
  <si>
    <t xml:space="preserve"> Разработка мобильного программного обеспечения</t>
  </si>
  <si>
    <t xml:space="preserve"> Кроссплатформенная разработка программного обеспечения (к.п.)</t>
  </si>
  <si>
    <t xml:space="preserve">22КИ001</t>
  </si>
  <si>
    <t xml:space="preserve">Абрамов Л.Б.</t>
  </si>
  <si>
    <t xml:space="preserve">22КИ022</t>
  </si>
  <si>
    <t xml:space="preserve">Алексеев Н.В.</t>
  </si>
  <si>
    <t xml:space="preserve">21КИ292</t>
  </si>
  <si>
    <t xml:space="preserve">Арутюнян Э.А.</t>
  </si>
  <si>
    <t xml:space="preserve">22КИ031</t>
  </si>
  <si>
    <t xml:space="preserve">Банный С.В.</t>
  </si>
  <si>
    <t xml:space="preserve">21КИ049</t>
  </si>
  <si>
    <t xml:space="preserve">Барашенков Я.Е.</t>
  </si>
  <si>
    <t xml:space="preserve">20КИ215</t>
  </si>
  <si>
    <t xml:space="preserve">Барышев И.А.</t>
  </si>
  <si>
    <t xml:space="preserve">22КИ063</t>
  </si>
  <si>
    <t xml:space="preserve">Глухов И.А.</t>
  </si>
  <si>
    <t xml:space="preserve">22КИ072</t>
  </si>
  <si>
    <t xml:space="preserve">Горячев Д.М.</t>
  </si>
  <si>
    <t xml:space="preserve">21КИ081</t>
  </si>
  <si>
    <t xml:space="preserve">Громов М.А.</t>
  </si>
  <si>
    <t xml:space="preserve">22КИ080</t>
  </si>
  <si>
    <t xml:space="preserve">Гусев Е.Г.</t>
  </si>
  <si>
    <t xml:space="preserve">21КИ093</t>
  </si>
  <si>
    <t xml:space="preserve">Дронов В.Д.</t>
  </si>
  <si>
    <t xml:space="preserve">22КИ098</t>
  </si>
  <si>
    <t xml:space="preserve">Дума М.Р.</t>
  </si>
  <si>
    <t xml:space="preserve">22КИ103</t>
  </si>
  <si>
    <t xml:space="preserve">Ермошкин Т.А.</t>
  </si>
  <si>
    <t xml:space="preserve">22КИ118</t>
  </si>
  <si>
    <t xml:space="preserve">Иванов А.С.</t>
  </si>
  <si>
    <t xml:space="preserve">22КИ140</t>
  </si>
  <si>
    <t xml:space="preserve">Ким А.Н.</t>
  </si>
  <si>
    <t xml:space="preserve">22КИ143</t>
  </si>
  <si>
    <t xml:space="preserve">Киселев Р.В.</t>
  </si>
  <si>
    <t xml:space="preserve">22КИ180</t>
  </si>
  <si>
    <t xml:space="preserve">Малинина И.А.</t>
  </si>
  <si>
    <t xml:space="preserve">22КИ191</t>
  </si>
  <si>
    <t xml:space="preserve">Михайлова А.Э.</t>
  </si>
  <si>
    <t xml:space="preserve">22КИ196</t>
  </si>
  <si>
    <t xml:space="preserve">Мосолов А.В.</t>
  </si>
  <si>
    <t xml:space="preserve">22КИ205</t>
  </si>
  <si>
    <t xml:space="preserve">Новиков И.Д.</t>
  </si>
  <si>
    <t xml:space="preserve">22КИ307</t>
  </si>
  <si>
    <t xml:space="preserve">Окулов Д.А.</t>
  </si>
  <si>
    <t xml:space="preserve">22КИ215</t>
  </si>
  <si>
    <t xml:space="preserve">Пантюхин И.Г.</t>
  </si>
  <si>
    <t xml:space="preserve">21КИ198</t>
  </si>
  <si>
    <t xml:space="preserve">Писаренко А.А.</t>
  </si>
  <si>
    <t xml:space="preserve">22КИ238</t>
  </si>
  <si>
    <t xml:space="preserve">Сазонов О.Д.</t>
  </si>
  <si>
    <t xml:space="preserve">22КИ251</t>
  </si>
  <si>
    <t xml:space="preserve">Синицын А.С.</t>
  </si>
  <si>
    <t xml:space="preserve">21КИ235</t>
  </si>
  <si>
    <t xml:space="preserve">Стайков А.Е.</t>
  </si>
  <si>
    <t xml:space="preserve">22КИ263</t>
  </si>
  <si>
    <t xml:space="preserve">Тарабан А.И.</t>
  </si>
  <si>
    <t xml:space="preserve">21КИ024</t>
  </si>
  <si>
    <t xml:space="preserve">Царевский Д.И.</t>
  </si>
  <si>
    <t xml:space="preserve">22КИ281</t>
  </si>
  <si>
    <t xml:space="preserve">Цариков К.К.</t>
  </si>
  <si>
    <t xml:space="preserve">21КИ025</t>
  </si>
  <si>
    <t xml:space="preserve">Цуканов Н.А.</t>
  </si>
  <si>
    <t xml:space="preserve">21КИ272</t>
  </si>
  <si>
    <t xml:space="preserve">Шишкин А.М.</t>
  </si>
  <si>
    <t xml:space="preserve">Новиков Илья Дмитриевич</t>
  </si>
  <si>
    <t xml:space="preserve">Красавин Евгений Васильевич</t>
  </si>
  <si>
    <t xml:space="preserve">22КИ020</t>
  </si>
  <si>
    <t xml:space="preserve">Алекперов Н.Д.</t>
  </si>
  <si>
    <t xml:space="preserve">19КИ005</t>
  </si>
  <si>
    <t xml:space="preserve">Астахов И.В.</t>
  </si>
  <si>
    <t xml:space="preserve">22КИ034</t>
  </si>
  <si>
    <t xml:space="preserve">Бейсембаев Р.Р.</t>
  </si>
  <si>
    <t xml:space="preserve">22КИ037</t>
  </si>
  <si>
    <t xml:space="preserve">Боков А.А.</t>
  </si>
  <si>
    <t xml:space="preserve">22КИ039</t>
  </si>
  <si>
    <t xml:space="preserve">Боровченков Д.А.</t>
  </si>
  <si>
    <t xml:space="preserve">21КИ061</t>
  </si>
  <si>
    <t xml:space="preserve">Валявкин М.А.</t>
  </si>
  <si>
    <t xml:space="preserve">22КИ053</t>
  </si>
  <si>
    <t xml:space="preserve">Волков А.Д.</t>
  </si>
  <si>
    <t xml:space="preserve">22КИ062</t>
  </si>
  <si>
    <t xml:space="preserve">Гладышев Д.М.</t>
  </si>
  <si>
    <t xml:space="preserve">22КИ077</t>
  </si>
  <si>
    <t xml:space="preserve">Губин Е.В.</t>
  </si>
  <si>
    <t xml:space="preserve">22КИ083</t>
  </si>
  <si>
    <t xml:space="preserve">Демин Д.П.</t>
  </si>
  <si>
    <t xml:space="preserve">22КИ104</t>
  </si>
  <si>
    <t xml:space="preserve">Ечин И.В.</t>
  </si>
  <si>
    <t xml:space="preserve">22КИ304</t>
  </si>
  <si>
    <t xml:space="preserve">Зангенех А.</t>
  </si>
  <si>
    <t xml:space="preserve">22КИ120</t>
  </si>
  <si>
    <t xml:space="preserve">Иванов Р.Е.</t>
  </si>
  <si>
    <t xml:space="preserve">22КИ134</t>
  </si>
  <si>
    <t xml:space="preserve">Карпов В.А.</t>
  </si>
  <si>
    <t xml:space="preserve">18КИ095</t>
  </si>
  <si>
    <t xml:space="preserve">Корниенко К.В.</t>
  </si>
  <si>
    <t xml:space="preserve">22КИ306</t>
  </si>
  <si>
    <t xml:space="preserve">Марей М.А.</t>
  </si>
  <si>
    <t xml:space="preserve">22КИ183</t>
  </si>
  <si>
    <t xml:space="preserve">Марченко Ю.Н.</t>
  </si>
  <si>
    <t xml:space="preserve">22КИ312</t>
  </si>
  <si>
    <t xml:space="preserve">Матар А.Т.</t>
  </si>
  <si>
    <t xml:space="preserve">22КИ194</t>
  </si>
  <si>
    <t xml:space="preserve">Моряков В.Ю.</t>
  </si>
  <si>
    <t xml:space="preserve">22КИ201</t>
  </si>
  <si>
    <t xml:space="preserve">Нестеренко А.А.</t>
  </si>
  <si>
    <t xml:space="preserve">22КИ211</t>
  </si>
  <si>
    <t xml:space="preserve">Осмоловский П.Е.</t>
  </si>
  <si>
    <t xml:space="preserve">22КИ220</t>
  </si>
  <si>
    <t xml:space="preserve">Петроченков И.А.</t>
  </si>
  <si>
    <t xml:space="preserve">22КИ225</t>
  </si>
  <si>
    <t xml:space="preserve">Пономарёва Е.С.</t>
  </si>
  <si>
    <t xml:space="preserve">22КИ247</t>
  </si>
  <si>
    <t xml:space="preserve">Сенин А.Р.</t>
  </si>
  <si>
    <t xml:space="preserve">22КИ264</t>
  </si>
  <si>
    <t xml:space="preserve">Тарасова С.А.</t>
  </si>
  <si>
    <t xml:space="preserve">22КИ266</t>
  </si>
  <si>
    <t xml:space="preserve">Ткаченко П.И.</t>
  </si>
  <si>
    <t xml:space="preserve">22КИ270</t>
  </si>
  <si>
    <t xml:space="preserve">Урманова Г.И.</t>
  </si>
  <si>
    <t xml:space="preserve">22КИ274</t>
  </si>
  <si>
    <t xml:space="preserve">Федоров С.Н.</t>
  </si>
  <si>
    <t xml:space="preserve">22КИ280</t>
  </si>
  <si>
    <t xml:space="preserve">Харьков Д.В.</t>
  </si>
  <si>
    <t xml:space="preserve">22КИ288</t>
  </si>
  <si>
    <t xml:space="preserve">Чечеткин Е.А.</t>
  </si>
  <si>
    <t xml:space="preserve">Волков Александр Денисович</t>
  </si>
  <si>
    <t xml:space="preserve"> Методы принятия решений в программной инженерии</t>
  </si>
  <si>
    <t xml:space="preserve"> Проектирование программного обеспечения</t>
  </si>
  <si>
    <t xml:space="preserve"> Технологии обработки больших данных</t>
  </si>
  <si>
    <t xml:space="preserve"> Цифровая обработка сигналов</t>
  </si>
  <si>
    <t xml:space="preserve"> Компьютерные сети и Интернет-технологии (к.п.)</t>
  </si>
  <si>
    <t xml:space="preserve">20КИ249</t>
  </si>
  <si>
    <t xml:space="preserve">Анохин В.А.</t>
  </si>
  <si>
    <t xml:space="preserve">21КИ064</t>
  </si>
  <si>
    <t xml:space="preserve">Васиков Н.Н.</t>
  </si>
  <si>
    <t xml:space="preserve">21КИ069</t>
  </si>
  <si>
    <t xml:space="preserve">Воронов Д.С.</t>
  </si>
  <si>
    <t xml:space="preserve">21КИ077</t>
  </si>
  <si>
    <t xml:space="preserve">Грезин М.М.</t>
  </si>
  <si>
    <t xml:space="preserve">21КИ008</t>
  </si>
  <si>
    <t xml:space="preserve">Дубовицкий Д.А.</t>
  </si>
  <si>
    <t xml:space="preserve">20КИ075</t>
  </si>
  <si>
    <t xml:space="preserve">Ефремов Н.Н.</t>
  </si>
  <si>
    <t xml:space="preserve">21КИ103</t>
  </si>
  <si>
    <t xml:space="preserve">Живайкин А.С.</t>
  </si>
  <si>
    <t xml:space="preserve">21КИ010</t>
  </si>
  <si>
    <t xml:space="preserve">Заморин Д.А.</t>
  </si>
  <si>
    <t xml:space="preserve">20КИ266</t>
  </si>
  <si>
    <t xml:space="preserve">Иванченков А.А.</t>
  </si>
  <si>
    <t xml:space="preserve">21КИ125</t>
  </si>
  <si>
    <t xml:space="preserve">Квон В.Д.</t>
  </si>
  <si>
    <t xml:space="preserve">20КИ102</t>
  </si>
  <si>
    <t xml:space="preserve">Комаров И.А.</t>
  </si>
  <si>
    <t xml:space="preserve">20КИ270</t>
  </si>
  <si>
    <t xml:space="preserve">Костерин А.Д.</t>
  </si>
  <si>
    <t xml:space="preserve">21КИ135</t>
  </si>
  <si>
    <t xml:space="preserve">Костромина П.А.</t>
  </si>
  <si>
    <t xml:space="preserve">21КИ137</t>
  </si>
  <si>
    <t xml:space="preserve">Костюшин Я.В.</t>
  </si>
  <si>
    <t xml:space="preserve">21КИ145</t>
  </si>
  <si>
    <t xml:space="preserve">Курашкин А.В.</t>
  </si>
  <si>
    <t xml:space="preserve">21КИ153</t>
  </si>
  <si>
    <t xml:space="preserve">Лунев М.А.</t>
  </si>
  <si>
    <t xml:space="preserve">20КИ123</t>
  </si>
  <si>
    <t xml:space="preserve">Майор М.В.</t>
  </si>
  <si>
    <t xml:space="preserve">21КИ158</t>
  </si>
  <si>
    <t xml:space="preserve">Маринушкин А.Ю.</t>
  </si>
  <si>
    <t xml:space="preserve">20КИ145</t>
  </si>
  <si>
    <t xml:space="preserve">Отрошенко Т.В.</t>
  </si>
  <si>
    <t xml:space="preserve">21КИ300</t>
  </si>
  <si>
    <t xml:space="preserve">Сёмин А.Ю.</t>
  </si>
  <si>
    <t xml:space="preserve">21КИ239</t>
  </si>
  <si>
    <t xml:space="preserve">Тарасов Н.Е.</t>
  </si>
  <si>
    <t xml:space="preserve">21КИ252</t>
  </si>
  <si>
    <t xml:space="preserve">Фетисов М.Е.</t>
  </si>
  <si>
    <t xml:space="preserve">20КИ207</t>
  </si>
  <si>
    <t xml:space="preserve">Школьников С.А.</t>
  </si>
  <si>
    <t xml:space="preserve">Фетисов Максим Евгеньевич</t>
  </si>
  <si>
    <t xml:space="preserve">Куратор</t>
  </si>
  <si>
    <t xml:space="preserve">Гагарин Юрий Евгеньевич</t>
  </si>
  <si>
    <t xml:space="preserve">15КИ001</t>
  </si>
  <si>
    <t xml:space="preserve">Амелин А.С.</t>
  </si>
  <si>
    <t xml:space="preserve">21КИ088</t>
  </si>
  <si>
    <t xml:space="preserve">Данилов Д.И.</t>
  </si>
  <si>
    <t xml:space="preserve">21КИ102</t>
  </si>
  <si>
    <t xml:space="preserve">Ёлгин М.М.</t>
  </si>
  <si>
    <t xml:space="preserve">21КИ111</t>
  </si>
  <si>
    <t xml:space="preserve">Зудин Д.В.</t>
  </si>
  <si>
    <t xml:space="preserve">21КИ116</t>
  </si>
  <si>
    <t xml:space="preserve">Иову Д.А.</t>
  </si>
  <si>
    <t xml:space="preserve">21КИ117</t>
  </si>
  <si>
    <t xml:space="preserve">Исаев С.А.</t>
  </si>
  <si>
    <t xml:space="preserve">21КИ130</t>
  </si>
  <si>
    <t xml:space="preserve">21КИ131</t>
  </si>
  <si>
    <t xml:space="preserve">21КИ143</t>
  </si>
  <si>
    <t xml:space="preserve">20КИ110</t>
  </si>
  <si>
    <t xml:space="preserve">Кузнецов А.С.</t>
  </si>
  <si>
    <t xml:space="preserve">20КИ118</t>
  </si>
  <si>
    <t xml:space="preserve">Литвякова А.П.</t>
  </si>
  <si>
    <t xml:space="preserve">21КИ173</t>
  </si>
  <si>
    <t xml:space="preserve">Моисеев С.Д.</t>
  </si>
  <si>
    <t xml:space="preserve">21КИ195</t>
  </si>
  <si>
    <t xml:space="preserve">Передереев И.Н.</t>
  </si>
  <si>
    <t xml:space="preserve">21КИ212</t>
  </si>
  <si>
    <t xml:space="preserve">Рыбаковский М.М.</t>
  </si>
  <si>
    <t xml:space="preserve">21КИ231</t>
  </si>
  <si>
    <t xml:space="preserve">Скребнев И.С.</t>
  </si>
  <si>
    <t xml:space="preserve">18КИ167</t>
  </si>
  <si>
    <t xml:space="preserve">Сухаревский И.В.</t>
  </si>
  <si>
    <t xml:space="preserve">21КИ301</t>
  </si>
  <si>
    <t xml:space="preserve">Тимошина И.А.</t>
  </si>
  <si>
    <t xml:space="preserve">20КИ189</t>
  </si>
  <si>
    <t xml:space="preserve">Тулынин И.А.</t>
  </si>
  <si>
    <t xml:space="preserve">21КИ265</t>
  </si>
  <si>
    <t xml:space="preserve">Чузов М.Ю.</t>
  </si>
  <si>
    <t xml:space="preserve">18КИ195</t>
  </si>
  <si>
    <t xml:space="preserve">Чурбанов Р.Р.</t>
  </si>
  <si>
    <t xml:space="preserve">21КИ269</t>
  </si>
  <si>
    <t xml:space="preserve">Шевелев А.А.</t>
  </si>
  <si>
    <t xml:space="preserve">20КИ211</t>
  </si>
  <si>
    <t xml:space="preserve">Юхачев М.И.</t>
  </si>
  <si>
    <t xml:space="preserve">Зудин Даниил Васильевич</t>
  </si>
  <si>
    <t xml:space="preserve"> Методология программной инженерии </t>
  </si>
  <si>
    <t xml:space="preserve">ИУК4
288 ч. (8 зе)</t>
  </si>
  <si>
    <t xml:space="preserve">ИУК4
36 ч. (1 зе)</t>
  </si>
  <si>
    <t xml:space="preserve">24КИМ005</t>
  </si>
  <si>
    <t xml:space="preserve">Войнов А.А.</t>
  </si>
  <si>
    <t xml:space="preserve">24КИМ007</t>
  </si>
  <si>
    <t xml:space="preserve">Герасимова С.В.</t>
  </si>
  <si>
    <t xml:space="preserve">24КИМ057</t>
  </si>
  <si>
    <t xml:space="preserve">Городецкий Д.А.</t>
  </si>
  <si>
    <t xml:space="preserve">24КИМ052</t>
  </si>
  <si>
    <t xml:space="preserve">Евсеев В.Д.</t>
  </si>
  <si>
    <t xml:space="preserve">24КИМ014</t>
  </si>
  <si>
    <t xml:space="preserve">Карельский М.К.</t>
  </si>
  <si>
    <t xml:space="preserve">24КИМ029</t>
  </si>
  <si>
    <t xml:space="preserve">Самсонова М.А.</t>
  </si>
  <si>
    <t xml:space="preserve">24КИМ032</t>
  </si>
  <si>
    <t xml:space="preserve">Сафронов Н.С.</t>
  </si>
  <si>
    <t xml:space="preserve">24КИМ033</t>
  </si>
  <si>
    <t xml:space="preserve">Сизов А.А.</t>
  </si>
  <si>
    <t xml:space="preserve">24КИМ047</t>
  </si>
  <si>
    <t xml:space="preserve">Трибусян Б.</t>
  </si>
  <si>
    <t xml:space="preserve">24КИМ040</t>
  </si>
  <si>
    <t xml:space="preserve">Чжао Ч.</t>
  </si>
  <si>
    <t xml:space="preserve">24КИМ043</t>
  </si>
  <si>
    <t xml:space="preserve">Шведов И.А.</t>
  </si>
  <si>
    <t xml:space="preserve">Герасимова Софья Вячеславовна</t>
  </si>
  <si>
    <t xml:space="preserve">Белов Юрий Сергеевич</t>
  </si>
  <si>
    <t xml:space="preserve">Срок сдачи смотра:</t>
  </si>
  <si>
    <t xml:space="preserve"> Программные системы распознавания и обработки информации</t>
  </si>
  <si>
    <t xml:space="preserve"> Интеллектуальные информационные системы анализа данных (к.п.)</t>
  </si>
  <si>
    <t xml:space="preserve"> Параллельные процессы в информационных
системах</t>
  </si>
  <si>
    <t xml:space="preserve">Педагогическая практика</t>
  </si>
  <si>
    <t xml:space="preserve"> Перспективные технологии разработки программных средств</t>
  </si>
  <si>
    <t xml:space="preserve">ИУК4
216 ч. (6 зе)</t>
  </si>
  <si>
    <t xml:space="preserve">23КИМ001</t>
  </si>
  <si>
    <t xml:space="preserve">Бибиков А.П.</t>
  </si>
  <si>
    <t xml:space="preserve">23КИМ003</t>
  </si>
  <si>
    <t xml:space="preserve">Борисов Н.С.</t>
  </si>
  <si>
    <t xml:space="preserve">23КИМ074</t>
  </si>
  <si>
    <t xml:space="preserve">Зангенех С.</t>
  </si>
  <si>
    <t xml:space="preserve">23КИМ017</t>
  </si>
  <si>
    <t xml:space="preserve">Захаров Е.А.</t>
  </si>
  <si>
    <t xml:space="preserve">23КИМ021</t>
  </si>
  <si>
    <t xml:space="preserve">Золотарев А.М.</t>
  </si>
  <si>
    <t xml:space="preserve">23КИМ064</t>
  </si>
  <si>
    <t xml:space="preserve">Космынин Д.С.</t>
  </si>
  <si>
    <t xml:space="preserve">23КИМ028</t>
  </si>
  <si>
    <t xml:space="preserve">Котенко Н.А.</t>
  </si>
  <si>
    <t xml:space="preserve">23КИМ037</t>
  </si>
  <si>
    <t xml:space="preserve">Мельников К.С.</t>
  </si>
  <si>
    <t xml:space="preserve">23КИМ038</t>
  </si>
  <si>
    <t xml:space="preserve">Мельникова С.А.</t>
  </si>
  <si>
    <t xml:space="preserve">23КИМ054</t>
  </si>
  <si>
    <t xml:space="preserve">Филянин Н.С.</t>
  </si>
  <si>
    <t xml:space="preserve">23КИМ079</t>
  </si>
  <si>
    <t xml:space="preserve">Чурилин О.И.</t>
  </si>
  <si>
    <t xml:space="preserve">23КИМ059</t>
  </si>
  <si>
    <t xml:space="preserve">Шеститка А.В.</t>
  </si>
  <si>
    <t xml:space="preserve">Борисов Никита Сергеевич</t>
  </si>
  <si>
    <t xml:space="preserve"> Основы программирования</t>
  </si>
  <si>
    <t xml:space="preserve">ИУК5
72 ч. (2 зе)</t>
  </si>
  <si>
    <t xml:space="preserve">24КИ041</t>
  </si>
  <si>
    <t xml:space="preserve">Антонов З.А.</t>
  </si>
  <si>
    <t xml:space="preserve">24КИ067</t>
  </si>
  <si>
    <t xml:space="preserve">Васильев А.А.</t>
  </si>
  <si>
    <t xml:space="preserve">24КИ070</t>
  </si>
  <si>
    <t xml:space="preserve">Вечерин Я.А.</t>
  </si>
  <si>
    <t xml:space="preserve">24КИ362</t>
  </si>
  <si>
    <t xml:space="preserve">Гайдук А.Н.</t>
  </si>
  <si>
    <t xml:space="preserve">24КИ090</t>
  </si>
  <si>
    <t xml:space="preserve">Голубев М.С.</t>
  </si>
  <si>
    <t xml:space="preserve">24КИ098</t>
  </si>
  <si>
    <t xml:space="preserve">Гридин А.Ф.</t>
  </si>
  <si>
    <t xml:space="preserve">23КИ307</t>
  </si>
  <si>
    <t xml:space="preserve">Грошев Д.В.</t>
  </si>
  <si>
    <t xml:space="preserve">24КИ105</t>
  </si>
  <si>
    <t xml:space="preserve">Дахмаль А.М.К.</t>
  </si>
  <si>
    <t xml:space="preserve">24КИ126</t>
  </si>
  <si>
    <t xml:space="preserve">Зудерман З.В.</t>
  </si>
  <si>
    <t xml:space="preserve">24КИ132</t>
  </si>
  <si>
    <t xml:space="preserve">Ивчина А.Г.</t>
  </si>
  <si>
    <t xml:space="preserve">24КИ011</t>
  </si>
  <si>
    <t xml:space="preserve">Крупенникова М.И.</t>
  </si>
  <si>
    <t xml:space="preserve">24КИ175</t>
  </si>
  <si>
    <t xml:space="preserve">Кузьменко Д.В.</t>
  </si>
  <si>
    <t xml:space="preserve">24КИ177</t>
  </si>
  <si>
    <t xml:space="preserve">Курбанов Р.Р.</t>
  </si>
  <si>
    <t xml:space="preserve">24КИ179</t>
  </si>
  <si>
    <t xml:space="preserve">Кучкурда М.Д.</t>
  </si>
  <si>
    <t xml:space="preserve">23КИ176</t>
  </si>
  <si>
    <t xml:space="preserve">Никитченко К.А.</t>
  </si>
  <si>
    <t xml:space="preserve">24КИ389</t>
  </si>
  <si>
    <t xml:space="preserve">Никишин Д.В.</t>
  </si>
  <si>
    <t xml:space="preserve">24КИ239</t>
  </si>
  <si>
    <t xml:space="preserve">Орлова А.Д.</t>
  </si>
  <si>
    <t xml:space="preserve">24КИ244</t>
  </si>
  <si>
    <t xml:space="preserve">Пахоменко Т.С.</t>
  </si>
  <si>
    <t xml:space="preserve">24КИ396</t>
  </si>
  <si>
    <t xml:space="preserve">Подов Д.М.</t>
  </si>
  <si>
    <t xml:space="preserve">24КИ267</t>
  </si>
  <si>
    <t xml:space="preserve">Русин А.А.</t>
  </si>
  <si>
    <t xml:space="preserve">24КИ269</t>
  </si>
  <si>
    <t xml:space="preserve">Рыбчин И.А.</t>
  </si>
  <si>
    <t xml:space="preserve">24КИ281</t>
  </si>
  <si>
    <t xml:space="preserve">Силаева Е.М.</t>
  </si>
  <si>
    <t xml:space="preserve">24КИ288</t>
  </si>
  <si>
    <t xml:space="preserve">Соинов И.А.</t>
  </si>
  <si>
    <t xml:space="preserve">24КИ292</t>
  </si>
  <si>
    <t xml:space="preserve">Сорокин А.С.</t>
  </si>
  <si>
    <t xml:space="preserve">24КИ412</t>
  </si>
  <si>
    <t xml:space="preserve">Терещенко А.Д.</t>
  </si>
  <si>
    <t xml:space="preserve">24КИ301</t>
  </si>
  <si>
    <t xml:space="preserve">Тимофеева В.А.</t>
  </si>
  <si>
    <t xml:space="preserve">24КИ310</t>
  </si>
  <si>
    <t xml:space="preserve">Трошин В.В.</t>
  </si>
  <si>
    <t xml:space="preserve">22КИ012</t>
  </si>
  <si>
    <t xml:space="preserve">Трошин К.Н.</t>
  </si>
  <si>
    <t xml:space="preserve">Силаева Екатерина Максимовна</t>
  </si>
  <si>
    <t xml:space="preserve">Буракова Мария Сергеевна</t>
  </si>
  <si>
    <t xml:space="preserve">24КИ042</t>
  </si>
  <si>
    <t xml:space="preserve">Антясов С.В.</t>
  </si>
  <si>
    <t xml:space="preserve">23КИ038</t>
  </si>
  <si>
    <t xml:space="preserve">Баландин Р.А.</t>
  </si>
  <si>
    <t xml:space="preserve">24КИ051</t>
  </si>
  <si>
    <t xml:space="preserve">Бездетнова У.В.</t>
  </si>
  <si>
    <t xml:space="preserve">24КИ055</t>
  </si>
  <si>
    <t xml:space="preserve">Божевольный И.С.</t>
  </si>
  <si>
    <t xml:space="preserve">24КИ066</t>
  </si>
  <si>
    <t xml:space="preserve">Былин В.А.</t>
  </si>
  <si>
    <t xml:space="preserve">24КИ113</t>
  </si>
  <si>
    <t xml:space="preserve">Дорченкова Е.С.</t>
  </si>
  <si>
    <t xml:space="preserve">24КИ115</t>
  </si>
  <si>
    <t xml:space="preserve">Дружинин В.А.</t>
  </si>
  <si>
    <t xml:space="preserve">24КИ130</t>
  </si>
  <si>
    <t xml:space="preserve">Иванов И.А.</t>
  </si>
  <si>
    <t xml:space="preserve">24КИ136</t>
  </si>
  <si>
    <t xml:space="preserve">Казаков П.С.</t>
  </si>
  <si>
    <t xml:space="preserve">24КИ137</t>
  </si>
  <si>
    <t xml:space="preserve">Казанжи В.В.</t>
  </si>
  <si>
    <t xml:space="preserve">24КИ153</t>
  </si>
  <si>
    <t xml:space="preserve">24КИ373</t>
  </si>
  <si>
    <t xml:space="preserve">Колинчук М.А.</t>
  </si>
  <si>
    <t xml:space="preserve">24КИ161</t>
  </si>
  <si>
    <t xml:space="preserve">Конюков А.П.</t>
  </si>
  <si>
    <t xml:space="preserve">24КИ169</t>
  </si>
  <si>
    <t xml:space="preserve">Кротов В.В.</t>
  </si>
  <si>
    <t xml:space="preserve">24КИ170</t>
  </si>
  <si>
    <t xml:space="preserve">Круглова А.А.</t>
  </si>
  <si>
    <t xml:space="preserve">24КИ174</t>
  </si>
  <si>
    <t xml:space="preserve">Кузнецов Д.Д.</t>
  </si>
  <si>
    <t xml:space="preserve">24КИ383</t>
  </si>
  <si>
    <t xml:space="preserve">Малахов Н.А.</t>
  </si>
  <si>
    <t xml:space="preserve">24КИ201</t>
  </si>
  <si>
    <t xml:space="preserve">Манько А.М.</t>
  </si>
  <si>
    <t xml:space="preserve">24КИ220</t>
  </si>
  <si>
    <t xml:space="preserve">Мордовина А.Н.</t>
  </si>
  <si>
    <t xml:space="preserve">24КИ229</t>
  </si>
  <si>
    <t xml:space="preserve">Натробин Р.Э.</t>
  </si>
  <si>
    <t xml:space="preserve">24КИ425</t>
  </si>
  <si>
    <t xml:space="preserve">Нигматулин В.А.</t>
  </si>
  <si>
    <t xml:space="preserve">24КИ256</t>
  </si>
  <si>
    <t xml:space="preserve">Прошин К.Ю.</t>
  </si>
  <si>
    <t xml:space="preserve">24КИ397</t>
  </si>
  <si>
    <t xml:space="preserve">Руденко А.Е.</t>
  </si>
  <si>
    <t xml:space="preserve">24КИ294</t>
  </si>
  <si>
    <t xml:space="preserve">Староверов Д.А.</t>
  </si>
  <si>
    <t xml:space="preserve">24КИ417</t>
  </si>
  <si>
    <t xml:space="preserve">Харчук В.А.</t>
  </si>
  <si>
    <t xml:space="preserve">24КИ330</t>
  </si>
  <si>
    <t xml:space="preserve">Хохлов Е.В.</t>
  </si>
  <si>
    <t xml:space="preserve">Качество группы</t>
  </si>
  <si>
    <t xml:space="preserve">Всего кач</t>
  </si>
  <si>
    <t xml:space="preserve">%качества</t>
  </si>
  <si>
    <t xml:space="preserve">Казанжи Виктор Васильевич</t>
  </si>
  <si>
    <t xml:space="preserve">Ткаченко Анастасия Владимировна</t>
  </si>
  <si>
    <t xml:space="preserve">24КИ068</t>
  </si>
  <si>
    <t xml:space="preserve">24КИ080</t>
  </si>
  <si>
    <t xml:space="preserve">Гаранина И.Р.</t>
  </si>
  <si>
    <t xml:space="preserve">24КИ087</t>
  </si>
  <si>
    <t xml:space="preserve">Глазков А.А.</t>
  </si>
  <si>
    <t xml:space="preserve">24КИ088</t>
  </si>
  <si>
    <t xml:space="preserve">Голованов А.А.</t>
  </si>
  <si>
    <t xml:space="preserve">24КИ116</t>
  </si>
  <si>
    <t xml:space="preserve">Дудла К.В.</t>
  </si>
  <si>
    <t xml:space="preserve">24КИ117</t>
  </si>
  <si>
    <t xml:space="preserve">Душечкин И.Р.</t>
  </si>
  <si>
    <t xml:space="preserve">24КИ367</t>
  </si>
  <si>
    <t xml:space="preserve">Дынников С.Д.</t>
  </si>
  <si>
    <t xml:space="preserve">24КИ368</t>
  </si>
  <si>
    <t xml:space="preserve">Жариков М.А.</t>
  </si>
  <si>
    <t xml:space="preserve">24КИ135</t>
  </si>
  <si>
    <t xml:space="preserve">Казаков А.К.</t>
  </si>
  <si>
    <t xml:space="preserve">24КИ151</t>
  </si>
  <si>
    <t xml:space="preserve">Козлов А.Н.</t>
  </si>
  <si>
    <t xml:space="preserve">24КИ158</t>
  </si>
  <si>
    <t xml:space="preserve">Комаровская В.С.</t>
  </si>
  <si>
    <t xml:space="preserve">24КИ171</t>
  </si>
  <si>
    <t xml:space="preserve">Крючков Д.А.</t>
  </si>
  <si>
    <t xml:space="preserve">24КИ180</t>
  </si>
  <si>
    <t xml:space="preserve">Лаврецов И.А.</t>
  </si>
  <si>
    <t xml:space="preserve">24КИ181</t>
  </si>
  <si>
    <t xml:space="preserve">Ларионов Н.Е.</t>
  </si>
  <si>
    <t xml:space="preserve">24КИ207</t>
  </si>
  <si>
    <t xml:space="preserve">Матвеев И.Ю.</t>
  </si>
  <si>
    <t xml:space="preserve">24КИ210</t>
  </si>
  <si>
    <t xml:space="preserve">Махачев И.О.</t>
  </si>
  <si>
    <t xml:space="preserve">24КИ386</t>
  </si>
  <si>
    <t xml:space="preserve">Михальо П.Н.</t>
  </si>
  <si>
    <t xml:space="preserve">24КИ222</t>
  </si>
  <si>
    <t xml:space="preserve">Морозова Д.В.</t>
  </si>
  <si>
    <t xml:space="preserve">24КИ242</t>
  </si>
  <si>
    <t xml:space="preserve">Пазюк А.И.</t>
  </si>
  <si>
    <t xml:space="preserve">24КИ246</t>
  </si>
  <si>
    <t xml:space="preserve">Пермякова А.А.</t>
  </si>
  <si>
    <t xml:space="preserve">24КИ398</t>
  </si>
  <si>
    <t xml:space="preserve">Сафонов Д.В.</t>
  </si>
  <si>
    <t xml:space="preserve">24КИ280</t>
  </si>
  <si>
    <t xml:space="preserve">Сидоров Н.М.</t>
  </si>
  <si>
    <t xml:space="preserve">24КИ401</t>
  </si>
  <si>
    <t xml:space="preserve">Скаредин А.Н.</t>
  </si>
  <si>
    <t xml:space="preserve">24КИ408</t>
  </si>
  <si>
    <t xml:space="preserve">Сун Р.С.</t>
  </si>
  <si>
    <t xml:space="preserve">24КИ309</t>
  </si>
  <si>
    <t xml:space="preserve">Тришин М.М.</t>
  </si>
  <si>
    <t xml:space="preserve">24КИ024</t>
  </si>
  <si>
    <t xml:space="preserve">Хиля И.А.</t>
  </si>
  <si>
    <t xml:space="preserve">24КИ334</t>
  </si>
  <si>
    <t xml:space="preserve">Чепелева М.С.</t>
  </si>
  <si>
    <t xml:space="preserve">Гаранина Ирина Романовна</t>
  </si>
  <si>
    <t xml:space="preserve"> Использование интерфейсов прикладного программирования операционных систем</t>
  </si>
  <si>
    <t xml:space="preserve"> Тестирование систем обработки информации</t>
  </si>
  <si>
    <t xml:space="preserve">23КИ018</t>
  </si>
  <si>
    <t xml:space="preserve">Абрамова А.А.</t>
  </si>
  <si>
    <t xml:space="preserve">22КИ017</t>
  </si>
  <si>
    <t xml:space="preserve">Авдеев Д.А</t>
  </si>
  <si>
    <t xml:space="preserve">23КИ023</t>
  </si>
  <si>
    <t xml:space="preserve">Алёхин А.А.</t>
  </si>
  <si>
    <t xml:space="preserve">23КИ055</t>
  </si>
  <si>
    <t xml:space="preserve">Волк В.П.</t>
  </si>
  <si>
    <t xml:space="preserve">22КИ059</t>
  </si>
  <si>
    <t xml:space="preserve">Гаркуша В.Д.</t>
  </si>
  <si>
    <t xml:space="preserve">23КИ061</t>
  </si>
  <si>
    <t xml:space="preserve">Голованов П.С.</t>
  </si>
  <si>
    <t xml:space="preserve">22КИ065</t>
  </si>
  <si>
    <t xml:space="preserve">Головин И.С.</t>
  </si>
  <si>
    <t xml:space="preserve">22КИ068</t>
  </si>
  <si>
    <t xml:space="preserve">Гончаров В.М.</t>
  </si>
  <si>
    <t xml:space="preserve">23КИ004</t>
  </si>
  <si>
    <t xml:space="preserve">Горянский И.А.</t>
  </si>
  <si>
    <t xml:space="preserve">22КИ117</t>
  </si>
  <si>
    <t xml:space="preserve">Иваницкий В.Г.</t>
  </si>
  <si>
    <t xml:space="preserve">22КИ141</t>
  </si>
  <si>
    <t xml:space="preserve">Киреев Е.В.</t>
  </si>
  <si>
    <t xml:space="preserve">20КИ100</t>
  </si>
  <si>
    <t xml:space="preserve">Кокорников Д.Е.</t>
  </si>
  <si>
    <t xml:space="preserve">23КИ118</t>
  </si>
  <si>
    <t xml:space="preserve">Коржов В.А.</t>
  </si>
  <si>
    <t xml:space="preserve">23КИ314</t>
  </si>
  <si>
    <t xml:space="preserve">Крылова Д.Н.</t>
  </si>
  <si>
    <t xml:space="preserve">23КИ129</t>
  </si>
  <si>
    <t xml:space="preserve">Кузин А.С.</t>
  </si>
  <si>
    <t xml:space="preserve">23КИ156</t>
  </si>
  <si>
    <t xml:space="preserve">Медведев И.М.</t>
  </si>
  <si>
    <t xml:space="preserve">22КИ190</t>
  </si>
  <si>
    <t xml:space="preserve">Минин В.Е.</t>
  </si>
  <si>
    <t xml:space="preserve">21КИ186</t>
  </si>
  <si>
    <t xml:space="preserve">Овчаров И.Р.</t>
  </si>
  <si>
    <t xml:space="preserve">23КИ181</t>
  </si>
  <si>
    <t xml:space="preserve">Оганнисян А.А.</t>
  </si>
  <si>
    <t xml:space="preserve">22КИ308</t>
  </si>
  <si>
    <t xml:space="preserve">Паршин Д.М.</t>
  </si>
  <si>
    <t xml:space="preserve">23КИ186</t>
  </si>
  <si>
    <t xml:space="preserve">Паршков Р.Ю.</t>
  </si>
  <si>
    <t xml:space="preserve">23КИ191</t>
  </si>
  <si>
    <t xml:space="preserve">Петрушина П.С.</t>
  </si>
  <si>
    <t xml:space="preserve">23КИ210</t>
  </si>
  <si>
    <t xml:space="preserve">Родин И.М.</t>
  </si>
  <si>
    <t xml:space="preserve">23КИ234</t>
  </si>
  <si>
    <t xml:space="preserve">Сосков В.Ю.</t>
  </si>
  <si>
    <t xml:space="preserve">23КИ242</t>
  </si>
  <si>
    <t xml:space="preserve">Сюткин П.П.</t>
  </si>
  <si>
    <t xml:space="preserve">23КИ249</t>
  </si>
  <si>
    <t xml:space="preserve">Туманян Г.А.</t>
  </si>
  <si>
    <t xml:space="preserve">22КИ291</t>
  </si>
  <si>
    <t xml:space="preserve">Шабунин О.И.</t>
  </si>
  <si>
    <t xml:space="preserve">21КИ267</t>
  </si>
  <si>
    <t xml:space="preserve">Шалёв А.Г.</t>
  </si>
  <si>
    <t xml:space="preserve">23КИ272</t>
  </si>
  <si>
    <t xml:space="preserve">Шамаев С.А.</t>
  </si>
  <si>
    <t xml:space="preserve">23КИ340</t>
  </si>
  <si>
    <t xml:space="preserve">Шаронов И.А.</t>
  </si>
  <si>
    <t xml:space="preserve">20КИ206</t>
  </si>
  <si>
    <t xml:space="preserve">Шихов Д.А.</t>
  </si>
  <si>
    <t xml:space="preserve">Голованов Павел Сергеевич</t>
  </si>
  <si>
    <t xml:space="preserve">Федоров Виктор Олегович</t>
  </si>
  <si>
    <t xml:space="preserve">23КИ019</t>
  </si>
  <si>
    <t xml:space="preserve">Агарков Д.А.</t>
  </si>
  <si>
    <t xml:space="preserve">22КИ018</t>
  </si>
  <si>
    <t xml:space="preserve">Агафонов Е.А.</t>
  </si>
  <si>
    <t xml:space="preserve">22КИ028</t>
  </si>
  <si>
    <t xml:space="preserve">Бабкин И.Г.</t>
  </si>
  <si>
    <t xml:space="preserve">22КИ054</t>
  </si>
  <si>
    <t xml:space="preserve">Волков Д.Д.</t>
  </si>
  <si>
    <t xml:space="preserve">23КИ059</t>
  </si>
  <si>
    <t xml:space="preserve">Гизбрехт А.А.</t>
  </si>
  <si>
    <t xml:space="preserve">22КИ067</t>
  </si>
  <si>
    <t xml:space="preserve">Голыженков М.Ю.</t>
  </si>
  <si>
    <t xml:space="preserve">23КИ069</t>
  </si>
  <si>
    <t xml:space="preserve">Гусев М.Д.</t>
  </si>
  <si>
    <t xml:space="preserve">23КИ078</t>
  </si>
  <si>
    <t xml:space="preserve">Евсигнеев В.Р.</t>
  </si>
  <si>
    <t xml:space="preserve">23КИ309</t>
  </si>
  <si>
    <t xml:space="preserve">Ефимов И.А.</t>
  </si>
  <si>
    <t xml:space="preserve">22КИ123</t>
  </si>
  <si>
    <t xml:space="preserve">Игонин И.Э.</t>
  </si>
  <si>
    <t xml:space="preserve">23КИ312</t>
  </si>
  <si>
    <t xml:space="preserve">Капралов И.А.</t>
  </si>
  <si>
    <t xml:space="preserve">22КИ165</t>
  </si>
  <si>
    <t xml:space="preserve">Кулаков Д.А.</t>
  </si>
  <si>
    <t xml:space="preserve">23КИ136</t>
  </si>
  <si>
    <t xml:space="preserve">Леонов Д.С.</t>
  </si>
  <si>
    <t xml:space="preserve">22КИ173</t>
  </si>
  <si>
    <t xml:space="preserve">Липкин В.А.</t>
  </si>
  <si>
    <t xml:space="preserve">23КИ149</t>
  </si>
  <si>
    <t xml:space="preserve">Малинин И.В.</t>
  </si>
  <si>
    <t xml:space="preserve">23КИ164</t>
  </si>
  <si>
    <t xml:space="preserve">Мишустина Ю.Г.</t>
  </si>
  <si>
    <t xml:space="preserve">23КИ165</t>
  </si>
  <si>
    <t xml:space="preserve">Мищенко Ю.К.</t>
  </si>
  <si>
    <t xml:space="preserve">23КИ190</t>
  </si>
  <si>
    <t xml:space="preserve">Петрунин А.Е.</t>
  </si>
  <si>
    <t xml:space="preserve">20КИ165</t>
  </si>
  <si>
    <t xml:space="preserve">Самохин В.Д.</t>
  </si>
  <si>
    <t xml:space="preserve">23КИ227</t>
  </si>
  <si>
    <t xml:space="preserve">Сесютченков С.А.</t>
  </si>
  <si>
    <t xml:space="preserve">23КИ235</t>
  </si>
  <si>
    <t xml:space="preserve">Стекольщикова А.В.</t>
  </si>
  <si>
    <t xml:space="preserve">20КИ251</t>
  </si>
  <si>
    <t xml:space="preserve">Тересов С.Д.</t>
  </si>
  <si>
    <t xml:space="preserve">23КИ328</t>
  </si>
  <si>
    <t xml:space="preserve">Ткаченко Е.В.</t>
  </si>
  <si>
    <t xml:space="preserve">23КИ271</t>
  </si>
  <si>
    <t xml:space="preserve">Чуйков Д.С.</t>
  </si>
  <si>
    <t xml:space="preserve">23КИ282</t>
  </si>
  <si>
    <t xml:space="preserve">Шолдан Ю.П.</t>
  </si>
  <si>
    <t xml:space="preserve">Стекольщикова Алина Владиславовна</t>
  </si>
  <si>
    <t xml:space="preserve">23КИ339</t>
  </si>
  <si>
    <t xml:space="preserve">Акубардиа Д.Д.</t>
  </si>
  <si>
    <t xml:space="preserve">23КИ043</t>
  </si>
  <si>
    <t xml:space="preserve">Бирюкова М.В.</t>
  </si>
  <si>
    <t xml:space="preserve">23КИ048</t>
  </si>
  <si>
    <t xml:space="preserve">Борщевский С.А.</t>
  </si>
  <si>
    <t xml:space="preserve">22КИ311</t>
  </si>
  <si>
    <t xml:space="preserve">Глухенький Н.Д.</t>
  </si>
  <si>
    <t xml:space="preserve">23КИ070</t>
  </si>
  <si>
    <t xml:space="preserve">Даниелян А.К.</t>
  </si>
  <si>
    <t xml:space="preserve">23КИ310</t>
  </si>
  <si>
    <t xml:space="preserve">Ефремов Н.Д.</t>
  </si>
  <si>
    <t xml:space="preserve">23КИ099</t>
  </si>
  <si>
    <t xml:space="preserve">Кадимян Д.Г.</t>
  </si>
  <si>
    <t xml:space="preserve">23КИ102</t>
  </si>
  <si>
    <t xml:space="preserve">Караянов Т.А.</t>
  </si>
  <si>
    <t xml:space="preserve">23КИ109</t>
  </si>
  <si>
    <t xml:space="preserve">Климов Е.А.</t>
  </si>
  <si>
    <t xml:space="preserve">23КИ161</t>
  </si>
  <si>
    <t xml:space="preserve">Михайлюк А.И.</t>
  </si>
  <si>
    <t xml:space="preserve">23КИ163</t>
  </si>
  <si>
    <t xml:space="preserve">Мишаков С.И.</t>
  </si>
  <si>
    <t xml:space="preserve">23КИ169</t>
  </si>
  <si>
    <t xml:space="preserve">Морозов В.П.</t>
  </si>
  <si>
    <t xml:space="preserve">23КИ182</t>
  </si>
  <si>
    <t xml:space="preserve">Ожогов С.К.</t>
  </si>
  <si>
    <t xml:space="preserve">23КИ231</t>
  </si>
  <si>
    <t xml:space="preserve">Соколов М.Н.</t>
  </si>
  <si>
    <t xml:space="preserve">23КИ248</t>
  </si>
  <si>
    <t xml:space="preserve">Тулякова С.Р.</t>
  </si>
  <si>
    <t xml:space="preserve">23КИ250</t>
  </si>
  <si>
    <t xml:space="preserve">Тураев А.Р.</t>
  </si>
  <si>
    <t xml:space="preserve">23КИ329</t>
  </si>
  <si>
    <t xml:space="preserve">Филатов М.В.</t>
  </si>
  <si>
    <t xml:space="preserve">23КИ330</t>
  </si>
  <si>
    <t xml:space="preserve">Фокин Ф.С.</t>
  </si>
  <si>
    <t xml:space="preserve">23КИ277</t>
  </si>
  <si>
    <t xml:space="preserve">Шейфер К.</t>
  </si>
  <si>
    <t xml:space="preserve">23КИ281</t>
  </si>
  <si>
    <t xml:space="preserve">Шмаков К.Д.</t>
  </si>
  <si>
    <t xml:space="preserve">23КИ288</t>
  </si>
  <si>
    <t xml:space="preserve">Юрченко К.В.</t>
  </si>
  <si>
    <t xml:space="preserve">Морозов Владимир Павлович</t>
  </si>
  <si>
    <t xml:space="preserve">Количество пропущенных часов, в скобках по уважительной причине</t>
  </si>
  <si>
    <t xml:space="preserve"> Программирование на языке Java</t>
  </si>
  <si>
    <t xml:space="preserve"> Сетевые технологии в автоматизированных системах обработки информации и управления</t>
  </si>
  <si>
    <t xml:space="preserve"> Модели данных (к.п.)</t>
  </si>
  <si>
    <t xml:space="preserve">19КИ010</t>
  </si>
  <si>
    <t xml:space="preserve">Балакин Д.В.</t>
  </si>
  <si>
    <t xml:space="preserve">22КИ038</t>
  </si>
  <si>
    <t xml:space="preserve">Боловинов К.М.</t>
  </si>
  <si>
    <t xml:space="preserve">22КИ050</t>
  </si>
  <si>
    <t xml:space="preserve">Васильченко А.Ю.</t>
  </si>
  <si>
    <t xml:space="preserve">22КИ051</t>
  </si>
  <si>
    <t xml:space="preserve">Винокуров А.А.</t>
  </si>
  <si>
    <t xml:space="preserve">20КИ045</t>
  </si>
  <si>
    <t xml:space="preserve">Волков И.В.</t>
  </si>
  <si>
    <t xml:space="preserve">21КИ087</t>
  </si>
  <si>
    <t xml:space="preserve">Даниелян М.К.</t>
  </si>
  <si>
    <t xml:space="preserve">22КИ084</t>
  </si>
  <si>
    <t xml:space="preserve">Демченко Л.В.</t>
  </si>
  <si>
    <t xml:space="preserve">22КИ094</t>
  </si>
  <si>
    <t xml:space="preserve">Дроздов И.Ю.</t>
  </si>
  <si>
    <t xml:space="preserve">21КИ099</t>
  </si>
  <si>
    <t xml:space="preserve">Емельяненко А.А.</t>
  </si>
  <si>
    <t xml:space="preserve">22КИ107</t>
  </si>
  <si>
    <t xml:space="preserve">Жирнов С.А.</t>
  </si>
  <si>
    <t xml:space="preserve">22КИ004</t>
  </si>
  <si>
    <t xml:space="preserve">Жудова А.А.</t>
  </si>
  <si>
    <t xml:space="preserve">22КИ116</t>
  </si>
  <si>
    <t xml:space="preserve">Зубкова А.В.</t>
  </si>
  <si>
    <t xml:space="preserve">22КИ119</t>
  </si>
  <si>
    <t xml:space="preserve">Иванов Н.В.</t>
  </si>
  <si>
    <t xml:space="preserve">22КИ124</t>
  </si>
  <si>
    <t xml:space="preserve">Илюхин Д.В.</t>
  </si>
  <si>
    <t xml:space="preserve">22КИ151</t>
  </si>
  <si>
    <t xml:space="preserve">Корнеев К.М.</t>
  </si>
  <si>
    <t xml:space="preserve">22КИ157</t>
  </si>
  <si>
    <t xml:space="preserve">Косова К.А.</t>
  </si>
  <si>
    <t xml:space="preserve">22КИ168</t>
  </si>
  <si>
    <t xml:space="preserve">Ландаева Д.Н.</t>
  </si>
  <si>
    <t xml:space="preserve">22КИ208</t>
  </si>
  <si>
    <t xml:space="preserve">Осипов А.А.</t>
  </si>
  <si>
    <t xml:space="preserve">22КИ253</t>
  </si>
  <si>
    <t xml:space="preserve">Склярова М.С.</t>
  </si>
  <si>
    <t xml:space="preserve">21КИ247</t>
  </si>
  <si>
    <t xml:space="preserve">Унщиков Д.П.</t>
  </si>
  <si>
    <t xml:space="preserve">22КИ271</t>
  </si>
  <si>
    <t xml:space="preserve">Ухова В.А.</t>
  </si>
  <si>
    <t xml:space="preserve">21КИ271</t>
  </si>
  <si>
    <t xml:space="preserve">Шиндин А.О.</t>
  </si>
  <si>
    <t xml:space="preserve">21КИ276</t>
  </si>
  <si>
    <t xml:space="preserve">Щербаков Е.А.</t>
  </si>
  <si>
    <t xml:space="preserve">Ухова Вероника Александровна</t>
  </si>
  <si>
    <t xml:space="preserve">Антипова Ольга Викторовна</t>
  </si>
  <si>
    <t xml:space="preserve">22КИ301</t>
  </si>
  <si>
    <t xml:space="preserve">Альхераки М.А.</t>
  </si>
  <si>
    <t xml:space="preserve">22КИ025</t>
  </si>
  <si>
    <t xml:space="preserve">Аникеева М.С.</t>
  </si>
  <si>
    <t xml:space="preserve">20КИ218</t>
  </si>
  <si>
    <t xml:space="preserve">Богодухов А.Ю.</t>
  </si>
  <si>
    <t xml:space="preserve">21КИ062</t>
  </si>
  <si>
    <t xml:space="preserve">Варламова К.А.</t>
  </si>
  <si>
    <t xml:space="preserve">22КИ071</t>
  </si>
  <si>
    <t xml:space="preserve">Гордеева А.Э.</t>
  </si>
  <si>
    <t xml:space="preserve">22КИ078</t>
  </si>
  <si>
    <t xml:space="preserve">Гулимова В.Н.</t>
  </si>
  <si>
    <t xml:space="preserve">22КИ079</t>
  </si>
  <si>
    <t xml:space="preserve">Гуляев К.А.</t>
  </si>
  <si>
    <t xml:space="preserve">22КИ095</t>
  </si>
  <si>
    <t xml:space="preserve">Дроздова Т.А.</t>
  </si>
  <si>
    <t xml:space="preserve">22КИ114</t>
  </si>
  <si>
    <t xml:space="preserve">Зорин Д.Р.</t>
  </si>
  <si>
    <t xml:space="preserve">22КИ138</t>
  </si>
  <si>
    <t xml:space="preserve">Каширин М.С.</t>
  </si>
  <si>
    <t xml:space="preserve">22КИ144</t>
  </si>
  <si>
    <t xml:space="preserve">Кнутов Н.Д.</t>
  </si>
  <si>
    <t xml:space="preserve">22КИ145</t>
  </si>
  <si>
    <t xml:space="preserve">Князев Д.А.</t>
  </si>
  <si>
    <t xml:space="preserve">21КИ134</t>
  </si>
  <si>
    <t xml:space="preserve">Коновалов Н.П.</t>
  </si>
  <si>
    <t xml:space="preserve">22КИ163</t>
  </si>
  <si>
    <t xml:space="preserve">22КИ171</t>
  </si>
  <si>
    <t xml:space="preserve">Ли Р.В.</t>
  </si>
  <si>
    <t xml:space="preserve">22КИ187</t>
  </si>
  <si>
    <t xml:space="preserve">Меликов С.Ф.</t>
  </si>
  <si>
    <t xml:space="preserve">22КИ188</t>
  </si>
  <si>
    <t xml:space="preserve">Мельникова В.Д.</t>
  </si>
  <si>
    <t xml:space="preserve">21КИ171</t>
  </si>
  <si>
    <t xml:space="preserve">Михеева А.Г.</t>
  </si>
  <si>
    <t xml:space="preserve">21КИ181</t>
  </si>
  <si>
    <t xml:space="preserve">Насырова Ф.С.</t>
  </si>
  <si>
    <t xml:space="preserve">22КИ219</t>
  </si>
  <si>
    <t xml:space="preserve">Петрова Т.В.</t>
  </si>
  <si>
    <t xml:space="preserve">22КИ231</t>
  </si>
  <si>
    <t xml:space="preserve">Проскурин Д.А.</t>
  </si>
  <si>
    <t xml:space="preserve">21КИ211</t>
  </si>
  <si>
    <t xml:space="preserve">Рудь А.И.</t>
  </si>
  <si>
    <t xml:space="preserve">21КИ214</t>
  </si>
  <si>
    <t xml:space="preserve">Савченков В.М.</t>
  </si>
  <si>
    <t xml:space="preserve">21КИ217</t>
  </si>
  <si>
    <t xml:space="preserve">Салмин Д.И.</t>
  </si>
  <si>
    <t xml:space="preserve">21КИ240</t>
  </si>
  <si>
    <t xml:space="preserve">Тарасова А.И.</t>
  </si>
  <si>
    <t xml:space="preserve">22КИ273</t>
  </si>
  <si>
    <t xml:space="preserve">Федоров Д.А.</t>
  </si>
  <si>
    <t xml:space="preserve">22КИ287</t>
  </si>
  <si>
    <t xml:space="preserve">Чеснокова М.Н.</t>
  </si>
  <si>
    <t xml:space="preserve">22КИ290</t>
  </si>
  <si>
    <t xml:space="preserve">Чуркин Д.С.</t>
  </si>
  <si>
    <t xml:space="preserve">22КИ298</t>
  </si>
  <si>
    <t xml:space="preserve">Яцков А.</t>
  </si>
  <si>
    <t xml:space="preserve">Крючков Дмитрий Алексеевич</t>
  </si>
  <si>
    <t xml:space="preserve"> Программирование в системах 1С</t>
  </si>
  <si>
    <t xml:space="preserve"> Разработка Интернет-приложений</t>
  </si>
  <si>
    <t xml:space="preserve"> Разработка приложений для мобильных устройств</t>
  </si>
  <si>
    <t xml:space="preserve"> Распределенные системы обработки информации и блокчейн-технологии</t>
  </si>
  <si>
    <t xml:space="preserve"> Методы машинного обучения</t>
  </si>
  <si>
    <t xml:space="preserve"> Элементы управления в автоматизированных системах обработки информации и управления (к.п.)</t>
  </si>
  <si>
    <t xml:space="preserve">21КИ028</t>
  </si>
  <si>
    <t xml:space="preserve">Авагян М.Э.</t>
  </si>
  <si>
    <t xml:space="preserve">21КИ033</t>
  </si>
  <si>
    <t xml:space="preserve">Алмазова С.А.</t>
  </si>
  <si>
    <t xml:space="preserve">21КИ040</t>
  </si>
  <si>
    <t xml:space="preserve">Аскеров С.Т.</t>
  </si>
  <si>
    <t xml:space="preserve">21КИ044</t>
  </si>
  <si>
    <t xml:space="preserve">Бажина Ю.С.</t>
  </si>
  <si>
    <t xml:space="preserve">21КИ059</t>
  </si>
  <si>
    <t xml:space="preserve">Буянов К.А.</t>
  </si>
  <si>
    <t xml:space="preserve">21КИ092</t>
  </si>
  <si>
    <t xml:space="preserve">Дмитриева Е.Р.</t>
  </si>
  <si>
    <t xml:space="preserve">21КИ100</t>
  </si>
  <si>
    <t xml:space="preserve">Ермаков Я.В.</t>
  </si>
  <si>
    <t xml:space="preserve">21КИ166</t>
  </si>
  <si>
    <t xml:space="preserve">Мельник И.А.</t>
  </si>
  <si>
    <t xml:space="preserve">21КИ210</t>
  </si>
  <si>
    <t xml:space="preserve">Романовский И.О.</t>
  </si>
  <si>
    <t xml:space="preserve">19КИ177</t>
  </si>
  <si>
    <t xml:space="preserve">Россошанский А.Е.</t>
  </si>
  <si>
    <t xml:space="preserve">21КИ018</t>
  </si>
  <si>
    <t xml:space="preserve">Сазонова Е.В.</t>
  </si>
  <si>
    <t xml:space="preserve">21КИ226</t>
  </si>
  <si>
    <t xml:space="preserve">Серпинский Р.Э.</t>
  </si>
  <si>
    <t xml:space="preserve">21КИ248</t>
  </si>
  <si>
    <t xml:space="preserve">Фадеев В.О.</t>
  </si>
  <si>
    <t xml:space="preserve">21КИ027</t>
  </si>
  <si>
    <t xml:space="preserve">Шукаев Ф.И.</t>
  </si>
  <si>
    <t xml:space="preserve">Сазонова Екатерина Владимировна</t>
  </si>
  <si>
    <t xml:space="preserve">Алёхина Елена Дмитриевна</t>
  </si>
  <si>
    <t xml:space="preserve">21КИ043</t>
  </si>
  <si>
    <t xml:space="preserve">Багдасарян А.Р.</t>
  </si>
  <si>
    <t xml:space="preserve">21КИ048</t>
  </si>
  <si>
    <t xml:space="preserve">Банников А.В.</t>
  </si>
  <si>
    <t xml:space="preserve">20КИ052</t>
  </si>
  <si>
    <t xml:space="preserve">Гернер П.В.</t>
  </si>
  <si>
    <t xml:space="preserve">20КИ055</t>
  </si>
  <si>
    <t xml:space="preserve">21КИ095</t>
  </si>
  <si>
    <t xml:space="preserve">Евтюхов М.Р.</t>
  </si>
  <si>
    <t xml:space="preserve">21КИ114</t>
  </si>
  <si>
    <t xml:space="preserve">Изранов К.С.</t>
  </si>
  <si>
    <t xml:space="preserve">20КИ267</t>
  </si>
  <si>
    <t xml:space="preserve">Карпутушкин И.В.</t>
  </si>
  <si>
    <t xml:space="preserve">21КИ133</t>
  </si>
  <si>
    <t xml:space="preserve">Коммер К.А.</t>
  </si>
  <si>
    <t xml:space="preserve">21КИ150</t>
  </si>
  <si>
    <t xml:space="preserve">Лебедянцев С.П.</t>
  </si>
  <si>
    <t xml:space="preserve">21КИ164</t>
  </si>
  <si>
    <t xml:space="preserve">Медведев Д.И.</t>
  </si>
  <si>
    <t xml:space="preserve">21КИ169</t>
  </si>
  <si>
    <t xml:space="preserve">Митин В.А.</t>
  </si>
  <si>
    <t xml:space="preserve">21КИ170</t>
  </si>
  <si>
    <t xml:space="preserve">Митронин В.С.</t>
  </si>
  <si>
    <t xml:space="preserve">21КИ175</t>
  </si>
  <si>
    <t xml:space="preserve">Морозова В.С.</t>
  </si>
  <si>
    <t xml:space="preserve">20КИ170</t>
  </si>
  <si>
    <t xml:space="preserve">Седова Д.А.</t>
  </si>
  <si>
    <t xml:space="preserve">21КИ224</t>
  </si>
  <si>
    <t xml:space="preserve">Серегин Б.И.</t>
  </si>
  <si>
    <t xml:space="preserve">21КИ238</t>
  </si>
  <si>
    <t xml:space="preserve">Тарасов К.О.</t>
  </si>
  <si>
    <t xml:space="preserve">21КИ274</t>
  </si>
  <si>
    <t xml:space="preserve">Шишов З.А.</t>
  </si>
  <si>
    <t xml:space="preserve">Евтюхов Михаил Романович</t>
  </si>
  <si>
    <t xml:space="preserve"> Конструирование компиляторов</t>
  </si>
  <si>
    <t xml:space="preserve">ИУК5
288 ч. (8 зе)</t>
  </si>
  <si>
    <t xml:space="preserve">ИУК5
36 ч. (1 зе)</t>
  </si>
  <si>
    <t xml:space="preserve">24КИМ051</t>
  </si>
  <si>
    <t xml:space="preserve">Демаков М.К.</t>
  </si>
  <si>
    <t xml:space="preserve">24КИМ053</t>
  </si>
  <si>
    <t xml:space="preserve">Коневцев Е.Р.</t>
  </si>
  <si>
    <t xml:space="preserve">24КИМ017</t>
  </si>
  <si>
    <t xml:space="preserve">Лаврухин В.А.</t>
  </si>
  <si>
    <t xml:space="preserve">24КИМ024</t>
  </si>
  <si>
    <t xml:space="preserve">Поляков Я.А.</t>
  </si>
  <si>
    <t xml:space="preserve">24КИМ027</t>
  </si>
  <si>
    <t xml:space="preserve">Русин Я.Ю.</t>
  </si>
  <si>
    <t xml:space="preserve">24КИМ031</t>
  </si>
  <si>
    <t xml:space="preserve">Сафин П.Р.</t>
  </si>
  <si>
    <t xml:space="preserve">24КИМ034</t>
  </si>
  <si>
    <t xml:space="preserve">Стародуб Я.Н.</t>
  </si>
  <si>
    <t xml:space="preserve">24КИМ035</t>
  </si>
  <si>
    <t xml:space="preserve">Тарасов А.П.</t>
  </si>
  <si>
    <t xml:space="preserve">24КИМ048</t>
  </si>
  <si>
    <t xml:space="preserve">Утенков Я.В.</t>
  </si>
  <si>
    <t xml:space="preserve">24КИМ055</t>
  </si>
  <si>
    <t xml:space="preserve">Хлопков К.Д.</t>
  </si>
  <si>
    <t xml:space="preserve">24КИМ042</t>
  </si>
  <si>
    <t xml:space="preserve">Шарунов Р.Д.</t>
  </si>
  <si>
    <t xml:space="preserve">Поляков Ян Александрович</t>
  </si>
  <si>
    <t xml:space="preserve">Кондратьева Светлана Дмитриевна</t>
  </si>
  <si>
    <t xml:space="preserve"> Устранение сбоев, ошибок и отказов сетевых устройств и операционных систем</t>
  </si>
  <si>
    <t xml:space="preserve">Наукоемкие технологии в разработке систем обработки информации (к.п.)</t>
  </si>
  <si>
    <t xml:space="preserve">ИУК5
216 ч. (6 зе)</t>
  </si>
  <si>
    <t xml:space="preserve">23КИМ071</t>
  </si>
  <si>
    <t xml:space="preserve">Вершинин А.К.</t>
  </si>
  <si>
    <t xml:space="preserve">23КИМ072</t>
  </si>
  <si>
    <t xml:space="preserve">Губарев П.П.</t>
  </si>
  <si>
    <t xml:space="preserve">23КИМ010</t>
  </si>
  <si>
    <t xml:space="preserve">Гусько Г.А.</t>
  </si>
  <si>
    <t xml:space="preserve">23КИМ011</t>
  </si>
  <si>
    <t xml:space="preserve">Денисенко М.С.</t>
  </si>
  <si>
    <t xml:space="preserve">23КИМ075</t>
  </si>
  <si>
    <t xml:space="preserve">Захаренков Д.С.</t>
  </si>
  <si>
    <t xml:space="preserve">23КИМ026</t>
  </si>
  <si>
    <t xml:space="preserve">Королев Е.С.</t>
  </si>
  <si>
    <t xml:space="preserve">23КИМ083</t>
  </si>
  <si>
    <t xml:space="preserve">Кренов В.В.</t>
  </si>
  <si>
    <t xml:space="preserve">23КИМ039</t>
  </si>
  <si>
    <t xml:space="preserve">Михайлов А.С.</t>
  </si>
  <si>
    <t xml:space="preserve">23КИМ076</t>
  </si>
  <si>
    <t xml:space="preserve">Мицих В.П.</t>
  </si>
  <si>
    <t xml:space="preserve">23КИМ077</t>
  </si>
  <si>
    <t xml:space="preserve">Потапенков Н.С.</t>
  </si>
  <si>
    <t xml:space="preserve">23КИМ078</t>
  </si>
  <si>
    <t xml:space="preserve">Радышевский А.С.</t>
  </si>
  <si>
    <t xml:space="preserve">23КИМ055</t>
  </si>
  <si>
    <t xml:space="preserve">Фролов В.А.</t>
  </si>
  <si>
    <t xml:space="preserve">23КИМ056</t>
  </si>
  <si>
    <t xml:space="preserve">Хромов А.Е.</t>
  </si>
  <si>
    <t xml:space="preserve">23КИМ086</t>
  </si>
  <si>
    <t xml:space="preserve">Шелков С.Е.</t>
  </si>
  <si>
    <t xml:space="preserve">Королев Евгений Сергеевич</t>
  </si>
  <si>
    <t xml:space="preserve">AK</t>
  </si>
  <si>
    <t xml:space="preserve"> Языки программирования</t>
  </si>
  <si>
    <t xml:space="preserve"> Математические основы информатики</t>
  </si>
  <si>
    <t xml:space="preserve"> Программирование</t>
  </si>
  <si>
    <t xml:space="preserve">ИУК6
144 ч. (4 зе)</t>
  </si>
  <si>
    <t xml:space="preserve">ИУК6
216 ч. (6 зе)</t>
  </si>
  <si>
    <t xml:space="preserve">ИУК6
72 ч. (2 зе)</t>
  </si>
  <si>
    <t xml:space="preserve">ИУК6
36 ч. (1 зе)</t>
  </si>
  <si>
    <t xml:space="preserve">24КИ032</t>
  </si>
  <si>
    <t xml:space="preserve">Аваева Е.В.</t>
  </si>
  <si>
    <t xml:space="preserve">24КИ054</t>
  </si>
  <si>
    <t xml:space="preserve">Блинов А.Р.</t>
  </si>
  <si>
    <t xml:space="preserve">24КИ423</t>
  </si>
  <si>
    <t xml:space="preserve">Боговенко М.И.</t>
  </si>
  <si>
    <t xml:space="preserve">24КИ056</t>
  </si>
  <si>
    <t xml:space="preserve">Бонк А.С.</t>
  </si>
  <si>
    <t xml:space="preserve">24КИ061</t>
  </si>
  <si>
    <t xml:space="preserve">Бубнов И.Ю.</t>
  </si>
  <si>
    <t xml:space="preserve">24КИ356</t>
  </si>
  <si>
    <t xml:space="preserve">Бурмистров В.А.</t>
  </si>
  <si>
    <t xml:space="preserve">24КИ078</t>
  </si>
  <si>
    <t xml:space="preserve">Вятский Е.П.</t>
  </si>
  <si>
    <t xml:space="preserve">24КИ091</t>
  </si>
  <si>
    <t xml:space="preserve">Гончаров В.И.</t>
  </si>
  <si>
    <t xml:space="preserve">24КИ364</t>
  </si>
  <si>
    <t xml:space="preserve">Горелов П.С.</t>
  </si>
  <si>
    <t xml:space="preserve">24КИ096</t>
  </si>
  <si>
    <t xml:space="preserve">Горошко Д.А.</t>
  </si>
  <si>
    <t xml:space="preserve">24КИ365</t>
  </si>
  <si>
    <t xml:space="preserve">Гришков К.С.</t>
  </si>
  <si>
    <t xml:space="preserve">24КИ108</t>
  </si>
  <si>
    <t xml:space="preserve">Диденко А.Р.</t>
  </si>
  <si>
    <t xml:space="preserve">24КИ005</t>
  </si>
  <si>
    <t xml:space="preserve">Ехвая Т.В.</t>
  </si>
  <si>
    <t xml:space="preserve">24КИ370</t>
  </si>
  <si>
    <t xml:space="preserve">Кашковский В.С.</t>
  </si>
  <si>
    <t xml:space="preserve">24КИ145</t>
  </si>
  <si>
    <t xml:space="preserve">Кашуба С.А.</t>
  </si>
  <si>
    <t xml:space="preserve">24КИ375</t>
  </si>
  <si>
    <t xml:space="preserve">Комов А.М.</t>
  </si>
  <si>
    <t xml:space="preserve">24КИ209</t>
  </si>
  <si>
    <t xml:space="preserve">Маханек Е.С.</t>
  </si>
  <si>
    <t xml:space="preserve">24КИ014</t>
  </si>
  <si>
    <t xml:space="preserve">Михаец Д.Д.</t>
  </si>
  <si>
    <t xml:space="preserve">24КИ214</t>
  </si>
  <si>
    <t xml:space="preserve">Михайлова В.Д.</t>
  </si>
  <si>
    <t xml:space="preserve">24КИ216</t>
  </si>
  <si>
    <t xml:space="preserve">Михеев Ф.С.</t>
  </si>
  <si>
    <t xml:space="preserve">24КИ226</t>
  </si>
  <si>
    <t xml:space="preserve">Мяло Д.Н.</t>
  </si>
  <si>
    <t xml:space="preserve">24КИ235</t>
  </si>
  <si>
    <t xml:space="preserve">Новиков С.Р.</t>
  </si>
  <si>
    <t xml:space="preserve">24КИ240</t>
  </si>
  <si>
    <t xml:space="preserve">Османов Д.Г.</t>
  </si>
  <si>
    <t xml:space="preserve">24КИ393</t>
  </si>
  <si>
    <t xml:space="preserve">Панкратов Я.А.</t>
  </si>
  <si>
    <t xml:space="preserve">24КИ394</t>
  </si>
  <si>
    <t xml:space="preserve">Пантюхов А.И.</t>
  </si>
  <si>
    <t xml:space="preserve">24КИ252</t>
  </si>
  <si>
    <t xml:space="preserve">Пресняков Н.А.</t>
  </si>
  <si>
    <t xml:space="preserve">24КИ262</t>
  </si>
  <si>
    <t xml:space="preserve">Родионов С.А.</t>
  </si>
  <si>
    <t xml:space="preserve">24КИ268</t>
  </si>
  <si>
    <t xml:space="preserve">Русс Д.А.</t>
  </si>
  <si>
    <t xml:space="preserve">24КИ409</t>
  </si>
  <si>
    <t xml:space="preserve">Сушков А.С.</t>
  </si>
  <si>
    <t xml:space="preserve">24КИ410</t>
  </si>
  <si>
    <t xml:space="preserve">Тарасов В.Г.</t>
  </si>
  <si>
    <t xml:space="preserve">24КИ302</t>
  </si>
  <si>
    <t xml:space="preserve">Тимошин В.И.</t>
  </si>
  <si>
    <t xml:space="preserve">24КИ023</t>
  </si>
  <si>
    <t xml:space="preserve">Федорков Д.А.</t>
  </si>
  <si>
    <t xml:space="preserve">24КИ325</t>
  </si>
  <si>
    <t xml:space="preserve">Финагин Я.Э.</t>
  </si>
  <si>
    <t xml:space="preserve">24КИ326</t>
  </si>
  <si>
    <t xml:space="preserve">Фроликов Л.О.</t>
  </si>
  <si>
    <t xml:space="preserve">24КИ333</t>
  </si>
  <si>
    <t xml:space="preserve">Цой А.А.</t>
  </si>
  <si>
    <t xml:space="preserve">Кашуба София Александровна</t>
  </si>
  <si>
    <t xml:space="preserve">Лачихина Анастасия Борисовна</t>
  </si>
  <si>
    <t xml:space="preserve"> Теория государства и права</t>
  </si>
  <si>
    <t xml:space="preserve">ИУК6
180 ч. (5 зе)</t>
  </si>
  <si>
    <t xml:space="preserve">24КИ044</t>
  </si>
  <si>
    <t xml:space="preserve">Артемьева А.А.</t>
  </si>
  <si>
    <t xml:space="preserve">24КИ355</t>
  </si>
  <si>
    <t xml:space="preserve">Буреничев Д.В.</t>
  </si>
  <si>
    <t xml:space="preserve">24КИ065</t>
  </si>
  <si>
    <t xml:space="preserve">Буслов Д.Д.</t>
  </si>
  <si>
    <t xml:space="preserve">24КИ092</t>
  </si>
  <si>
    <t xml:space="preserve">Горбков В.И.</t>
  </si>
  <si>
    <t xml:space="preserve">24КИ101</t>
  </si>
  <si>
    <t xml:space="preserve">Гуряков Т.А.</t>
  </si>
  <si>
    <t xml:space="preserve">24КИ107</t>
  </si>
  <si>
    <t xml:space="preserve">Дерябкин Н.А.</t>
  </si>
  <si>
    <t xml:space="preserve">24КИ121</t>
  </si>
  <si>
    <t xml:space="preserve">Жучков И.И.</t>
  </si>
  <si>
    <t xml:space="preserve">24КИ131</t>
  </si>
  <si>
    <t xml:space="preserve">24КИ139</t>
  </si>
  <si>
    <t xml:space="preserve">Калинин Р.А.</t>
  </si>
  <si>
    <t xml:space="preserve">24КИ140</t>
  </si>
  <si>
    <t xml:space="preserve">Калинина К.Т.</t>
  </si>
  <si>
    <t xml:space="preserve">24КИ148</t>
  </si>
  <si>
    <t xml:space="preserve">Кириллов В.А.</t>
  </si>
  <si>
    <t xml:space="preserve">24КИ377</t>
  </si>
  <si>
    <t xml:space="preserve">Котова А.А.</t>
  </si>
  <si>
    <t xml:space="preserve">24КИ176</t>
  </si>
  <si>
    <t xml:space="preserve">Кукушкин А.М.</t>
  </si>
  <si>
    <t xml:space="preserve">24КИ380</t>
  </si>
  <si>
    <t xml:space="preserve">Лоскутов Л.С.</t>
  </si>
  <si>
    <t xml:space="preserve">24КИ196</t>
  </si>
  <si>
    <t xml:space="preserve">Макашин М.И.</t>
  </si>
  <si>
    <t xml:space="preserve">24КИ212</t>
  </si>
  <si>
    <t xml:space="preserve">Межов Д.А.</t>
  </si>
  <si>
    <t xml:space="preserve">24КИ395</t>
  </si>
  <si>
    <t xml:space="preserve">Передельский А.Ю.</t>
  </si>
  <si>
    <t xml:space="preserve">24КИ250</t>
  </si>
  <si>
    <t xml:space="preserve">Поляков Р.И.</t>
  </si>
  <si>
    <t xml:space="preserve">24КИ255</t>
  </si>
  <si>
    <t xml:space="preserve">Прохорова А.Р.</t>
  </si>
  <si>
    <t xml:space="preserve">24КИ260</t>
  </si>
  <si>
    <t xml:space="preserve">Ревякина П.В.</t>
  </si>
  <si>
    <t xml:space="preserve">24КИ271</t>
  </si>
  <si>
    <t xml:space="preserve">Салтусь А.А.</t>
  </si>
  <si>
    <t xml:space="preserve">24КИ405</t>
  </si>
  <si>
    <t xml:space="preserve">Степичев Н.М.</t>
  </si>
  <si>
    <t xml:space="preserve">24КИ299</t>
  </si>
  <si>
    <t xml:space="preserve">Сухарев Е.В.</t>
  </si>
  <si>
    <t xml:space="preserve">24КИ413</t>
  </si>
  <si>
    <t xml:space="preserve">Тихонов С.А.</t>
  </si>
  <si>
    <t xml:space="preserve">24КИ346</t>
  </si>
  <si>
    <t xml:space="preserve">Шмырев А.В.</t>
  </si>
  <si>
    <t xml:space="preserve">24КИ348</t>
  </si>
  <si>
    <t xml:space="preserve">Щербаков Ф.Д.</t>
  </si>
  <si>
    <t xml:space="preserve">Прохорова Анжелика Романовна</t>
  </si>
  <si>
    <t xml:space="preserve">Общевоинские уставы Вооруженных сил Российской Федерации</t>
  </si>
  <si>
    <t xml:space="preserve">24КИ008</t>
  </si>
  <si>
    <t xml:space="preserve">Киян Д.Е.</t>
  </si>
  <si>
    <t xml:space="preserve">24КИ012</t>
  </si>
  <si>
    <t xml:space="preserve">Лебедев И.С.</t>
  </si>
  <si>
    <t xml:space="preserve">23КИ008</t>
  </si>
  <si>
    <t xml:space="preserve">Леонов И.В.</t>
  </si>
  <si>
    <t xml:space="preserve">24КИ013</t>
  </si>
  <si>
    <t xml:space="preserve">Меликян А.А.</t>
  </si>
  <si>
    <t xml:space="preserve">24КИ017</t>
  </si>
  <si>
    <t xml:space="preserve">Печенин М.А.</t>
  </si>
  <si>
    <t xml:space="preserve">24КИ018</t>
  </si>
  <si>
    <t xml:space="preserve">Сазонов А.Р.</t>
  </si>
  <si>
    <t xml:space="preserve">Меликян Антон Артурович</t>
  </si>
  <si>
    <t xml:space="preserve"> Алгоритмы и структуры данных</t>
  </si>
  <si>
    <t xml:space="preserve"> Теория вероятностей и математическая статистика</t>
  </si>
  <si>
    <t xml:space="preserve"> Теория систем и системный анализ</t>
  </si>
  <si>
    <t xml:space="preserve">МК10
72 ч. (2 зе)</t>
  </si>
  <si>
    <t xml:space="preserve">22КИ016</t>
  </si>
  <si>
    <t xml:space="preserve">Абрамов О.И.</t>
  </si>
  <si>
    <t xml:space="preserve">23КИ295</t>
  </si>
  <si>
    <t xml:space="preserve">Аванесян А.А.</t>
  </si>
  <si>
    <t xml:space="preserve">23КИ296</t>
  </si>
  <si>
    <t xml:space="preserve">Акулова А.П.</t>
  </si>
  <si>
    <t xml:space="preserve">23КИ022</t>
  </si>
  <si>
    <t xml:space="preserve">Алдошкина М.Л.</t>
  </si>
  <si>
    <t xml:space="preserve">23КИ031</t>
  </si>
  <si>
    <t xml:space="preserve">Анисимов А.С.</t>
  </si>
  <si>
    <t xml:space="preserve">22КИ302</t>
  </si>
  <si>
    <t xml:space="preserve">Брыкин Д.А.</t>
  </si>
  <si>
    <t xml:space="preserve">22КИ090</t>
  </si>
  <si>
    <t xml:space="preserve">Долгих Г.Я.</t>
  </si>
  <si>
    <t xml:space="preserve">23КИ084</t>
  </si>
  <si>
    <t xml:space="preserve">Жигалов Е.А.</t>
  </si>
  <si>
    <t xml:space="preserve">23КИ311</t>
  </si>
  <si>
    <t xml:space="preserve">Зайцев К.А.</t>
  </si>
  <si>
    <t xml:space="preserve">23КИ090</t>
  </si>
  <si>
    <t xml:space="preserve">Зотов Т.С.</t>
  </si>
  <si>
    <t xml:space="preserve">23КИ093</t>
  </si>
  <si>
    <t xml:space="preserve">Ивлев Е.А.</t>
  </si>
  <si>
    <t xml:space="preserve">23КИ113</t>
  </si>
  <si>
    <t xml:space="preserve">Коломиец А.В.</t>
  </si>
  <si>
    <t xml:space="preserve">23КИ319</t>
  </si>
  <si>
    <t xml:space="preserve">Марусий Д.В.</t>
  </si>
  <si>
    <t xml:space="preserve">23КИ179</t>
  </si>
  <si>
    <t xml:space="preserve">Новохатский Н.А.</t>
  </si>
  <si>
    <t xml:space="preserve">23КИ185</t>
  </si>
  <si>
    <t xml:space="preserve">Павлов М.А.</t>
  </si>
  <si>
    <t xml:space="preserve">21КИ283</t>
  </si>
  <si>
    <t xml:space="preserve">Перов Е.А.</t>
  </si>
  <si>
    <t xml:space="preserve">23КИ192</t>
  </si>
  <si>
    <t xml:space="preserve">Платов Н.А.</t>
  </si>
  <si>
    <t xml:space="preserve">23КИ208</t>
  </si>
  <si>
    <t xml:space="preserve">Раецкий Д.А.</t>
  </si>
  <si>
    <t xml:space="preserve">23КИ013</t>
  </si>
  <si>
    <t xml:space="preserve">Федоренко С.П.</t>
  </si>
  <si>
    <t xml:space="preserve">23КИ254</t>
  </si>
  <si>
    <t xml:space="preserve">Федоренкова Ю.С.</t>
  </si>
  <si>
    <t xml:space="preserve">23КИ290</t>
  </si>
  <si>
    <t xml:space="preserve">Яковлев М.С.</t>
  </si>
  <si>
    <t xml:space="preserve">Федоренкова Юлия Сергеевна</t>
  </si>
  <si>
    <t xml:space="preserve">Потапов Алексей Вячеславович</t>
  </si>
  <si>
    <t xml:space="preserve">23КИ297</t>
  </si>
  <si>
    <t xml:space="preserve">Бабкин Ф.А.</t>
  </si>
  <si>
    <t xml:space="preserve">23КИ298</t>
  </si>
  <si>
    <t xml:space="preserve">Балоченко А.П.</t>
  </si>
  <si>
    <t xml:space="preserve">23КИ046</t>
  </si>
  <si>
    <t xml:space="preserve">Бондаренко Н.С.</t>
  </si>
  <si>
    <t xml:space="preserve">23КИ056</t>
  </si>
  <si>
    <t xml:space="preserve">Газалиев И.А.</t>
  </si>
  <si>
    <t xml:space="preserve">23КИ305</t>
  </si>
  <si>
    <t xml:space="preserve">Гасанов Б.Т.</t>
  </si>
  <si>
    <t xml:space="preserve">23КИ075</t>
  </si>
  <si>
    <t xml:space="preserve">Домарев П.И.</t>
  </si>
  <si>
    <t xml:space="preserve">23КИ089</t>
  </si>
  <si>
    <t xml:space="preserve">Золотов К.П.</t>
  </si>
  <si>
    <t xml:space="preserve">23КИ104</t>
  </si>
  <si>
    <t xml:space="preserve">Квашко П.Д.</t>
  </si>
  <si>
    <t xml:space="preserve">23КИ313</t>
  </si>
  <si>
    <t xml:space="preserve">Климов С.Д.</t>
  </si>
  <si>
    <t xml:space="preserve">23КИ114</t>
  </si>
  <si>
    <t xml:space="preserve">Колтаков А.А.</t>
  </si>
  <si>
    <t xml:space="preserve">23КИ315</t>
  </si>
  <si>
    <t xml:space="preserve">Кузнецов Д.О.</t>
  </si>
  <si>
    <t xml:space="preserve">23КИ150</t>
  </si>
  <si>
    <t xml:space="preserve">Мамонов А.А.</t>
  </si>
  <si>
    <t xml:space="preserve">23КИ160</t>
  </si>
  <si>
    <t xml:space="preserve">Михайлов В.В.</t>
  </si>
  <si>
    <t xml:space="preserve">23КИ166</t>
  </si>
  <si>
    <t xml:space="preserve">Мовтян Д.А.</t>
  </si>
  <si>
    <t xml:space="preserve">23КИ198</t>
  </si>
  <si>
    <t xml:space="preserve">Попова С.С.</t>
  </si>
  <si>
    <t xml:space="preserve">23КИ203</t>
  </si>
  <si>
    <t xml:space="preserve">Прокудина Е.В.</t>
  </si>
  <si>
    <t xml:space="preserve">23КИ217</t>
  </si>
  <si>
    <t xml:space="preserve">Савкин В.А.</t>
  </si>
  <si>
    <t xml:space="preserve">23КИ325</t>
  </si>
  <si>
    <t xml:space="preserve">Садовский Д.А.</t>
  </si>
  <si>
    <t xml:space="preserve">23КИ222</t>
  </si>
  <si>
    <t xml:space="preserve">Сапронов А.А.</t>
  </si>
  <si>
    <t xml:space="preserve">23КИ247</t>
  </si>
  <si>
    <t xml:space="preserve">Троицкая И.И.</t>
  </si>
  <si>
    <t xml:space="preserve">23КИ259</t>
  </si>
  <si>
    <t xml:space="preserve">Фрольцов И.В.</t>
  </si>
  <si>
    <t xml:space="preserve">23КИ261</t>
  </si>
  <si>
    <t xml:space="preserve">Цайкина М.Ю.</t>
  </si>
  <si>
    <t xml:space="preserve">Цайкина Мария Юрьевна</t>
  </si>
  <si>
    <t xml:space="preserve"> Строевая подготовка</t>
  </si>
  <si>
    <t xml:space="preserve">23КИ001</t>
  </si>
  <si>
    <t xml:space="preserve">Анашкин В.А.</t>
  </si>
  <si>
    <t xml:space="preserve">23КИ010</t>
  </si>
  <si>
    <t xml:space="preserve">Мирончук М.В.</t>
  </si>
  <si>
    <t xml:space="preserve">22КИ011</t>
  </si>
  <si>
    <t xml:space="preserve">Проскуряков Н.С.</t>
  </si>
  <si>
    <t xml:space="preserve">23КИ014</t>
  </si>
  <si>
    <t xml:space="preserve">Череваченко И.Н.</t>
  </si>
  <si>
    <t xml:space="preserve">Анашкин Владислав Александрович</t>
  </si>
  <si>
    <t xml:space="preserve"> Основы информационной безопасности</t>
  </si>
  <si>
    <t xml:space="preserve"> Схемотехника аппаратных средств защиты информации (к.р.)</t>
  </si>
  <si>
    <t xml:space="preserve"> Основы микро- и радиоэлектроники</t>
  </si>
  <si>
    <t xml:space="preserve"> Теория информации</t>
  </si>
  <si>
    <t xml:space="preserve"> Теория принятия решений в условиях информационных конфликтов</t>
  </si>
  <si>
    <t xml:space="preserve">ИУК6
252 ч. (7 зе)</t>
  </si>
  <si>
    <t xml:space="preserve">ИУК6
108 ч. (3 зе)</t>
  </si>
  <si>
    <t xml:space="preserve">21КИ290</t>
  </si>
  <si>
    <t xml:space="preserve">Абдулаев Т. М.</t>
  </si>
  <si>
    <t xml:space="preserve">22КИ024</t>
  </si>
  <si>
    <t xml:space="preserve">Алешин Ф.И.</t>
  </si>
  <si>
    <t xml:space="preserve">22КИ036</t>
  </si>
  <si>
    <t xml:space="preserve">Божко И.С.</t>
  </si>
  <si>
    <t xml:space="preserve">22КИ055</t>
  </si>
  <si>
    <t xml:space="preserve">Воробьев Р.Ю.</t>
  </si>
  <si>
    <t xml:space="preserve">22КИ060</t>
  </si>
  <si>
    <t xml:space="preserve">Геворгян Э.А.</t>
  </si>
  <si>
    <t xml:space="preserve">22КИ066</t>
  </si>
  <si>
    <t xml:space="preserve">Головко В.М.</t>
  </si>
  <si>
    <t xml:space="preserve">22КИ093</t>
  </si>
  <si>
    <t xml:space="preserve">Дрожжин А.Е.</t>
  </si>
  <si>
    <t xml:space="preserve">22КИ003</t>
  </si>
  <si>
    <t xml:space="preserve">Жандаров Н.А.</t>
  </si>
  <si>
    <t xml:space="preserve">22КИ122</t>
  </si>
  <si>
    <t xml:space="preserve">Иванова В.О.</t>
  </si>
  <si>
    <t xml:space="preserve">22КИ128</t>
  </si>
  <si>
    <t xml:space="preserve">Казаков С.В.</t>
  </si>
  <si>
    <t xml:space="preserve">21КИ122</t>
  </si>
  <si>
    <t xml:space="preserve">Капышев Д.А.</t>
  </si>
  <si>
    <t xml:space="preserve">22КИ008</t>
  </si>
  <si>
    <t xml:space="preserve">Кондрашов М.А.</t>
  </si>
  <si>
    <t xml:space="preserve">22КИ154</t>
  </si>
  <si>
    <t xml:space="preserve">Коротков Е.Р.</t>
  </si>
  <si>
    <t xml:space="preserve">22КИ167</t>
  </si>
  <si>
    <t xml:space="preserve">Кухарина Ю.Д.</t>
  </si>
  <si>
    <t xml:space="preserve">22КИ252</t>
  </si>
  <si>
    <t xml:space="preserve">Лучко В.Д.</t>
  </si>
  <si>
    <t xml:space="preserve">22КИ186</t>
  </si>
  <si>
    <t xml:space="preserve">Матюшин П.Н.</t>
  </si>
  <si>
    <t xml:space="preserve">21КИ191</t>
  </si>
  <si>
    <t xml:space="preserve">Павлова Е.В.</t>
  </si>
  <si>
    <t xml:space="preserve">22КИ216</t>
  </si>
  <si>
    <t xml:space="preserve">Панферов О.Д.</t>
  </si>
  <si>
    <t xml:space="preserve">22КИ224</t>
  </si>
  <si>
    <t xml:space="preserve">Пономарев И.Я.</t>
  </si>
  <si>
    <t xml:space="preserve">22КИ227</t>
  </si>
  <si>
    <t xml:space="preserve">Постников С.П.</t>
  </si>
  <si>
    <t xml:space="preserve">22КИ228</t>
  </si>
  <si>
    <t xml:space="preserve">Потапенко Л.А.</t>
  </si>
  <si>
    <t xml:space="preserve">22КИ234</t>
  </si>
  <si>
    <t xml:space="preserve">Рожков Д.А.</t>
  </si>
  <si>
    <t xml:space="preserve">22КИ239</t>
  </si>
  <si>
    <t xml:space="preserve">Самойлова Е.А.</t>
  </si>
  <si>
    <t xml:space="preserve">22КИ241</t>
  </si>
  <si>
    <t xml:space="preserve">Сатибалов Т.Б.</t>
  </si>
  <si>
    <t xml:space="preserve">22КИ248</t>
  </si>
  <si>
    <t xml:space="preserve">Серегин А.С.</t>
  </si>
  <si>
    <t xml:space="preserve">21КИ250</t>
  </si>
  <si>
    <t xml:space="preserve">Федин Н.С.</t>
  </si>
  <si>
    <t xml:space="preserve">Потапенко Лев Александрович</t>
  </si>
  <si>
    <t xml:space="preserve">Бурмистров Александр Викторович</t>
  </si>
  <si>
    <t xml:space="preserve"> Военно-политическая работа в Вооруженных Силах Российской Федерации</t>
  </si>
  <si>
    <t xml:space="preserve">22КИ002</t>
  </si>
  <si>
    <t xml:space="preserve">Борискин Т.О.</t>
  </si>
  <si>
    <t xml:space="preserve">22КИ005</t>
  </si>
  <si>
    <t xml:space="preserve">Карамов А.Р.</t>
  </si>
  <si>
    <t xml:space="preserve">22КИ007</t>
  </si>
  <si>
    <t xml:space="preserve">Комолых И.А.</t>
  </si>
  <si>
    <t xml:space="preserve">22КИ009</t>
  </si>
  <si>
    <t xml:space="preserve">Кулаков В.М.</t>
  </si>
  <si>
    <t xml:space="preserve">Борискин Тимофей Олегович</t>
  </si>
  <si>
    <t xml:space="preserve">Дюжов Сергей Александрович</t>
  </si>
  <si>
    <t xml:space="preserve"> Сертификация и лицензирование</t>
  </si>
  <si>
    <t xml:space="preserve"> Аппаратные средства вычислительной техники (к.п.)</t>
  </si>
  <si>
    <t xml:space="preserve"> Безопасность жизнедеятельности</t>
  </si>
  <si>
    <t xml:space="preserve"> Основы разработки устройств контроля доступа</t>
  </si>
  <si>
    <t xml:space="preserve"> Правоведение</t>
  </si>
  <si>
    <t xml:space="preserve">21КИ031</t>
  </si>
  <si>
    <t xml:space="preserve">Акишина Е.А.</t>
  </si>
  <si>
    <t xml:space="preserve">21КИ052</t>
  </si>
  <si>
    <t xml:space="preserve">Болотин Е.Д.</t>
  </si>
  <si>
    <t xml:space="preserve">21КИ054</t>
  </si>
  <si>
    <t xml:space="preserve">Бородин А.Д.</t>
  </si>
  <si>
    <t xml:space="preserve">20КИ033</t>
  </si>
  <si>
    <t xml:space="preserve">Брага Д.В.</t>
  </si>
  <si>
    <t xml:space="preserve">21КИ070</t>
  </si>
  <si>
    <t xml:space="preserve">Галтелов Д.С.</t>
  </si>
  <si>
    <t xml:space="preserve">21КИ101</t>
  </si>
  <si>
    <t xml:space="preserve">Ерохин Д.А.</t>
  </si>
  <si>
    <t xml:space="preserve">21КИ106</t>
  </si>
  <si>
    <t xml:space="preserve">Зайцев А.А.</t>
  </si>
  <si>
    <t xml:space="preserve">21КИ109</t>
  </si>
  <si>
    <t xml:space="preserve">Звягин М.Г.</t>
  </si>
  <si>
    <t xml:space="preserve">20КИ229</t>
  </si>
  <si>
    <t xml:space="preserve">Зобнин А.П.</t>
  </si>
  <si>
    <t xml:space="preserve">21КИ113</t>
  </si>
  <si>
    <t xml:space="preserve">Иванов Д.С.</t>
  </si>
  <si>
    <t xml:space="preserve">21КИ119</t>
  </si>
  <si>
    <t xml:space="preserve">Казаков И.С.</t>
  </si>
  <si>
    <t xml:space="preserve">21КИ132</t>
  </si>
  <si>
    <t xml:space="preserve">Колдунов В.В.</t>
  </si>
  <si>
    <t xml:space="preserve">21КИ156</t>
  </si>
  <si>
    <t xml:space="preserve">Манторов А.В.</t>
  </si>
  <si>
    <t xml:space="preserve">21КИ162</t>
  </si>
  <si>
    <t xml:space="preserve">Маслов М.С.</t>
  </si>
  <si>
    <t xml:space="preserve">21КИ179</t>
  </si>
  <si>
    <t xml:space="preserve">Мухамадеев И.Р.</t>
  </si>
  <si>
    <t xml:space="preserve">21КИ180</t>
  </si>
  <si>
    <t xml:space="preserve">Нагибин И.Д.</t>
  </si>
  <si>
    <t xml:space="preserve">21КИ185</t>
  </si>
  <si>
    <t xml:space="preserve">Носов Г.Д.</t>
  </si>
  <si>
    <t xml:space="preserve">21КИ222</t>
  </si>
  <si>
    <t xml:space="preserve">Семёнкин А.С.</t>
  </si>
  <si>
    <t xml:space="preserve">21КИ234</t>
  </si>
  <si>
    <t xml:space="preserve">Сосулев Л.Г.</t>
  </si>
  <si>
    <t xml:space="preserve">20КИ250</t>
  </si>
  <si>
    <t xml:space="preserve">Сухов Н.А.</t>
  </si>
  <si>
    <t xml:space="preserve">21КИ237</t>
  </si>
  <si>
    <t xml:space="preserve">Сычкин С.В.</t>
  </si>
  <si>
    <t xml:space="preserve">21КИ242</t>
  </si>
  <si>
    <t xml:space="preserve">Тульский М.С.</t>
  </si>
  <si>
    <t xml:space="preserve">21КИ246</t>
  </si>
  <si>
    <t xml:space="preserve">Тюрин М.С.</t>
  </si>
  <si>
    <t xml:space="preserve">20КИ196</t>
  </si>
  <si>
    <t xml:space="preserve">Фургалова А.Д.</t>
  </si>
  <si>
    <t xml:space="preserve">21КИ259</t>
  </si>
  <si>
    <t xml:space="preserve">Хритошин П.Г.</t>
  </si>
  <si>
    <t xml:space="preserve">19КИ231</t>
  </si>
  <si>
    <t xml:space="preserve">Шачнев К.А.</t>
  </si>
  <si>
    <t xml:space="preserve">21КИ282</t>
  </si>
  <si>
    <t xml:space="preserve">Ярошенко С.Р.</t>
  </si>
  <si>
    <t xml:space="preserve">Ярошенко Сергей Русланович</t>
  </si>
  <si>
    <t xml:space="preserve">Мазин Анатолий Викторович</t>
  </si>
  <si>
    <t xml:space="preserve"> Защита информации от утечки по техническим каналам</t>
  </si>
  <si>
    <t xml:space="preserve"> Конструирование и специальные технологии</t>
  </si>
  <si>
    <t xml:space="preserve">Методы и средства криптографической защиты информации (к.р.)</t>
  </si>
  <si>
    <t xml:space="preserve"> Средства анализа безопасности программного обеспечения</t>
  </si>
  <si>
    <t xml:space="preserve"> Администрирование и тестирование систем защиты информации</t>
  </si>
  <si>
    <t xml:space="preserve">Методы антивирусной защиты</t>
  </si>
  <si>
    <t xml:space="preserve">Основы разработки защищенного программного обеспечения</t>
  </si>
  <si>
    <t xml:space="preserve">Экономика предприятия </t>
  </si>
  <si>
    <t xml:space="preserve">20КИ001</t>
  </si>
  <si>
    <t xml:space="preserve">Акимов Н.М.</t>
  </si>
  <si>
    <t xml:space="preserve">20КИ027</t>
  </si>
  <si>
    <t xml:space="preserve">Безруков Н.С.</t>
  </si>
  <si>
    <t xml:space="preserve">20КИ220</t>
  </si>
  <si>
    <t xml:space="preserve">Варфоломеев Р.И.</t>
  </si>
  <si>
    <t xml:space="preserve">19КИ029</t>
  </si>
  <si>
    <t xml:space="preserve">Воронин А.Д.</t>
  </si>
  <si>
    <t xml:space="preserve">20КИ062</t>
  </si>
  <si>
    <t xml:space="preserve">Гринякин Г.А.</t>
  </si>
  <si>
    <t xml:space="preserve">20КИ065</t>
  </si>
  <si>
    <t xml:space="preserve">Давыденко И.П.</t>
  </si>
  <si>
    <t xml:space="preserve">20КИ070</t>
  </si>
  <si>
    <t xml:space="preserve">Дроздов Д.А.</t>
  </si>
  <si>
    <t xml:space="preserve">20КИ071</t>
  </si>
  <si>
    <t xml:space="preserve">Дронова В.С.</t>
  </si>
  <si>
    <t xml:space="preserve">20КИ082</t>
  </si>
  <si>
    <t xml:space="preserve">Заломов К.А.</t>
  </si>
  <si>
    <t xml:space="preserve">20КИ086</t>
  </si>
  <si>
    <t xml:space="preserve">Илюхин И.Ю.</t>
  </si>
  <si>
    <t xml:space="preserve">20КИ101</t>
  </si>
  <si>
    <t xml:space="preserve">Коломиец С.В.</t>
  </si>
  <si>
    <t xml:space="preserve">20КИ107</t>
  </si>
  <si>
    <t xml:space="preserve">Костерев В.А.</t>
  </si>
  <si>
    <t xml:space="preserve">20КИ113</t>
  </si>
  <si>
    <t xml:space="preserve">Кустов К.А.</t>
  </si>
  <si>
    <t xml:space="preserve">19КИ125</t>
  </si>
  <si>
    <t xml:space="preserve">Малахов П.Ю.</t>
  </si>
  <si>
    <t xml:space="preserve">20КИ240</t>
  </si>
  <si>
    <t xml:space="preserve">Мкртчян Э.В.</t>
  </si>
  <si>
    <t xml:space="preserve">20КИ011</t>
  </si>
  <si>
    <t xml:space="preserve">Пузаков Д.О.</t>
  </si>
  <si>
    <t xml:space="preserve">20КИ154</t>
  </si>
  <si>
    <t xml:space="preserve">Ржаникова А.Е.</t>
  </si>
  <si>
    <t xml:space="preserve">20КИ158</t>
  </si>
  <si>
    <t xml:space="preserve">Романов В.Н.</t>
  </si>
  <si>
    <t xml:space="preserve">20КИ160</t>
  </si>
  <si>
    <t xml:space="preserve">Рыжук Д.Ю.</t>
  </si>
  <si>
    <t xml:space="preserve">19КИ203</t>
  </si>
  <si>
    <t xml:space="preserve">Тарасов Д.А.</t>
  </si>
  <si>
    <t xml:space="preserve">20КИ192</t>
  </si>
  <si>
    <t xml:space="preserve">Федотов К.И.</t>
  </si>
  <si>
    <t xml:space="preserve">20КИ201</t>
  </si>
  <si>
    <t xml:space="preserve">Чеверда Д.М.</t>
  </si>
  <si>
    <t xml:space="preserve">17У802</t>
  </si>
  <si>
    <t xml:space="preserve">Щербаков В.И.</t>
  </si>
  <si>
    <t xml:space="preserve">Гринякин Григорий Александрович</t>
  </si>
  <si>
    <t xml:space="preserve">Куратор:_________________ </t>
  </si>
  <si>
    <t xml:space="preserve">Жарова Ольга Юрьевна</t>
  </si>
  <si>
    <t xml:space="preserve"> Средства и комплексы радиосвязи </t>
  </si>
  <si>
    <t xml:space="preserve"> Работа на средствах радиосвязи </t>
  </si>
  <si>
    <t xml:space="preserve">Средства и комплексы радиорелейной, спутниковой и электропроводной связи</t>
  </si>
  <si>
    <t xml:space="preserve">20КИ002</t>
  </si>
  <si>
    <t xml:space="preserve">Васильев Д.В.</t>
  </si>
  <si>
    <t xml:space="preserve">20КИ010</t>
  </si>
  <si>
    <t xml:space="preserve">Попков Д.С.</t>
  </si>
  <si>
    <t xml:space="preserve">20КИ012</t>
  </si>
  <si>
    <t xml:space="preserve">Сафронов Д.С.</t>
  </si>
  <si>
    <t xml:space="preserve">20КИ014</t>
  </si>
  <si>
    <t xml:space="preserve">Терехов Н.А.</t>
  </si>
  <si>
    <t xml:space="preserve">20КИ015</t>
  </si>
  <si>
    <t xml:space="preserve">Штыков Н.В.</t>
  </si>
  <si>
    <t xml:space="preserve">Попков Денис Сергеевич</t>
  </si>
  <si>
    <t xml:space="preserve">Головко Евгений Владимирович</t>
  </si>
  <si>
    <t xml:space="preserve"> ДВ №4 Противодействие технической разведке</t>
  </si>
  <si>
    <t xml:space="preserve"> ДВ №6 Методы обфускации</t>
  </si>
  <si>
    <t xml:space="preserve"> Основы управленческой деятельности</t>
  </si>
  <si>
    <t xml:space="preserve">Программно – аппаратные средства обеспечения информационной безопасности (к.п.)</t>
  </si>
  <si>
    <t xml:space="preserve"> ДВ №5 Реализация конструкторских решений</t>
  </si>
  <si>
    <t xml:space="preserve"> Управление информационной безопасностью (к.р.)</t>
  </si>
  <si>
    <t xml:space="preserve">ИУК6
324 ч. (9 зе)</t>
  </si>
  <si>
    <t xml:space="preserve">19КИ018</t>
  </si>
  <si>
    <t xml:space="preserve">Борисов С.И.</t>
  </si>
  <si>
    <t xml:space="preserve">19КИ024</t>
  </si>
  <si>
    <t xml:space="preserve">Васильев Е.В.</t>
  </si>
  <si>
    <t xml:space="preserve">19КИ038</t>
  </si>
  <si>
    <t xml:space="preserve">Голубев Б.К.</t>
  </si>
  <si>
    <t xml:space="preserve">19КИ040</t>
  </si>
  <si>
    <t xml:space="preserve">Голубенков С.П.</t>
  </si>
  <si>
    <t xml:space="preserve">19КИ051</t>
  </si>
  <si>
    <t xml:space="preserve">Губанов Я.Д.</t>
  </si>
  <si>
    <t xml:space="preserve">19КИ058</t>
  </si>
  <si>
    <t xml:space="preserve">Диденко Л.Р.</t>
  </si>
  <si>
    <t xml:space="preserve">19КИ068</t>
  </si>
  <si>
    <t xml:space="preserve">Егоркин А.А.</t>
  </si>
  <si>
    <t xml:space="preserve">19КИ175</t>
  </si>
  <si>
    <t xml:space="preserve">Рожков В.А.</t>
  </si>
  <si>
    <t xml:space="preserve">19КИ178</t>
  </si>
  <si>
    <t xml:space="preserve">Рыбаков Д.С.</t>
  </si>
  <si>
    <t xml:space="preserve">19КИ201</t>
  </si>
  <si>
    <t xml:space="preserve">Сыроватко Б.Ю.</t>
  </si>
  <si>
    <t xml:space="preserve">Борисов Сергей Иванович</t>
  </si>
  <si>
    <t xml:space="preserve">Твердова Светлана Михайловна</t>
  </si>
  <si>
    <t xml:space="preserve"> Общая химия</t>
  </si>
  <si>
    <t xml:space="preserve">24КИ034</t>
  </si>
  <si>
    <t xml:space="preserve">Агеева К.С.</t>
  </si>
  <si>
    <t xml:space="preserve">23КИ030</t>
  </si>
  <si>
    <t xml:space="preserve">Андронов М.М.</t>
  </si>
  <si>
    <t xml:space="preserve">24КИ358</t>
  </si>
  <si>
    <t xml:space="preserve">Васин Е.Д.</t>
  </si>
  <si>
    <t xml:space="preserve">24КИ143</t>
  </si>
  <si>
    <t xml:space="preserve">Карпов К.И.</t>
  </si>
  <si>
    <t xml:space="preserve">24КИ200</t>
  </si>
  <si>
    <t xml:space="preserve">Мананникова М.Д.</t>
  </si>
  <si>
    <t xml:space="preserve">24КИ208</t>
  </si>
  <si>
    <t xml:space="preserve">Матющенко А.С.</t>
  </si>
  <si>
    <t xml:space="preserve">23КИ170</t>
  </si>
  <si>
    <t xml:space="preserve">Морозов М.В.</t>
  </si>
  <si>
    <t xml:space="preserve">24КИ230</t>
  </si>
  <si>
    <t xml:space="preserve">Никитин И.Ю. </t>
  </si>
  <si>
    <t xml:space="preserve">24КИ243</t>
  </si>
  <si>
    <t xml:space="preserve">Панченко Е.А.</t>
  </si>
  <si>
    <t xml:space="preserve">24КИ251</t>
  </si>
  <si>
    <t xml:space="preserve">Попов К.В.</t>
  </si>
  <si>
    <t xml:space="preserve">24КИ291</t>
  </si>
  <si>
    <t xml:space="preserve">Соломатникова А.А.</t>
  </si>
  <si>
    <t xml:space="preserve">23КИ239</t>
  </si>
  <si>
    <t xml:space="preserve">Сусоев А.Г.</t>
  </si>
  <si>
    <t xml:space="preserve">24КИ307</t>
  </si>
  <si>
    <t xml:space="preserve">Третьяков А.В.</t>
  </si>
  <si>
    <t xml:space="preserve">24КИ311</t>
  </si>
  <si>
    <t xml:space="preserve">Трошин Н.Н.</t>
  </si>
  <si>
    <t xml:space="preserve">24КИ312</t>
  </si>
  <si>
    <t xml:space="preserve">Тукаленко И.Г.</t>
  </si>
  <si>
    <t xml:space="preserve">24КИ315</t>
  </si>
  <si>
    <t xml:space="preserve">Тябина В.А.</t>
  </si>
  <si>
    <t xml:space="preserve">24КИ025</t>
  </si>
  <si>
    <t xml:space="preserve">Хмелевской К.А.</t>
  </si>
  <si>
    <t xml:space="preserve">24КИ338</t>
  </si>
  <si>
    <t xml:space="preserve">Чурбакова В.П.</t>
  </si>
  <si>
    <t xml:space="preserve">24КИ339</t>
  </si>
  <si>
    <t xml:space="preserve">Шаульский Д.А.</t>
  </si>
  <si>
    <t xml:space="preserve">24КИ351</t>
  </si>
  <si>
    <t xml:space="preserve">Якубова Н.Э.</t>
  </si>
  <si>
    <t xml:space="preserve">Якубова Наталья Эдуардовна</t>
  </si>
  <si>
    <t xml:space="preserve">Бесклетко Татьяна Сергеевна</t>
  </si>
  <si>
    <t xml:space="preserve">Организация и обеспечение гражданской защиты и обороны</t>
  </si>
  <si>
    <t xml:space="preserve"> Сопротивление материалов</t>
  </si>
  <si>
    <t xml:space="preserve">Теоретическая механика</t>
  </si>
  <si>
    <t xml:space="preserve"> Материаловедениеа</t>
  </si>
  <si>
    <t xml:space="preserve">Науки о Земле</t>
  </si>
  <si>
    <t xml:space="preserve">Теория вероятностей и математическая статистика</t>
  </si>
  <si>
    <t xml:space="preserve">МК6
180 ч. (5 зе)</t>
  </si>
  <si>
    <t xml:space="preserve">МК6
144 ч. (4 зе)</t>
  </si>
  <si>
    <t xml:space="preserve">МК5
108 ч. (3 зе)</t>
  </si>
  <si>
    <t xml:space="preserve">23КИ040</t>
  </si>
  <si>
    <t xml:space="preserve">Бахарева Е.А.</t>
  </si>
  <si>
    <t xml:space="preserve">23КИ085</t>
  </si>
  <si>
    <t xml:space="preserve">Жучков М.С.</t>
  </si>
  <si>
    <t xml:space="preserve">23КИ091</t>
  </si>
  <si>
    <t xml:space="preserve">Зубарева А.А.</t>
  </si>
  <si>
    <t xml:space="preserve">22КИ313</t>
  </si>
  <si>
    <t xml:space="preserve">Кудряшов Д.А.</t>
  </si>
  <si>
    <t xml:space="preserve">23КИ130</t>
  </si>
  <si>
    <t xml:space="preserve">23КИ194</t>
  </si>
  <si>
    <t xml:space="preserve">Поляков А.С.</t>
  </si>
  <si>
    <t xml:space="preserve">23КИ209</t>
  </si>
  <si>
    <t xml:space="preserve">Раздобреева П.И.</t>
  </si>
  <si>
    <t xml:space="preserve">23КИ216</t>
  </si>
  <si>
    <t xml:space="preserve">Савина В.В.</t>
  </si>
  <si>
    <t xml:space="preserve">23КИ252</t>
  </si>
  <si>
    <t xml:space="preserve">Усманова К.С.</t>
  </si>
  <si>
    <t xml:space="preserve">23КИ268</t>
  </si>
  <si>
    <t xml:space="preserve">Чинарова А.В.</t>
  </si>
  <si>
    <t xml:space="preserve">23КИ274</t>
  </si>
  <si>
    <t xml:space="preserve">Шауки И.Х.</t>
  </si>
  <si>
    <t xml:space="preserve">23КИ292</t>
  </si>
  <si>
    <t xml:space="preserve">Янин В.А.</t>
  </si>
  <si>
    <t xml:space="preserve">Янин Владислав Алексеевич</t>
  </si>
  <si>
    <t xml:space="preserve">Тютюнькова Маргарита Викторовна</t>
  </si>
  <si>
    <t xml:space="preserve"> Детали машин и основы конструирования </t>
  </si>
  <si>
    <t xml:space="preserve"> Оценка воздействия на окружающую среду</t>
  </si>
  <si>
    <t xml:space="preserve"> Промышленная акустика</t>
  </si>
  <si>
    <t xml:space="preserve"> Физико-технические процессы в техносфере (к.р.)</t>
  </si>
  <si>
    <t xml:space="preserve"> Теория механизмов и машин (к.р.)</t>
  </si>
  <si>
    <t xml:space="preserve"> Электротехника и электроника</t>
  </si>
  <si>
    <t xml:space="preserve"> Язык делового общения </t>
  </si>
  <si>
    <t xml:space="preserve">МК9
144 ч. (4 зе)</t>
  </si>
  <si>
    <t xml:space="preserve">МК6
72 ч. (2 зе)</t>
  </si>
  <si>
    <t xml:space="preserve">МК11
108 ч. (3 зе)</t>
  </si>
  <si>
    <t xml:space="preserve">ИУК9
36 ч. (1 зе)</t>
  </si>
  <si>
    <t xml:space="preserve">22КИ092</t>
  </si>
  <si>
    <t xml:space="preserve">Дорина К.С.</t>
  </si>
  <si>
    <t xml:space="preserve">21КИ285</t>
  </si>
  <si>
    <t xml:space="preserve">Ефименков А.В.</t>
  </si>
  <si>
    <t xml:space="preserve">22КИ108</t>
  </si>
  <si>
    <t xml:space="preserve">Жиров В.Н.</t>
  </si>
  <si>
    <t xml:space="preserve">22КИ189</t>
  </si>
  <si>
    <t xml:space="preserve">Зайцева С.П.</t>
  </si>
  <si>
    <t xml:space="preserve">21КИ110</t>
  </si>
  <si>
    <t xml:space="preserve">Зевакин А.М.</t>
  </si>
  <si>
    <t xml:space="preserve">22КИ129</t>
  </si>
  <si>
    <t xml:space="preserve">Казакова Е.Д.</t>
  </si>
  <si>
    <t xml:space="preserve">22КИ148</t>
  </si>
  <si>
    <t xml:space="preserve">Ковалев Н.Б.</t>
  </si>
  <si>
    <t xml:space="preserve">22КИ155</t>
  </si>
  <si>
    <t xml:space="preserve">Корташов А.В.</t>
  </si>
  <si>
    <t xml:space="preserve">22КИ160</t>
  </si>
  <si>
    <t xml:space="preserve">Крылов А.А.</t>
  </si>
  <si>
    <t xml:space="preserve">22КИ226</t>
  </si>
  <si>
    <t xml:space="preserve">Попков С.М.</t>
  </si>
  <si>
    <t xml:space="preserve">22КИ258</t>
  </si>
  <si>
    <t xml:space="preserve">Старченков И.М.</t>
  </si>
  <si>
    <t xml:space="preserve">22КИ259</t>
  </si>
  <si>
    <t xml:space="preserve">Степанов С.А.</t>
  </si>
  <si>
    <t xml:space="preserve">22КИ265</t>
  </si>
  <si>
    <t xml:space="preserve">Тищенко К.М.</t>
  </si>
  <si>
    <t xml:space="preserve">22КИ268</t>
  </si>
  <si>
    <t xml:space="preserve">Трошина В.Н.</t>
  </si>
  <si>
    <t xml:space="preserve">Старченков Илья Михайлович</t>
  </si>
  <si>
    <t xml:space="preserve">Астахова Лариса Васильевна</t>
  </si>
  <si>
    <t xml:space="preserve"> Промышленная безопасность</t>
  </si>
  <si>
    <t xml:space="preserve">Системы водоподготовки и технологии очистки сточных вод</t>
  </si>
  <si>
    <t xml:space="preserve"> Системы обеспечения техносферной безопасности (к.п.)</t>
  </si>
  <si>
    <t xml:space="preserve"> Экология техносферы </t>
  </si>
  <si>
    <t xml:space="preserve">ИУК7
144 ч. (4 зе)</t>
  </si>
  <si>
    <t xml:space="preserve">ИУК7
252 ч. (7 зе)</t>
  </si>
  <si>
    <t xml:space="preserve">ИУК7
72 ч. (2 зе)</t>
  </si>
  <si>
    <t xml:space="preserve">20КИ025</t>
  </si>
  <si>
    <t xml:space="preserve">Барабанов А.В.</t>
  </si>
  <si>
    <t xml:space="preserve">21КИ058</t>
  </si>
  <si>
    <t xml:space="preserve">Бурсина Е.А.</t>
  </si>
  <si>
    <t xml:space="preserve">21КИ060</t>
  </si>
  <si>
    <t xml:space="preserve">Быстрова А.Е.</t>
  </si>
  <si>
    <t xml:space="preserve">19КИ095</t>
  </si>
  <si>
    <t xml:space="preserve">Кисель А.И.</t>
  </si>
  <si>
    <t xml:space="preserve">20КИ132</t>
  </si>
  <si>
    <t xml:space="preserve">Михайлова Т.С.</t>
  </si>
  <si>
    <t xml:space="preserve">21КИ184</t>
  </si>
  <si>
    <t xml:space="preserve">Нинякин В.П.</t>
  </si>
  <si>
    <t xml:space="preserve">21КИ209</t>
  </si>
  <si>
    <t xml:space="preserve">Романова П.А.</t>
  </si>
  <si>
    <t xml:space="preserve">Бурсина Екатерина Андреевна</t>
  </si>
  <si>
    <t xml:space="preserve">Морозенко Мария Ивановна</t>
  </si>
  <si>
    <t xml:space="preserve"> Методы и приборы контроля параметров окружающей среды</t>
  </si>
  <si>
    <t xml:space="preserve">Организация и проведение научно_x0002_исследовательских работ</t>
  </si>
  <si>
    <t xml:space="preserve"> Экологически чистые и ресурсосберегающие технологии</t>
  </si>
  <si>
    <t xml:space="preserve"> Экологический аудит</t>
  </si>
  <si>
    <t xml:space="preserve">МК1
144 ч. (4 зе)</t>
  </si>
  <si>
    <t xml:space="preserve">ИУК7
324 ч. (9 зе)</t>
  </si>
  <si>
    <t xml:space="preserve">ИУК7
36 ч. (1 зе)</t>
  </si>
  <si>
    <t xml:space="preserve">24КИМ056</t>
  </si>
  <si>
    <t xml:space="preserve">Баранов М.С.</t>
  </si>
  <si>
    <t xml:space="preserve">24КИМ050</t>
  </si>
  <si>
    <t xml:space="preserve">Васильев А.С.</t>
  </si>
  <si>
    <t xml:space="preserve">24КИМ008</t>
  </si>
  <si>
    <t xml:space="preserve">Готвальд Е.Д.</t>
  </si>
  <si>
    <t xml:space="preserve">24КИМ013</t>
  </si>
  <si>
    <t xml:space="preserve">Ильющенко А.А.</t>
  </si>
  <si>
    <t xml:space="preserve">24КИМ022</t>
  </si>
  <si>
    <t xml:space="preserve">Никишкина А.А.</t>
  </si>
  <si>
    <t xml:space="preserve">23КИМ050</t>
  </si>
  <si>
    <t xml:space="preserve">Родичев Д.Л.</t>
  </si>
  <si>
    <t xml:space="preserve">24КИМ045</t>
  </si>
  <si>
    <t xml:space="preserve">Шульга С.С.</t>
  </si>
  <si>
    <t xml:space="preserve">Шульга Светлана Сергеевна</t>
  </si>
  <si>
    <t xml:space="preserve">Жукова Юлия Михайловна</t>
  </si>
  <si>
    <t xml:space="preserve"> Защита атмосферы от техногенных воздействий</t>
  </si>
  <si>
    <t xml:space="preserve"> Экологическая экспертиза</t>
  </si>
  <si>
    <t xml:space="preserve"> Водоподготовка, водоотведение и обработка осадка сточных вод (к.п.)</t>
  </si>
  <si>
    <t xml:space="preserve"> Информационные технологии в моделировании и проектировании технических объектов</t>
  </si>
  <si>
    <t xml:space="preserve"> Педагогическая практик</t>
  </si>
  <si>
    <t xml:space="preserve"> Проектно-технологическая практика </t>
  </si>
  <si>
    <t xml:space="preserve">ИУК7
216 ч. (6 зе)</t>
  </si>
  <si>
    <t xml:space="preserve">ИУК7
180 ч. (5 зе)</t>
  </si>
  <si>
    <t xml:space="preserve">МК1
108 ч. (3 зе)</t>
  </si>
  <si>
    <t xml:space="preserve">23КИМ014</t>
  </si>
  <si>
    <t xml:space="preserve">Жуков Я.Д.</t>
  </si>
  <si>
    <t xml:space="preserve">23КИМ015</t>
  </si>
  <si>
    <t xml:space="preserve">Заверткин Е.А.</t>
  </si>
  <si>
    <t xml:space="preserve">23КИМ020</t>
  </si>
  <si>
    <t xml:space="preserve">Зинченко Л.В.</t>
  </si>
  <si>
    <t xml:space="preserve">23КИМ022</t>
  </si>
  <si>
    <t xml:space="preserve">Зубарев Д.Ю.</t>
  </si>
  <si>
    <t xml:space="preserve">23КИМ049</t>
  </si>
  <si>
    <t xml:space="preserve">Пятов Н.М.</t>
  </si>
  <si>
    <t xml:space="preserve">23КИМ051</t>
  </si>
  <si>
    <t xml:space="preserve">Сиваев И.Д.</t>
  </si>
  <si>
    <t xml:space="preserve">23КИМ052</t>
  </si>
  <si>
    <t xml:space="preserve">Смирнова М.В.</t>
  </si>
  <si>
    <t xml:space="preserve">23КИМ060</t>
  </si>
  <si>
    <t xml:space="preserve">Шувалов В.С.</t>
  </si>
  <si>
    <t xml:space="preserve">Заверткин Евгений Александрович</t>
  </si>
  <si>
    <t xml:space="preserve">Закономерности химических процессов в биомедицине</t>
  </si>
  <si>
    <t xml:space="preserve">24КИ033</t>
  </si>
  <si>
    <t xml:space="preserve">Авдеев В.И.</t>
  </si>
  <si>
    <t xml:space="preserve">24КИ052</t>
  </si>
  <si>
    <t xml:space="preserve">Беленикин А.Д.</t>
  </si>
  <si>
    <t xml:space="preserve">24КИ084</t>
  </si>
  <si>
    <t xml:space="preserve">Генералова Е.М.</t>
  </si>
  <si>
    <t xml:space="preserve">24КИ118</t>
  </si>
  <si>
    <t xml:space="preserve">Егоров И.А.</t>
  </si>
  <si>
    <t xml:space="preserve">24КИ119</t>
  </si>
  <si>
    <t xml:space="preserve">Елисеев Г.А.</t>
  </si>
  <si>
    <t xml:space="preserve">24КИ122</t>
  </si>
  <si>
    <t xml:space="preserve">Забобурин Г.Г.</t>
  </si>
  <si>
    <t xml:space="preserve">24КИ146</t>
  </si>
  <si>
    <t xml:space="preserve">Кеерд М.А.</t>
  </si>
  <si>
    <t xml:space="preserve">24КИ162</t>
  </si>
  <si>
    <t xml:space="preserve">Корниенко Н.С.</t>
  </si>
  <si>
    <t xml:space="preserve">24КИ163</t>
  </si>
  <si>
    <t xml:space="preserve">Коробова Е.А.</t>
  </si>
  <si>
    <t xml:space="preserve">24КИ211</t>
  </si>
  <si>
    <t xml:space="preserve">Махиня Г.В.</t>
  </si>
  <si>
    <t xml:space="preserve">23КИ321</t>
  </si>
  <si>
    <t xml:space="preserve">Огородников М.А.</t>
  </si>
  <si>
    <t xml:space="preserve">24КИ253</t>
  </si>
  <si>
    <t xml:space="preserve">Пристромская Т.А.</t>
  </si>
  <si>
    <t xml:space="preserve">23КИ323</t>
  </si>
  <si>
    <t xml:space="preserve">Романова А.И.</t>
  </si>
  <si>
    <t xml:space="preserve">24КИ279</t>
  </si>
  <si>
    <t xml:space="preserve">Сережкина А.И.</t>
  </si>
  <si>
    <t xml:space="preserve">24КИ289</t>
  </si>
  <si>
    <t xml:space="preserve">Соколов Г.С.</t>
  </si>
  <si>
    <t xml:space="preserve">24КИ304</t>
  </si>
  <si>
    <t xml:space="preserve">Тихонов Е.О.</t>
  </si>
  <si>
    <t xml:space="preserve">24КИ313</t>
  </si>
  <si>
    <t xml:space="preserve">Турта Р.Д.</t>
  </si>
  <si>
    <t xml:space="preserve">24КИ415</t>
  </si>
  <si>
    <t xml:space="preserve">Улыбышев П.П.</t>
  </si>
  <si>
    <t xml:space="preserve">24КИ322</t>
  </si>
  <si>
    <t xml:space="preserve">Федулова К.А.</t>
  </si>
  <si>
    <t xml:space="preserve">24КИ323</t>
  </si>
  <si>
    <t xml:space="preserve">Федусова М.С.</t>
  </si>
  <si>
    <t xml:space="preserve">24КИ324</t>
  </si>
  <si>
    <t xml:space="preserve">Фецков М.И.</t>
  </si>
  <si>
    <t xml:space="preserve">24КИ332</t>
  </si>
  <si>
    <t xml:space="preserve">Цепух Н.К.</t>
  </si>
  <si>
    <t xml:space="preserve">24КИ340</t>
  </si>
  <si>
    <t xml:space="preserve">Шевченко Д.С.</t>
  </si>
  <si>
    <t xml:space="preserve">24КИ345</t>
  </si>
  <si>
    <t xml:space="preserve">Шишанов А.А.</t>
  </si>
  <si>
    <t xml:space="preserve">24КИ420</t>
  </si>
  <si>
    <t xml:space="preserve">Шумилин А.А.</t>
  </si>
  <si>
    <t xml:space="preserve">24КИ349</t>
  </si>
  <si>
    <t xml:space="preserve">Юфрикова П.А.</t>
  </si>
  <si>
    <t xml:space="preserve">Шевченко Дмитрий Сергеевич</t>
  </si>
  <si>
    <t xml:space="preserve">Герасимова Наталия Сергеевна</t>
  </si>
  <si>
    <t xml:space="preserve"> Методы и техника неинвазивных измерений параметров систем и сред организма</t>
  </si>
  <si>
    <t xml:space="preserve"> ДВ №2 Специальные вопросы разработки телемедицинских систем</t>
  </si>
  <si>
    <t xml:space="preserve"> Биотехнические системы и технологии (к.п.)</t>
  </si>
  <si>
    <t xml:space="preserve"> Проектно-конструкторская практика</t>
  </si>
  <si>
    <t xml:space="preserve">ИУК11
215 ч. (6 зе)</t>
  </si>
  <si>
    <t xml:space="preserve">ИУК11
144 ч. (4 зе)</t>
  </si>
  <si>
    <t xml:space="preserve">ИУК11
108 ч. (3 зе)</t>
  </si>
  <si>
    <t xml:space="preserve">ИУК11
36 ч. (1 зе)</t>
  </si>
  <si>
    <t xml:space="preserve">ИУК11
324 ч. (9 зе)</t>
  </si>
  <si>
    <t xml:space="preserve">23КИМ066</t>
  </si>
  <si>
    <t xml:space="preserve">Прудников А.Ф.</t>
  </si>
  <si>
    <t xml:space="preserve">Прудников Алексей Федорович</t>
  </si>
  <si>
    <t xml:space="preserve">Смотр №</t>
  </si>
  <si>
    <t xml:space="preserve">Семестр №</t>
  </si>
  <si>
    <t xml:space="preserve">УчГод</t>
  </si>
  <si>
    <t xml:space="preserve">24/25</t>
  </si>
  <si>
    <t xml:space="preserve">СрокСдачи</t>
  </si>
  <si>
    <t xml:space="preserve">Неделя</t>
  </si>
  <si>
    <t xml:space="preserve">Не трогать В5</t>
  </si>
</sst>
</file>

<file path=xl/styles.xml><?xml version="1.0" encoding="utf-8"?>
<styleSheet xmlns="http://schemas.openxmlformats.org/spreadsheetml/2006/main">
  <numFmts count="20">
    <numFmt numFmtId="164" formatCode="General"/>
    <numFmt numFmtId="165" formatCode="_-* #,##0.00&quot;р.&quot;_-;\-* #,##0.00&quot;р.&quot;_-;_-* \-??&quot;р.&quot;_-;_-@_-"/>
    <numFmt numFmtId="166" formatCode="_-* #\ ##0.00&quot;р.&quot;_-;\-* #\ ##0.00&quot;р.&quot;_-;_-* \-??&quot;р.&quot;_-;_-@_-"/>
    <numFmt numFmtId="167" formatCode="0%"/>
    <numFmt numFmtId="168" formatCode="_-* #\ ##0.00_-;\-* #\ ##0.00_-;_-* \-??_-;_-@_-"/>
    <numFmt numFmtId="169" formatCode="_-* #,##0.00_-;\-* #,##0.00_-;_-* \-??_-;_-@_-"/>
    <numFmt numFmtId="170" formatCode="_-* #,##0.00_-;\-* #,##0.00_-;_-* \-??_-;_-@_-"/>
    <numFmt numFmtId="171" formatCode="_-* #,##0.00\ _₽_-;\-* #,##0.00\ _₽_-;_-* \-??\ _₽_-;_-@_-"/>
    <numFmt numFmtId="172" formatCode="_-* #,##0.00\ _₽_-;\-* #,##0.00\ _₽_-;_-* \-??\ _₽_-;_-@_-"/>
    <numFmt numFmtId="173" formatCode="_-* #\ ##0.00\ _₽_-;\-* #\ ##0.00\ _₽_-;_-* \-??\ _₽_-;_-@_-"/>
    <numFmt numFmtId="174" formatCode="General"/>
    <numFmt numFmtId="175" formatCode="dd/mm/yyyy"/>
    <numFmt numFmtId="176" formatCode="0"/>
    <numFmt numFmtId="177" formatCode="0.0"/>
    <numFmt numFmtId="178" formatCode="0.00%"/>
    <numFmt numFmtId="179" formatCode="0.00"/>
    <numFmt numFmtId="180" formatCode="dd/mm/yy;@"/>
    <numFmt numFmtId="181" formatCode="#,##0.0_ ;\-#,##0.0\ "/>
    <numFmt numFmtId="182" formatCode="@"/>
    <numFmt numFmtId="183" formatCode="0.0_ ;\-0.0\ "/>
  </numFmts>
  <fonts count="63">
    <font>
      <sz val="11"/>
      <color rgb="FF000000"/>
      <name val="Calibri"/>
      <family val="2"/>
      <charset val="204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u val="single"/>
      <sz val="11"/>
      <color rgb="FF0563C1"/>
      <name val="Calibri"/>
      <family val="2"/>
      <charset val="204"/>
    </font>
    <font>
      <u val="single"/>
      <sz val="11"/>
      <color rgb="FF0563C1"/>
      <name val="Calibri"/>
      <family val="0"/>
      <charset val="204"/>
    </font>
    <font>
      <sz val="11"/>
      <name val="Calibri"/>
      <family val="0"/>
      <charset val="204"/>
    </font>
    <font>
      <sz val="11"/>
      <color rgb="FF000000"/>
      <name val="Calibri"/>
      <family val="0"/>
      <charset val="204"/>
    </font>
    <font>
      <sz val="11"/>
      <name val="Calibri"/>
      <family val="2"/>
      <charset val="204"/>
    </font>
    <font>
      <sz val="11"/>
      <color rgb="FF000000"/>
      <name val="Calibri"/>
      <family val="2"/>
      <charset val="1"/>
    </font>
    <font>
      <sz val="11"/>
      <name val="Calibri"/>
      <family val="0"/>
      <charset val="1"/>
    </font>
    <font>
      <sz val="11"/>
      <color rgb="FF000000"/>
      <name val="Calibri"/>
      <family val="0"/>
      <charset val="1"/>
    </font>
    <font>
      <sz val="11"/>
      <color rgb="FF000000"/>
      <name val="Arial"/>
      <family val="2"/>
      <charset val="204"/>
    </font>
    <font>
      <sz val="11"/>
      <name val="Arial"/>
      <family val="0"/>
      <charset val="204"/>
    </font>
    <font>
      <sz val="11"/>
      <color rgb="FF000000"/>
      <name val="Arial"/>
      <family val="0"/>
      <charset val="204"/>
    </font>
    <font>
      <sz val="11"/>
      <color theme="1"/>
      <name val="Calibri"/>
      <family val="0"/>
      <charset val="1"/>
    </font>
    <font>
      <sz val="11"/>
      <color theme="1"/>
      <name val="Calibri"/>
      <family val="2"/>
      <charset val="204"/>
    </font>
    <font>
      <sz val="11"/>
      <color theme="1"/>
      <name val="Calibri"/>
      <family val="0"/>
      <charset val="204"/>
    </font>
    <font>
      <sz val="11"/>
      <color theme="1"/>
      <name val="Calibri"/>
      <family val="2"/>
      <charset val="1"/>
    </font>
    <font>
      <sz val="11"/>
      <color theme="1"/>
      <name val="Calibri"/>
      <family val="0"/>
      <charset val="134"/>
    </font>
    <font>
      <sz val="12"/>
      <color theme="1"/>
      <name val="Calibri"/>
      <family val="2"/>
      <charset val="1"/>
    </font>
    <font>
      <sz val="12"/>
      <color theme="1"/>
      <name val="Calibri"/>
      <family val="2"/>
      <charset val="204"/>
    </font>
    <font>
      <b val="true"/>
      <sz val="16"/>
      <color rgb="FF000000"/>
      <name val="Calibri"/>
      <family val="2"/>
      <charset val="204"/>
    </font>
    <font>
      <sz val="10"/>
      <color rgb="FF000000"/>
      <name val="Calibri"/>
      <family val="2"/>
      <charset val="204"/>
    </font>
    <font>
      <sz val="9"/>
      <color rgb="FF000000"/>
      <name val="Calibri"/>
      <family val="2"/>
      <charset val="204"/>
    </font>
    <font>
      <sz val="8"/>
      <color rgb="FF000000"/>
      <name val="Calibri"/>
      <family val="2"/>
      <charset val="204"/>
    </font>
    <font>
      <sz val="8"/>
      <name val="Calibri"/>
      <family val="2"/>
      <charset val="204"/>
    </font>
    <font>
      <sz val="12"/>
      <color rgb="FF000000"/>
      <name val="Calibri"/>
      <family val="2"/>
      <charset val="204"/>
    </font>
    <font>
      <b val="true"/>
      <sz val="12"/>
      <color rgb="FF000000"/>
      <name val="Calibri"/>
      <family val="2"/>
      <charset val="204"/>
    </font>
    <font>
      <sz val="8"/>
      <color theme="1"/>
      <name val="Calibri"/>
      <family val="2"/>
      <charset val="204"/>
    </font>
    <font>
      <sz val="10"/>
      <name val="Arial"/>
      <family val="2"/>
    </font>
    <font>
      <sz val="9"/>
      <color rgb="FF000000"/>
      <name val="Tahoma"/>
      <family val="2"/>
      <charset val="204"/>
    </font>
    <font>
      <sz val="8"/>
      <color rgb="FF000000"/>
      <name val="Calibri"/>
      <family val="0"/>
      <charset val="1"/>
    </font>
    <font>
      <sz val="12"/>
      <color rgb="FF000000"/>
      <name val="Calibri"/>
      <family val="0"/>
      <charset val="1"/>
    </font>
    <font>
      <strike val="true"/>
      <sz val="8"/>
      <color rgb="FF000000"/>
      <name val="Calibri"/>
      <family val="2"/>
      <charset val="204"/>
    </font>
    <font>
      <sz val="8"/>
      <name val="Calibri"/>
      <family val="0"/>
      <charset val="204"/>
    </font>
    <font>
      <sz val="12"/>
      <name val="Calibri"/>
      <family val="0"/>
      <charset val="204"/>
    </font>
    <font>
      <b val="true"/>
      <sz val="8"/>
      <color rgb="FF000000"/>
      <name val="Calibri"/>
      <family val="2"/>
      <charset val="204"/>
    </font>
    <font>
      <u val="single"/>
      <sz val="12"/>
      <color rgb="FF000000"/>
      <name val="Calibri"/>
      <family val="2"/>
      <charset val="204"/>
    </font>
    <font>
      <sz val="11"/>
      <color rgb="FF000000"/>
      <name val="Times New Roman"/>
      <family val="1"/>
      <charset val="204"/>
    </font>
    <font>
      <sz val="10"/>
      <color rgb="FF000000"/>
      <name val="Times New Roman"/>
      <family val="1"/>
      <charset val="204"/>
    </font>
    <font>
      <sz val="9"/>
      <color rgb="FF000000"/>
      <name val="Times New Roman"/>
      <family val="1"/>
      <charset val="204"/>
    </font>
    <font>
      <sz val="8"/>
      <color rgb="FF000000"/>
      <name val="Times New Roman"/>
      <family val="1"/>
      <charset val="204"/>
    </font>
    <font>
      <sz val="10"/>
      <name val="Times New Roman"/>
      <family val="1"/>
      <charset val="204"/>
    </font>
    <font>
      <sz val="8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sz val="14"/>
      <color rgb="FF000000"/>
      <name val="Times New Roman"/>
      <family val="1"/>
      <charset val="204"/>
    </font>
    <font>
      <sz val="9"/>
      <name val="Calibri"/>
      <family val="2"/>
      <charset val="204"/>
    </font>
    <font>
      <sz val="12"/>
      <name val="Calibri"/>
      <family val="2"/>
      <charset val="204"/>
    </font>
    <font>
      <sz val="9"/>
      <color theme="1"/>
      <name val="Calibri"/>
      <family val="2"/>
      <charset val="204"/>
    </font>
    <font>
      <sz val="8"/>
      <color theme="1"/>
      <name val="Calibri"/>
      <family val="0"/>
      <charset val="204"/>
    </font>
    <font>
      <sz val="12"/>
      <color rgb="FF000000"/>
      <name val="Calibri"/>
      <family val="0"/>
      <charset val="204"/>
    </font>
    <font>
      <sz val="10"/>
      <color rgb="FF000000"/>
      <name val="Arial"/>
      <family val="2"/>
      <charset val="204"/>
    </font>
    <font>
      <b val="true"/>
      <sz val="10"/>
      <color rgb="FF000000"/>
      <name val="Calibri"/>
      <family val="2"/>
      <charset val="204"/>
    </font>
    <font>
      <sz val="8"/>
      <color theme="1"/>
      <name val="Calibri"/>
      <family val="0"/>
      <charset val="1"/>
    </font>
    <font>
      <sz val="10"/>
      <color rgb="FF000000"/>
      <name val="Times New Roman Cyr"/>
      <family val="1"/>
      <charset val="1"/>
    </font>
    <font>
      <b val="true"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0"/>
      <color rgb="FF000000"/>
      <name val="Calibri"/>
      <family val="0"/>
      <charset val="204"/>
    </font>
    <font>
      <sz val="10"/>
      <name val="Calibri"/>
      <family val="2"/>
      <charset val="204"/>
    </font>
    <font>
      <sz val="10"/>
      <name val="Calibri"/>
      <family val="0"/>
      <charset val="1"/>
    </font>
    <font>
      <sz val="12"/>
      <name val="Calibri"/>
      <family val="0"/>
      <charset val="1"/>
    </font>
    <font>
      <b val="true"/>
      <sz val="14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DCDB"/>
        <bgColor rgb="FFDCE6F2"/>
      </patternFill>
    </fill>
    <fill>
      <patternFill patternType="solid">
        <fgColor rgb="FFDCE6F2"/>
        <bgColor rgb="FFDAE3F3"/>
      </patternFill>
    </fill>
    <fill>
      <patternFill patternType="solid">
        <fgColor theme="8" tint="0.7998"/>
        <bgColor rgb="FFDCE6F2"/>
      </patternFill>
    </fill>
    <fill>
      <patternFill patternType="solid">
        <fgColor theme="8" tint="0.5999"/>
        <bgColor rgb="FFDAE3F3"/>
      </patternFill>
    </fill>
    <fill>
      <patternFill patternType="solid">
        <fgColor theme="0"/>
        <bgColor rgb="FFDEEBF7"/>
      </patternFill>
    </fill>
    <fill>
      <patternFill patternType="solid">
        <fgColor theme="4" tint="0.7999"/>
        <bgColor rgb="FFDCE6F2"/>
      </patternFill>
    </fill>
    <fill>
      <patternFill patternType="solid">
        <fgColor theme="5" tint="0.3998"/>
        <bgColor rgb="FFFF99CC"/>
      </patternFill>
    </fill>
  </fills>
  <borders count="53">
    <border diagonalUp="false" diagonalDown="false">
      <left/>
      <right/>
      <top/>
      <bottom/>
      <diagonal/>
    </border>
    <border diagonalUp="false" diagonalDown="false">
      <left/>
      <right/>
      <top/>
      <bottom style="thin"/>
      <diagonal/>
    </border>
    <border diagonalUp="false" diagonalDown="false">
      <left style="thin"/>
      <right style="thin"/>
      <top style="thin"/>
      <bottom style="double"/>
      <diagonal/>
    </border>
    <border diagonalUp="false" diagonalDown="false">
      <left style="thin"/>
      <right/>
      <top style="thin"/>
      <bottom style="double"/>
      <diagonal/>
    </border>
    <border diagonalUp="false" diagonalDown="false">
      <left style="double"/>
      <right/>
      <top style="thin"/>
      <bottom style="thin"/>
      <diagonal/>
    </border>
    <border diagonalUp="false" diagonalDown="false">
      <left style="double"/>
      <right style="double"/>
      <top style="thin"/>
      <bottom style="thin"/>
      <diagonal/>
    </border>
    <border diagonalUp="false" diagonalDown="false">
      <left/>
      <right style="thin"/>
      <top style="thin"/>
      <bottom style="double"/>
      <diagonal/>
    </border>
    <border diagonalUp="false" diagonalDown="false">
      <left style="double"/>
      <right style="thin"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double"/>
      <top style="thin"/>
      <bottom style="thin"/>
      <diagonal/>
    </border>
    <border diagonalUp="false" diagonalDown="false">
      <left style="double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/>
      <diagonal/>
    </border>
    <border diagonalUp="false" diagonalDown="false">
      <left style="double"/>
      <right style="thin"/>
      <top style="thin"/>
      <bottom style="double"/>
      <diagonal/>
    </border>
    <border diagonalUp="false" diagonalDown="false">
      <left style="thin"/>
      <right style="double"/>
      <top style="thin"/>
      <bottom style="double"/>
      <diagonal/>
    </border>
    <border diagonalUp="false" diagonalDown="false">
      <left style="thin"/>
      <right style="thin"/>
      <top style="double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double"/>
      <right style="thin"/>
      <top style="double"/>
      <bottom style="thin"/>
      <diagonal/>
    </border>
    <border diagonalUp="false" diagonalDown="false">
      <left style="thin"/>
      <right style="double"/>
      <top style="double"/>
      <bottom style="thin"/>
      <diagonal/>
    </border>
    <border diagonalUp="false" diagonalDown="false">
      <left style="double"/>
      <right style="thin"/>
      <top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double"/>
      <top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/>
      <right/>
      <top style="thin"/>
      <bottom/>
      <diagonal/>
    </border>
    <border diagonalUp="false" diagonalDown="false">
      <left style="thin"/>
      <right/>
      <top/>
      <bottom/>
      <diagonal/>
    </border>
    <border diagonalUp="false" diagonalDown="false">
      <left style="double"/>
      <right/>
      <top style="double"/>
      <bottom style="thin"/>
      <diagonal/>
    </border>
    <border diagonalUp="false" diagonalDown="false">
      <left style="thin"/>
      <right/>
      <top style="double"/>
      <bottom style="thin"/>
      <diagonal/>
    </border>
    <border diagonalUp="false" diagonalDown="false">
      <left style="double"/>
      <right/>
      <top style="thin"/>
      <bottom style="double"/>
      <diagonal/>
    </border>
    <border diagonalUp="false" diagonalDown="false">
      <left/>
      <right style="double"/>
      <top style="thin"/>
      <bottom style="double"/>
      <diagonal/>
    </border>
    <border diagonalUp="false" diagonalDown="false">
      <left/>
      <right/>
      <top style="thin"/>
      <bottom style="thin"/>
      <diagonal/>
    </border>
    <border diagonalUp="false" diagonalDown="false">
      <left/>
      <right/>
      <top style="thin"/>
      <bottom style="double"/>
      <diagonal/>
    </border>
    <border diagonalUp="false" diagonalDown="false">
      <left/>
      <right style="double"/>
      <top/>
      <bottom style="thin"/>
      <diagonal/>
    </border>
    <border diagonalUp="false" diagonalDown="false">
      <left style="thin"/>
      <right style="double"/>
      <top style="thin"/>
      <bottom/>
      <diagonal/>
    </border>
    <border diagonalUp="false" diagonalDown="false">
      <left style="double"/>
      <right style="thin"/>
      <top style="double"/>
      <bottom/>
      <diagonal/>
    </border>
    <border diagonalUp="false" diagonalDown="false">
      <left style="thin"/>
      <right style="thin"/>
      <top style="double"/>
      <bottom/>
      <diagonal/>
    </border>
    <border diagonalUp="false" diagonalDown="false">
      <left style="thin"/>
      <right style="double"/>
      <top style="double"/>
      <bottom/>
      <diagonal/>
    </border>
    <border diagonalUp="false" diagonalDown="false">
      <left/>
      <right style="double"/>
      <top style="thin"/>
      <bottom style="thin"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thin"/>
      <right style="double"/>
      <top style="medium"/>
      <bottom style="thin"/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 style="double"/>
      <top/>
      <bottom/>
      <diagonal/>
    </border>
    <border diagonalUp="false" diagonalDown="false">
      <left/>
      <right style="thin"/>
      <top style="double"/>
      <bottom style="thin"/>
      <diagonal/>
    </border>
    <border diagonalUp="false" diagonalDown="false">
      <left/>
      <right style="double"/>
      <top style="thin"/>
      <bottom/>
      <diagonal/>
    </border>
    <border diagonalUp="false" diagonalDown="false">
      <left style="double"/>
      <right style="thin"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/>
      <right style="thin"/>
      <top/>
      <bottom/>
      <diagonal/>
    </border>
    <border diagonalUp="false" diagonalDown="false">
      <left/>
      <right style="double"/>
      <top/>
      <bottom/>
      <diagonal/>
    </border>
    <border diagonalUp="false" diagonalDown="false">
      <left/>
      <right style="double"/>
      <top style="double"/>
      <bottom style="thin"/>
      <diagonal/>
    </border>
    <border diagonalUp="false" diagonalDown="false">
      <left style="double"/>
      <right style="double"/>
      <top style="thin"/>
      <bottom/>
      <diagonal/>
    </border>
    <border diagonalUp="false" diagonalDown="false">
      <left style="double"/>
      <right style="double"/>
      <top style="thin"/>
      <bottom style="double"/>
      <diagonal/>
    </border>
    <border diagonalUp="false" diagonalDown="false">
      <left style="double"/>
      <right/>
      <top/>
      <bottom style="thin"/>
      <diagonal/>
    </border>
  </borders>
  <cellStyleXfs count="56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5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5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6" fontId="7" fillId="0" borderId="0" applyFont="true" applyBorder="false" applyAlignment="true" applyProtection="false">
      <alignment horizontal="general" vertical="bottom" textRotation="0" wrapText="false" indent="0" shrinkToFit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1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8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8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1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6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2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3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7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top" textRotation="0" wrapText="false" indent="0" shrinkToFit="false"/>
      <protection locked="fals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7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7" fontId="0" fillId="0" borderId="0" applyFont="true" applyBorder="false" applyAlignment="true" applyProtection="false">
      <alignment horizontal="general" vertical="bottom" textRotation="0" wrapText="false" indent="0" shrinkToFit="false"/>
    </xf>
    <xf numFmtId="167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7" fontId="7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71" fontId="0" fillId="0" borderId="0" applyFont="true" applyBorder="false" applyAlignment="true" applyProtection="false">
      <alignment horizontal="general" vertical="bottom" textRotation="0" wrapText="false" indent="0" shrinkToFit="false"/>
    </xf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169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2" fontId="0" fillId="0" borderId="0" applyFont="true" applyBorder="false" applyAlignment="true" applyProtection="false">
      <alignment horizontal="general" vertical="bottom" textRotation="0" wrapText="false" indent="0" shrinkToFit="false"/>
    </xf>
    <xf numFmtId="172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73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70" fontId="0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6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70" fontId="0" fillId="0" borderId="0" applyFont="true" applyBorder="false" applyAlignment="true" applyProtection="false">
      <alignment horizontal="general" vertical="bottom" textRotation="0" wrapText="false" indent="0" shrinkToFit="false"/>
    </xf>
    <xf numFmtId="170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168" fontId="6" fillId="0" borderId="0" applyFont="true" applyBorder="false" applyAlignment="true" applyProtection="true">
      <alignment horizontal="general" vertical="bottom" textRotation="0" wrapText="false" indent="0" shrinkToFit="false"/>
      <protection locked="false" hidden="false"/>
    </xf>
    <xf numFmtId="168" fontId="7" fillId="0" borderId="0" applyFont="true" applyBorder="false" applyAlignment="true" applyProtection="false">
      <alignment horizontal="general" vertical="bottom" textRotation="0" wrapText="false" indent="0" shrinkToFit="false"/>
    </xf>
  </cellStyleXfs>
  <cellXfs count="94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74" fontId="22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3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6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4" fillId="0" borderId="8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4" fillId="0" borderId="9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4" fillId="0" borderId="1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5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26" fillId="0" borderId="17" xfId="207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18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3" fillId="0" borderId="16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3" fillId="0" borderId="19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3" fillId="0" borderId="20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3" fillId="0" borderId="21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3" fillId="0" borderId="22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77" fontId="25" fillId="0" borderId="2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6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4" fontId="25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7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3" fillId="0" borderId="8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3" fillId="0" borderId="10" xfId="235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right" vertical="center" textRotation="90" wrapText="false" indent="0" shrinkToFit="false"/>
      <protection locked="true" hidden="false"/>
    </xf>
    <xf numFmtId="177" fontId="25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76" fontId="25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7" fontId="2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6" fontId="27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6" fontId="27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4" fontId="0" fillId="2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top" textRotation="0" wrapText="false" indent="0" shrinkToFit="false"/>
      <protection locked="true" hidden="false"/>
    </xf>
    <xf numFmtId="178" fontId="25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8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74" fontId="2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7" fontId="0" fillId="0" borderId="0" xfId="19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0" fillId="3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6" fontId="0" fillId="4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27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1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6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1" fillId="0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1" fillId="0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25" xfId="2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25" fillId="0" borderId="25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8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26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5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7" xfId="366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27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28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18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17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21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22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1" fillId="0" borderId="9" xfId="366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2" fillId="0" borderId="4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9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7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8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2" fillId="0" borderId="10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4" fontId="2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0" borderId="13" xfId="366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8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0" borderId="8" xfId="366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3" fillId="0" borderId="0" xfId="366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1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2" xfId="13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25" fillId="0" borderId="10" xfId="131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21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1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0" fillId="0" borderId="2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0" fillId="0" borderId="25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4" fontId="27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4" fontId="27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0" fillId="4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4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5" fillId="0" borderId="29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7" fontId="25" fillId="0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6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4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4" fillId="0" borderId="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5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31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5" fillId="0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21" xfId="366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5" fillId="0" borderId="18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5" fillId="0" borderId="16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5" fillId="0" borderId="19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5" fillId="0" borderId="20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5" fillId="0" borderId="21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5" fillId="0" borderId="33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" fillId="0" borderId="8" xfId="366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35" fillId="0" borderId="7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5" fillId="0" borderId="8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5" fillId="0" borderId="10" xfId="36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6" fillId="0" borderId="8" xfId="366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2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2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7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true" applyAlignment="true" applyProtection="false">
      <alignment horizontal="left" vertical="top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39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0" fillId="0" borderId="3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41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9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39" fillId="0" borderId="6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39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39" fillId="0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2" fillId="0" borderId="2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2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2" fillId="0" borderId="2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2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2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2" fillId="0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center" textRotation="90" wrapText="false" indent="0" shrinkToFit="false"/>
      <protection locked="true" hidden="false"/>
    </xf>
    <xf numFmtId="177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74" fontId="0" fillId="2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27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2" fillId="0" borderId="1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76" fontId="23" fillId="0" borderId="17" xfId="23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6" fillId="0" borderId="20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21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22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3" fillId="0" borderId="9" xfId="23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6" fillId="0" borderId="7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8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10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40" fillId="0" borderId="17" xfId="23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3" fillId="0" borderId="7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4" fillId="0" borderId="8" xfId="23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9" fontId="25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4" fontId="0" fillId="2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8" xfId="23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23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4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4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6" fontId="25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8" fillId="0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1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1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1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25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1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6" fontId="40" fillId="0" borderId="10" xfId="34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42" fillId="0" borderId="7" xfId="34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42" fillId="0" borderId="10" xfId="34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23" fillId="0" borderId="10" xfId="34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79" fontId="0" fillId="0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8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8" xfId="34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34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344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2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24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5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0" fillId="0" borderId="19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0" borderId="18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0" borderId="16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8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6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9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40" fillId="0" borderId="10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0" borderId="7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0" borderId="8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9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8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0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5" fillId="0" borderId="7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5" fillId="0" borderId="8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5" fillId="0" borderId="9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8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10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7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0" borderId="9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0" fillId="0" borderId="10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7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8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9" xfId="36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6" fillId="0" borderId="26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7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48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5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0" fillId="0" borderId="2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0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1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2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2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8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1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0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4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28" fillId="0" borderId="26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7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3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7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27" fillId="0" borderId="1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16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1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2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2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8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7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9" fillId="0" borderId="7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8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9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1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9" fillId="0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8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9" xfId="7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73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3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36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3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6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2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8" xfId="7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7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24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2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1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0" borderId="9" xfId="365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0" fillId="0" borderId="18" xfId="3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6" xfId="3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9" xfId="3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7" xfId="3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8" xfId="3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9" xfId="3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0" xfId="3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1" fillId="0" borderId="8" xfId="36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4" fontId="27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3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1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6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2" fillId="0" borderId="9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2" fillId="0" borderId="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4" fontId="22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80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6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4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76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81" fontId="25" fillId="0" borderId="23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82" fontId="48" fillId="6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27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2" fontId="48" fillId="6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82" fontId="48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4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3" fillId="0" borderId="25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0" fillId="0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9" fillId="0" borderId="24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9" fillId="0" borderId="3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9" fillId="0" borderId="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1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2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0" fillId="0" borderId="25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8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0" fillId="0" borderId="2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9" fillId="0" borderId="17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4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76" fontId="25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25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27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5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0" fillId="4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14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16" fillId="0" borderId="21" xfId="28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20" xfId="28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28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2" xfId="28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8" xfId="28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6" xfId="28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5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8" xfId="28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7" xfId="28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28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28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4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6" fontId="27" fillId="4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9" fillId="0" borderId="4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2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0" fillId="0" borderId="0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9" fillId="0" borderId="2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4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41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4" fillId="0" borderId="0" xfId="0" applyFont="true" applyBorder="false" applyAlignment="true" applyProtection="false">
      <alignment horizontal="right" vertical="bottom" textRotation="90" wrapText="false" indent="0" shrinkToFit="false"/>
      <protection locked="true" hidden="false"/>
    </xf>
    <xf numFmtId="176" fontId="23" fillId="0" borderId="17" xfId="36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7" xfId="31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8" xfId="31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10" xfId="31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24" xfId="31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7" fontId="25" fillId="0" borderId="1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5" fillId="0" borderId="16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0" fillId="0" borderId="24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3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2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7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9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4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5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29" fillId="0" borderId="20" xfId="2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2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7" xfId="2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2" xfId="2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7" fontId="25" fillId="0" borderId="4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4" fontId="25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7" xfId="2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2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9" xfId="2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2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2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0" fillId="2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4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9" fillId="0" borderId="11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44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9" fillId="0" borderId="3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3" fillId="0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4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3" fillId="0" borderId="17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true" indent="0" shrinkToFit="false"/>
      <protection locked="true" hidden="false"/>
    </xf>
    <xf numFmtId="164" fontId="23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9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11" fillId="0" borderId="8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54" fillId="0" borderId="2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2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2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4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6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0" xfId="65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5" fillId="0" borderId="24" xfId="40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40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7" xfId="40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40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25" fillId="4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75" fontId="2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8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0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1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2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2" fillId="0" borderId="25" xfId="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9" fontId="0" fillId="0" borderId="25" xfId="6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5" fillId="0" borderId="2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7" fillId="0" borderId="8" xfId="33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332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6" borderId="8" xfId="33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general" vertical="top" textRotation="0" wrapText="true" indent="0" shrinkToFit="false"/>
      <protection locked="true" hidden="false"/>
    </xf>
    <xf numFmtId="164" fontId="25" fillId="0" borderId="0" xfId="0" applyFont="true" applyBorder="false" applyAlignment="true" applyProtection="false">
      <alignment horizontal="general" vertical="top" textRotation="0" wrapText="false" indent="0" shrinkToFit="false"/>
      <protection locked="true" hidden="false"/>
    </xf>
    <xf numFmtId="164" fontId="0" fillId="0" borderId="4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8" xfId="332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16" fillId="0" borderId="21" xfId="306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20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7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8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6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7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9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6" fillId="0" borderId="25" xfId="252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23" fillId="0" borderId="13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8" fillId="0" borderId="19" xfId="36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23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2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5" fillId="0" borderId="22" xfId="36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8" fillId="0" borderId="10" xfId="36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24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56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57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7" fillId="0" borderId="8" xfId="367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9" fillId="0" borderId="19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1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2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2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22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1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3" fillId="0" borderId="22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24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1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1" fontId="25" fillId="0" borderId="24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23" fillId="0" borderId="1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3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2" borderId="0" xfId="0" applyFont="true" applyBorder="false" applyAlignment="true" applyProtection="false">
      <alignment horizontal="general" vertical="top" textRotation="0" wrapText="true" indent="0" shrinkToFit="false"/>
      <protection locked="true" hidden="false"/>
    </xf>
    <xf numFmtId="164" fontId="0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2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6" fontId="23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10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4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1" fontId="25" fillId="0" borderId="21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1" fontId="25" fillId="0" borderId="8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80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9" fillId="0" borderId="31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38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3" fillId="0" borderId="17" xfId="37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5" fillId="0" borderId="20" xfId="37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3" xfId="37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33" xfId="37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1" xfId="37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5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9" xfId="37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5" fillId="0" borderId="7" xfId="37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37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13" xfId="37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3" fillId="0" borderId="10" xfId="379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5" fillId="0" borderId="24" xfId="37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38" xfId="37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7" fontId="0" fillId="0" borderId="41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81" fontId="25" fillId="0" borderId="0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27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4" fillId="0" borderId="14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5" fillId="0" borderId="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3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20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33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3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38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39" fillId="0" borderId="25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49" fillId="0" borderId="2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23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21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9" fillId="0" borderId="2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3" fillId="0" borderId="17" xfId="109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18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43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6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9" xfId="10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10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8" xfId="102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7" fillId="0" borderId="1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8" xfId="6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9" fillId="0" borderId="18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6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8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43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9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9" xfId="65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29" fillId="0" borderId="7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9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4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31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25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5" fillId="0" borderId="18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6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8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9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0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1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7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2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7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9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4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24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8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9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7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6" fillId="0" borderId="10" xfId="249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5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0" fillId="3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24" fillId="3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top" textRotation="0" wrapText="true" indent="0" shrinkToFit="false"/>
      <protection locked="true" hidden="false"/>
    </xf>
    <xf numFmtId="174" fontId="23" fillId="4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4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4" fillId="0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10" xfId="363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20" xfId="29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29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2" xfId="29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3" xfId="29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7" xfId="29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29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29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4" xfId="294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5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76" fontId="37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8" xfId="363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false">
      <alignment horizontal="left" vertical="top" textRotation="0" wrapText="true" indent="0" shrinkToFit="false"/>
      <protection locked="true" hidden="false"/>
    </xf>
    <xf numFmtId="164" fontId="24" fillId="0" borderId="0" xfId="0" applyFont="true" applyBorder="false" applyAlignment="true" applyProtection="false">
      <alignment horizontal="center" vertical="bottom" textRotation="0" wrapText="true" indent="0" shrinkToFit="false"/>
      <protection locked="true" hidden="false"/>
    </xf>
    <xf numFmtId="164" fontId="24" fillId="0" borderId="41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4" fillId="0" borderId="1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5" fillId="0" borderId="12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23" fillId="0" borderId="10" xfId="57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7" xfId="25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25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25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4" xfId="25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9" xfId="25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1" fontId="25" fillId="0" borderId="7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29" fillId="0" borderId="31" xfId="25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5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81" fontId="25" fillId="0" borderId="18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25" fillId="0" borderId="1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7" xfId="173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9" fillId="0" borderId="22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9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9" xfId="348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26" xfId="348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344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8" fillId="0" borderId="9" xfId="18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0" fillId="0" borderId="20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21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22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8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6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9" xfId="32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7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8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0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0" xfId="32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22" xfId="32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8" fillId="0" borderId="13" xfId="18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0" fillId="0" borderId="11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12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34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5" xfId="17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7" fontId="0" fillId="0" borderId="25" xfId="17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0" xfId="17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6" fontId="0" fillId="0" borderId="0" xfId="17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0" xfId="17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7" fontId="25" fillId="0" borderId="0" xfId="17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27" fillId="2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4" fontId="27" fillId="2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64" fontId="51" fillId="0" borderId="8" xfId="34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7" fillId="2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9" fillId="0" borderId="17" xfId="2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18" xfId="27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6" xfId="27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9" xfId="27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43" xfId="27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9" fillId="0" borderId="9" xfId="22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7" xfId="27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27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27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4" xfId="27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7" fillId="0" borderId="0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4" fontId="27" fillId="0" borderId="0" xfId="347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0" borderId="9" xfId="37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3" fillId="0" borderId="13" xfId="37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0" borderId="2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25" fillId="0" borderId="2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7" fontId="25" fillId="0" borderId="2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8" xfId="37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26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4" borderId="0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27" fillId="0" borderId="0" xfId="34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9" fillId="0" borderId="26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5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7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8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1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22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81" fontId="26" fillId="0" borderId="24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59" fillId="0" borderId="9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7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24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38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17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20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23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33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13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11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1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9" fillId="0" borderId="44" xfId="36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3" fillId="0" borderId="17" xfId="23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7" xfId="29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29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29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0" xfId="29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29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2" xfId="298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76" fontId="27" fillId="0" borderId="0" xfId="0" applyFont="true" applyBorder="true" applyAlignment="true" applyProtection="false">
      <alignment horizontal="general" vertical="top" textRotation="0" wrapText="false" indent="0" shrinkToFit="false"/>
      <protection locked="true" hidden="false"/>
    </xf>
    <xf numFmtId="164" fontId="41" fillId="0" borderId="6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1" fillId="0" borderId="2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42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26" xfId="36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18" xfId="36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16" xfId="36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0" borderId="19" xfId="36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8" fillId="0" borderId="10" xfId="36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7" xfId="24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24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24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0" borderId="9" xfId="36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9" xfId="24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42" fillId="0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8" xfId="24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6" xfId="24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9" xfId="24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9" fontId="27" fillId="0" borderId="0" xfId="0" applyFont="true" applyBorder="false" applyAlignment="true" applyProtection="false">
      <alignment horizontal="center" vertical="top" textRotation="0" wrapText="false" indent="0" shrinkToFit="false"/>
      <protection locked="true" hidden="false"/>
    </xf>
    <xf numFmtId="176" fontId="2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1" fillId="0" borderId="8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39" fillId="0" borderId="8" xfId="0" applyFont="true" applyBorder="true" applyAlignment="true" applyProtection="false">
      <alignment horizontal="center" vertical="bottom" textRotation="90" wrapText="false" indent="0" shrinkToFit="false"/>
      <protection locked="true" hidden="false"/>
    </xf>
    <xf numFmtId="164" fontId="0" fillId="0" borderId="3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33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17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49" xfId="252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9" xfId="33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3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7" fillId="0" borderId="10" xfId="0" applyFont="true" applyBorder="true" applyAlignment="true" applyProtection="false">
      <alignment horizontal="center" vertical="bottom" textRotation="90" wrapText="true" indent="0" shrinkToFit="false"/>
      <protection locked="true" hidden="false"/>
    </xf>
    <xf numFmtId="164" fontId="29" fillId="0" borderId="3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36" xfId="0" applyFont="fals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36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8" fillId="0" borderId="21" xfId="33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20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1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33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3" xfId="34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2" xfId="34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83" fontId="25" fillId="0" borderId="23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76" fontId="25" fillId="0" borderId="21" xfId="15" applyFont="true" applyBorder="true" applyAlignment="true" applyProtection="true">
      <alignment horizontal="center" vertical="top" textRotation="0" wrapText="false" indent="0" shrinkToFit="false"/>
      <protection locked="true" hidden="false"/>
    </xf>
    <xf numFmtId="164" fontId="8" fillId="0" borderId="8" xfId="335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7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38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4" xfId="34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34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2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44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34" xfId="34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7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3" xfId="33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5" xfId="11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0" fillId="0" borderId="25" xfId="11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8" xfId="335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4" fontId="27" fillId="0" borderId="8" xfId="347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23" fillId="0" borderId="17" xfId="19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20" xfId="11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1" xfId="11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7" xfId="11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22" xfId="11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7" xfId="11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11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9" xfId="11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11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3" fillId="0" borderId="25" xfId="115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9" fontId="25" fillId="0" borderId="25" xfId="11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7" fillId="0" borderId="8" xfId="116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7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74" fontId="0" fillId="7" borderId="0" xfId="0" applyFont="false" applyBorder="false" applyAlignment="true" applyProtection="false">
      <alignment horizontal="center" vertical="top" textRotation="0" wrapText="false" indent="0" shrinkToFit="false"/>
      <protection locked="true" hidden="false"/>
    </xf>
    <xf numFmtId="174" fontId="0" fillId="0" borderId="8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8" fillId="0" borderId="17" xfId="38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0" fillId="0" borderId="4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0" fillId="0" borderId="9" xfId="32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8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51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347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60" fillId="0" borderId="17" xfId="2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4" fillId="0" borderId="18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16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19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9" fontId="25" fillId="0" borderId="2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0" fillId="0" borderId="9" xfId="2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4" fillId="0" borderId="7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8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10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0" fillId="0" borderId="13" xfId="241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4" fillId="0" borderId="11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12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4" fillId="0" borderId="34" xfId="255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0" fillId="0" borderId="25" xfId="0" applyFont="false" applyBorder="true" applyAlignment="true" applyProtection="false">
      <alignment horizontal="right" vertical="center" textRotation="90" wrapText="false" indent="0" shrinkToFit="false"/>
      <protection locked="true" hidden="false"/>
    </xf>
    <xf numFmtId="177" fontId="0" fillId="0" borderId="25" xfId="0" applyFont="false" applyBorder="true" applyAlignment="true" applyProtection="false">
      <alignment horizontal="center" vertical="top" textRotation="0" wrapText="false" indent="0" shrinkToFit="false"/>
      <protection locked="true" hidden="false"/>
    </xf>
    <xf numFmtId="164" fontId="61" fillId="0" borderId="8" xfId="24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1" fillId="0" borderId="24" xfId="241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17" xfId="36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18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6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43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9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0" borderId="9" xfId="36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20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7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2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31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18" fillId="0" borderId="25" xfId="361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9" fillId="0" borderId="10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76" fontId="27" fillId="0" borderId="0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62" fillId="0" borderId="0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23" fillId="0" borderId="50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4" fillId="0" borderId="50" xfId="0" applyFont="true" applyBorder="true" applyAlignment="true" applyProtection="false">
      <alignment horizontal="center" vertical="center" textRotation="90" wrapText="true" indent="0" shrinkToFit="false"/>
      <protection locked="true" hidden="false"/>
    </xf>
    <xf numFmtId="164" fontId="25" fillId="0" borderId="5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0" borderId="17" xfId="27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52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8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6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9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7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10" xfId="361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4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9" fillId="0" borderId="31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43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49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3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0" xfId="31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1" xfId="31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2" xfId="31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7" xfId="31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8" xfId="31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10" xfId="31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9" fillId="0" borderId="23" xfId="306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25" fillId="0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3" fillId="0" borderId="0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25" fillId="0" borderId="2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2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2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5" fillId="0" borderId="2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7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7" fillId="0" borderId="8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55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Гиперссылка 2" xfId="20"/>
    <cellStyle name="Гиперссылка 2 2" xfId="21"/>
    <cellStyle name="Гиперссылка 2 3" xfId="22"/>
    <cellStyle name="Гиперссылка 3" xfId="23"/>
    <cellStyle name="Гиперссылка 3 2" xfId="24"/>
    <cellStyle name="Гиперссылка 3 3" xfId="25"/>
    <cellStyle name="Денежный 2" xfId="26"/>
    <cellStyle name="Денежный 2 2" xfId="27"/>
    <cellStyle name="Денежный 2 3" xfId="28"/>
    <cellStyle name="Обычный 10" xfId="29"/>
    <cellStyle name="Обычный 10 2" xfId="30"/>
    <cellStyle name="Обычный 10 3" xfId="31"/>
    <cellStyle name="Обычный 11" xfId="32"/>
    <cellStyle name="Обычный 11 2" xfId="33"/>
    <cellStyle name="Обычный 11 2 2" xfId="34"/>
    <cellStyle name="Обычный 11 2 2 2" xfId="35"/>
    <cellStyle name="Обычный 11 2 2 2 2" xfId="36"/>
    <cellStyle name="Обычный 11 2 2 2 2 2" xfId="37"/>
    <cellStyle name="Обычный 11 2 2 2 2 3" xfId="38"/>
    <cellStyle name="Обычный 11 2 2 2 3" xfId="39"/>
    <cellStyle name="Обычный 11 2 2 2 4" xfId="40"/>
    <cellStyle name="Обычный 11 2 2 3" xfId="41"/>
    <cellStyle name="Обычный 11 2 2 3 2" xfId="42"/>
    <cellStyle name="Обычный 11 2 2 3 2 2" xfId="43"/>
    <cellStyle name="Обычный 11 2 2 3 2 3" xfId="44"/>
    <cellStyle name="Обычный 11 2 2 3 3" xfId="45"/>
    <cellStyle name="Обычный 11 2 2 3 4" xfId="46"/>
    <cellStyle name="Обычный 11 2 2 4" xfId="47"/>
    <cellStyle name="Обычный 11 2 2 5" xfId="48"/>
    <cellStyle name="Обычный 11 2 3" xfId="49"/>
    <cellStyle name="Обычный 11 2 4" xfId="50"/>
    <cellStyle name="Обычный 11 3" xfId="51"/>
    <cellStyle name="Обычный 11 4" xfId="52"/>
    <cellStyle name="Обычный 12" xfId="53"/>
    <cellStyle name="Обычный 12 2" xfId="54"/>
    <cellStyle name="Обычный 12 2 2" xfId="55"/>
    <cellStyle name="Обычный 12 2 3" xfId="56"/>
    <cellStyle name="Обычный 12 3" xfId="57"/>
    <cellStyle name="Обычный 12 3 2" xfId="58"/>
    <cellStyle name="Обычный 12 3 3" xfId="59"/>
    <cellStyle name="Обычный 12 4" xfId="60"/>
    <cellStyle name="Обычный 12 5" xfId="61"/>
    <cellStyle name="Обычный 13" xfId="62"/>
    <cellStyle name="Обычный 13 2" xfId="63"/>
    <cellStyle name="Обычный 13 3" xfId="64"/>
    <cellStyle name="Обычный 14" xfId="65"/>
    <cellStyle name="Обычный 14 2" xfId="66"/>
    <cellStyle name="Обычный 14 3" xfId="67"/>
    <cellStyle name="Обычный 15" xfId="68"/>
    <cellStyle name="Обычный 15 2" xfId="69"/>
    <cellStyle name="Обычный 15 3" xfId="70"/>
    <cellStyle name="Обычный 16" xfId="71"/>
    <cellStyle name="Обычный 16 2" xfId="72"/>
    <cellStyle name="Обычный 16 2 2" xfId="73"/>
    <cellStyle name="Обычный 16 2 2 2" xfId="74"/>
    <cellStyle name="Обычный 16 2 2 3" xfId="75"/>
    <cellStyle name="Обычный 16 2 3" xfId="76"/>
    <cellStyle name="Обычный 16 2 4" xfId="77"/>
    <cellStyle name="Обычный 16 3" xfId="78"/>
    <cellStyle name="Обычный 16 4" xfId="79"/>
    <cellStyle name="Обычный 17" xfId="80"/>
    <cellStyle name="Обычный 17 2" xfId="81"/>
    <cellStyle name="Обычный 17 2 2" xfId="82"/>
    <cellStyle name="Обычный 17 2 2 2" xfId="83"/>
    <cellStyle name="Обычный 17 2 2 2 2" xfId="84"/>
    <cellStyle name="Обычный 17 2 2 2 3" xfId="85"/>
    <cellStyle name="Обычный 17 2 2 3" xfId="86"/>
    <cellStyle name="Обычный 17 2 2 4" xfId="87"/>
    <cellStyle name="Обычный 17 2 3" xfId="88"/>
    <cellStyle name="Обычный 17 2 4" xfId="89"/>
    <cellStyle name="Обычный 17 3" xfId="90"/>
    <cellStyle name="Обычный 17 4" xfId="91"/>
    <cellStyle name="Обычный 18" xfId="92"/>
    <cellStyle name="Обычный 18 2" xfId="93"/>
    <cellStyle name="Обычный 18 2 2" xfId="94"/>
    <cellStyle name="Обычный 18 2 3" xfId="95"/>
    <cellStyle name="Обычный 18 3" xfId="96"/>
    <cellStyle name="Обычный 18 4" xfId="97"/>
    <cellStyle name="Обычный 19" xfId="98"/>
    <cellStyle name="Обычный 19 2" xfId="99"/>
    <cellStyle name="Обычный 19 3" xfId="100"/>
    <cellStyle name="Обычный 2" xfId="101"/>
    <cellStyle name="Обычный 2 2" xfId="102"/>
    <cellStyle name="Обычный 2 2 2" xfId="103"/>
    <cellStyle name="Обычный 2 2 3" xfId="104"/>
    <cellStyle name="Обычный 2 3" xfId="105"/>
    <cellStyle name="Обычный 2 4" xfId="106"/>
    <cellStyle name="Обычный 20" xfId="107"/>
    <cellStyle name="Обычный 20 2" xfId="108"/>
    <cellStyle name="Обычный 20 2 2" xfId="109"/>
    <cellStyle name="Обычный 20 2 2 2" xfId="110"/>
    <cellStyle name="Обычный 20 2 2 3" xfId="111"/>
    <cellStyle name="Обычный 20 2 3" xfId="112"/>
    <cellStyle name="Обычный 20 2 4" xfId="113"/>
    <cellStyle name="Обычный 20 3" xfId="114"/>
    <cellStyle name="Обычный 20 3 2" xfId="115"/>
    <cellStyle name="Обычный 20 3 2 2" xfId="116"/>
    <cellStyle name="Обычный 20 3 2 2 2" xfId="117"/>
    <cellStyle name="Обычный 20 3 2 2 3" xfId="118"/>
    <cellStyle name="Обычный 20 3 2 3" xfId="119"/>
    <cellStyle name="Обычный 20 3 2 4" xfId="120"/>
    <cellStyle name="Обычный 20 3 3" xfId="121"/>
    <cellStyle name="Обычный 20 3 4" xfId="122"/>
    <cellStyle name="Обычный 20 4" xfId="123"/>
    <cellStyle name="Обычный 20 5" xfId="124"/>
    <cellStyle name="Обычный 21" xfId="125"/>
    <cellStyle name="Обычный 21 2" xfId="126"/>
    <cellStyle name="Обычный 21 3" xfId="127"/>
    <cellStyle name="Обычный 22" xfId="128"/>
    <cellStyle name="Обычный 22 2" xfId="129"/>
    <cellStyle name="Обычный 22 2 2" xfId="130"/>
    <cellStyle name="Обычный 22 2 2 2" xfId="131"/>
    <cellStyle name="Обычный 22 2 2 2 2" xfId="132"/>
    <cellStyle name="Обычный 22 2 2 3" xfId="133"/>
    <cellStyle name="Обычный 22 2 3" xfId="134"/>
    <cellStyle name="Обычный 22 3" xfId="135"/>
    <cellStyle name="Обычный 22 4" xfId="136"/>
    <cellStyle name="Обычный 23" xfId="137"/>
    <cellStyle name="Обычный 23 2" xfId="138"/>
    <cellStyle name="Обычный 23 3" xfId="139"/>
    <cellStyle name="Обычный 24" xfId="140"/>
    <cellStyle name="Обычный 24 2" xfId="141"/>
    <cellStyle name="Обычный 24 3" xfId="142"/>
    <cellStyle name="Обычный 25" xfId="143"/>
    <cellStyle name="Обычный 25 2" xfId="144"/>
    <cellStyle name="Обычный 25 3" xfId="145"/>
    <cellStyle name="Обычный 26" xfId="146"/>
    <cellStyle name="Обычный 26 2" xfId="147"/>
    <cellStyle name="Обычный 26 3" xfId="148"/>
    <cellStyle name="Обычный 27" xfId="149"/>
    <cellStyle name="Обычный 27 2" xfId="150"/>
    <cellStyle name="Обычный 27 2 2" xfId="151"/>
    <cellStyle name="Обычный 27 2 3" xfId="152"/>
    <cellStyle name="Обычный 27 3" xfId="153"/>
    <cellStyle name="Обычный 27 3 2" xfId="154"/>
    <cellStyle name="Обычный 27 3 3" xfId="155"/>
    <cellStyle name="Обычный 27 4" xfId="156"/>
    <cellStyle name="Обычный 27 4 2" xfId="157"/>
    <cellStyle name="Обычный 27 4 3" xfId="158"/>
    <cellStyle name="Обычный 27 5" xfId="159"/>
    <cellStyle name="Обычный 27 6" xfId="160"/>
    <cellStyle name="Обычный 28" xfId="161"/>
    <cellStyle name="Обычный 28 2" xfId="162"/>
    <cellStyle name="Обычный 28 2 2" xfId="163"/>
    <cellStyle name="Обычный 28 2 3" xfId="164"/>
    <cellStyle name="Обычный 28 3" xfId="165"/>
    <cellStyle name="Обычный 28 4" xfId="166"/>
    <cellStyle name="Обычный 29" xfId="167"/>
    <cellStyle name="Обычный 29 2" xfId="168"/>
    <cellStyle name="Обычный 29 3" xfId="169"/>
    <cellStyle name="Обычный 3" xfId="170"/>
    <cellStyle name="Обычный 3 2" xfId="171"/>
    <cellStyle name="Обычный 3 2 2" xfId="172"/>
    <cellStyle name="Обычный 3 2 2 2" xfId="173"/>
    <cellStyle name="Обычный 3 2 2 2 2" xfId="174"/>
    <cellStyle name="Обычный 3 2 2 2 3" xfId="175"/>
    <cellStyle name="Обычный 3 2 2 3" xfId="176"/>
    <cellStyle name="Обычный 3 2 2 4" xfId="177"/>
    <cellStyle name="Обычный 3 2 3" xfId="178"/>
    <cellStyle name="Обычный 3 2 4" xfId="179"/>
    <cellStyle name="Обычный 3 3" xfId="180"/>
    <cellStyle name="Обычный 3 4" xfId="181"/>
    <cellStyle name="Обычный 30" xfId="182"/>
    <cellStyle name="Обычный 30 2" xfId="183"/>
    <cellStyle name="Обычный 30 3" xfId="184"/>
    <cellStyle name="Обычный 31" xfId="185"/>
    <cellStyle name="Обычный 31 2" xfId="186"/>
    <cellStyle name="Обычный 31 2 2" xfId="187"/>
    <cellStyle name="Обычный 31 2 2 2" xfId="188"/>
    <cellStyle name="Обычный 31 2 3" xfId="189"/>
    <cellStyle name="Обычный 31 2 3 2" xfId="190"/>
    <cellStyle name="Обычный 31 2 3 2 2" xfId="191"/>
    <cellStyle name="Обычный 31 2 3 3" xfId="192"/>
    <cellStyle name="Обычный 31 2 4" xfId="193"/>
    <cellStyle name="Обычный 31 3" xfId="194"/>
    <cellStyle name="Обычный 31 3 2" xfId="195"/>
    <cellStyle name="Обычный 31 4" xfId="196"/>
    <cellStyle name="Обычный 31 4 2" xfId="197"/>
    <cellStyle name="Обычный 31 5" xfId="198"/>
    <cellStyle name="Обычный 31 6" xfId="199"/>
    <cellStyle name="Обычный 32" xfId="200"/>
    <cellStyle name="Обычный 32 2" xfId="201"/>
    <cellStyle name="Обычный 32 2 2" xfId="202"/>
    <cellStyle name="Обычный 32 2 3" xfId="203"/>
    <cellStyle name="Обычный 32 3" xfId="204"/>
    <cellStyle name="Обычный 32 4" xfId="205"/>
    <cellStyle name="Обычный 33" xfId="206"/>
    <cellStyle name="Обычный 33 2" xfId="207"/>
    <cellStyle name="Обычный 33 2 2" xfId="208"/>
    <cellStyle name="Обычный 33 2 3" xfId="209"/>
    <cellStyle name="Обычный 33 3" xfId="210"/>
    <cellStyle name="Обычный 33 4" xfId="211"/>
    <cellStyle name="Обычный 34" xfId="212"/>
    <cellStyle name="Обычный 34 2" xfId="213"/>
    <cellStyle name="Обычный 34 3" xfId="214"/>
    <cellStyle name="Обычный 35" xfId="215"/>
    <cellStyle name="Обычный 35 2" xfId="216"/>
    <cellStyle name="Обычный 35 3" xfId="217"/>
    <cellStyle name="Обычный 36" xfId="218"/>
    <cellStyle name="Обычный 36 2" xfId="219"/>
    <cellStyle name="Обычный 36 3" xfId="220"/>
    <cellStyle name="Обычный 37" xfId="221"/>
    <cellStyle name="Обычный 37 2" xfId="222"/>
    <cellStyle name="Обычный 37 3" xfId="223"/>
    <cellStyle name="Обычный 38" xfId="224"/>
    <cellStyle name="Обычный 38 2" xfId="225"/>
    <cellStyle name="Обычный 38 3" xfId="226"/>
    <cellStyle name="Обычный 39" xfId="227"/>
    <cellStyle name="Обычный 39 2" xfId="228"/>
    <cellStyle name="Обычный 39 3" xfId="229"/>
    <cellStyle name="Обычный 4" xfId="230"/>
    <cellStyle name="Обычный 4 2" xfId="231"/>
    <cellStyle name="Обычный 4 2 2" xfId="232"/>
    <cellStyle name="Обычный 4 2 3" xfId="233"/>
    <cellStyle name="Обычный 4 3" xfId="234"/>
    <cellStyle name="Обычный 4 3 2" xfId="235"/>
    <cellStyle name="Обычный 4 3 2 2" xfId="236"/>
    <cellStyle name="Обычный 4 3 2 3" xfId="237"/>
    <cellStyle name="Обычный 4 3 3" xfId="238"/>
    <cellStyle name="Обычный 4 3 4" xfId="239"/>
    <cellStyle name="Обычный 4 4" xfId="240"/>
    <cellStyle name="Обычный 4 4 2" xfId="241"/>
    <cellStyle name="Обычный 4 4 3" xfId="242"/>
    <cellStyle name="Обычный 4 4 4" xfId="243"/>
    <cellStyle name="Обычный 4 5" xfId="244"/>
    <cellStyle name="Обычный 4 6" xfId="245"/>
    <cellStyle name="Обычный 40" xfId="246"/>
    <cellStyle name="Обычный 40 2" xfId="247"/>
    <cellStyle name="Обычный 40 3" xfId="248"/>
    <cellStyle name="Обычный 41" xfId="249"/>
    <cellStyle name="Обычный 41 2" xfId="250"/>
    <cellStyle name="Обычный 41 3" xfId="251"/>
    <cellStyle name="Обычный 42" xfId="252"/>
    <cellStyle name="Обычный 42 10" xfId="253"/>
    <cellStyle name="Обычный 42 10 2" xfId="254"/>
    <cellStyle name="Обычный 42 10 3" xfId="255"/>
    <cellStyle name="Обычный 42 10 4" xfId="256"/>
    <cellStyle name="Обычный 42 10 5" xfId="257"/>
    <cellStyle name="Обычный 42 11" xfId="258"/>
    <cellStyle name="Обычный 42 11 2" xfId="259"/>
    <cellStyle name="Обычный 42 11 3" xfId="260"/>
    <cellStyle name="Обычный 42 11 4" xfId="261"/>
    <cellStyle name="Обычный 42 12" xfId="262"/>
    <cellStyle name="Обычный 42 12 2" xfId="263"/>
    <cellStyle name="Обычный 42 12 3" xfId="264"/>
    <cellStyle name="Обычный 42 12 4" xfId="265"/>
    <cellStyle name="Обычный 42 13" xfId="266"/>
    <cellStyle name="Обычный 42 13 2" xfId="267"/>
    <cellStyle name="Обычный 42 13 3" xfId="268"/>
    <cellStyle name="Обычный 42 13 4" xfId="269"/>
    <cellStyle name="Обычный 42 14" xfId="270"/>
    <cellStyle name="Обычный 42 14 2" xfId="271"/>
    <cellStyle name="Обычный 42 14 3" xfId="272"/>
    <cellStyle name="Обычный 42 14 4" xfId="273"/>
    <cellStyle name="Обычный 42 15" xfId="274"/>
    <cellStyle name="Обычный 42 15 2" xfId="275"/>
    <cellStyle name="Обычный 42 15 3" xfId="276"/>
    <cellStyle name="Обычный 42 15 4" xfId="277"/>
    <cellStyle name="Обычный 42 16" xfId="278"/>
    <cellStyle name="Обычный 42 16 2" xfId="279"/>
    <cellStyle name="Обычный 42 16 3" xfId="280"/>
    <cellStyle name="Обычный 42 16 4" xfId="281"/>
    <cellStyle name="Обычный 42 17" xfId="282"/>
    <cellStyle name="Обычный 42 18" xfId="283"/>
    <cellStyle name="Обычный 42 19" xfId="284"/>
    <cellStyle name="Обычный 42 2" xfId="285"/>
    <cellStyle name="Обычный 42 2 2" xfId="286"/>
    <cellStyle name="Обычный 42 2 3" xfId="287"/>
    <cellStyle name="Обычный 42 2 4" xfId="288"/>
    <cellStyle name="Обычный 42 20" xfId="289"/>
    <cellStyle name="Обычный 42 3" xfId="290"/>
    <cellStyle name="Обычный 42 3 2" xfId="291"/>
    <cellStyle name="Обычный 42 3 3" xfId="292"/>
    <cellStyle name="Обычный 42 3 4" xfId="293"/>
    <cellStyle name="Обычный 42 4" xfId="294"/>
    <cellStyle name="Обычный 42 4 2" xfId="295"/>
    <cellStyle name="Обычный 42 4 3" xfId="296"/>
    <cellStyle name="Обычный 42 4 4" xfId="297"/>
    <cellStyle name="Обычный 42 5" xfId="298"/>
    <cellStyle name="Обычный 42 5 2" xfId="299"/>
    <cellStyle name="Обычный 42 5 3" xfId="300"/>
    <cellStyle name="Обычный 42 5 4" xfId="301"/>
    <cellStyle name="Обычный 42 6" xfId="302"/>
    <cellStyle name="Обычный 42 6 2" xfId="303"/>
    <cellStyle name="Обычный 42 6 3" xfId="304"/>
    <cellStyle name="Обычный 42 6 4" xfId="305"/>
    <cellStyle name="Обычный 42 7" xfId="306"/>
    <cellStyle name="Обычный 42 7 2" xfId="307"/>
    <cellStyle name="Обычный 42 7 3" xfId="308"/>
    <cellStyle name="Обычный 42 7 4" xfId="309"/>
    <cellStyle name="Обычный 42 8" xfId="310"/>
    <cellStyle name="Обычный 42 8 2" xfId="311"/>
    <cellStyle name="Обычный 42 8 3" xfId="312"/>
    <cellStyle name="Обычный 42 8 4" xfId="313"/>
    <cellStyle name="Обычный 42 9" xfId="314"/>
    <cellStyle name="Обычный 42 9 2" xfId="315"/>
    <cellStyle name="Обычный 42 9 3" xfId="316"/>
    <cellStyle name="Обычный 42 9 4" xfId="317"/>
    <cellStyle name="Обычный 43" xfId="318"/>
    <cellStyle name="Обычный 43 2" xfId="319"/>
    <cellStyle name="Обычный 43 3" xfId="320"/>
    <cellStyle name="Обычный 44" xfId="321"/>
    <cellStyle name="Обычный 44 2" xfId="322"/>
    <cellStyle name="Обычный 44 2 2" xfId="323"/>
    <cellStyle name="Обычный 44 2 3" xfId="324"/>
    <cellStyle name="Обычный 44 2 4" xfId="325"/>
    <cellStyle name="Обычный 44 3" xfId="326"/>
    <cellStyle name="Обычный 44 4" xfId="327"/>
    <cellStyle name="Обычный 44 5" xfId="328"/>
    <cellStyle name="Обычный 45" xfId="329"/>
    <cellStyle name="Обычный 45 2" xfId="330"/>
    <cellStyle name="Обычный 45 3" xfId="331"/>
    <cellStyle name="Обычный 46" xfId="332"/>
    <cellStyle name="Обычный 46 2" xfId="333"/>
    <cellStyle name="Обычный 46 3" xfId="334"/>
    <cellStyle name="Обычный 47" xfId="335"/>
    <cellStyle name="Обычный 47 2" xfId="336"/>
    <cellStyle name="Обычный 47 3" xfId="337"/>
    <cellStyle name="Обычный 48" xfId="338"/>
    <cellStyle name="Обычный 48 2" xfId="339"/>
    <cellStyle name="Обычный 48 3" xfId="340"/>
    <cellStyle name="Обычный 49" xfId="341"/>
    <cellStyle name="Обычный 49 2" xfId="342"/>
    <cellStyle name="Обычный 49 3" xfId="343"/>
    <cellStyle name="Обычный 5" xfId="344"/>
    <cellStyle name="Обычный 5 2" xfId="345"/>
    <cellStyle name="Обычный 5 2 2" xfId="346"/>
    <cellStyle name="Обычный 5 3" xfId="347"/>
    <cellStyle name="Обычный 5 3 2" xfId="348"/>
    <cellStyle name="Обычный 5 3 2 2" xfId="349"/>
    <cellStyle name="Обычный 5 3 3" xfId="350"/>
    <cellStyle name="Обычный 5 3 3 2" xfId="351"/>
    <cellStyle name="Обычный 5 3 4" xfId="352"/>
    <cellStyle name="Обычный 5 3 4 2" xfId="353"/>
    <cellStyle name="Обычный 5 3 5" xfId="354"/>
    <cellStyle name="Обычный 5 3 5 2" xfId="355"/>
    <cellStyle name="Обычный 5 3 6" xfId="356"/>
    <cellStyle name="Обычный 5 3 6 2" xfId="357"/>
    <cellStyle name="Обычный 5 3 7" xfId="358"/>
    <cellStyle name="Обычный 5 4" xfId="359"/>
    <cellStyle name="Обычный 5 5" xfId="360"/>
    <cellStyle name="Обычный 50" xfId="361"/>
    <cellStyle name="Обычный 50 2" xfId="362"/>
    <cellStyle name="Обычный 51" xfId="363"/>
    <cellStyle name="Обычный 52" xfId="364"/>
    <cellStyle name="Обычный 53" xfId="365"/>
    <cellStyle name="Обычный 54" xfId="366"/>
    <cellStyle name="Обычный 55" xfId="367"/>
    <cellStyle name="Обычный 56" xfId="368"/>
    <cellStyle name="Обычный 57" xfId="369"/>
    <cellStyle name="Обычный 58" xfId="370"/>
    <cellStyle name="Обычный 59" xfId="371"/>
    <cellStyle name="Обычный 6" xfId="372"/>
    <cellStyle name="Обычный 6 2" xfId="373"/>
    <cellStyle name="Обычный 6 3" xfId="374"/>
    <cellStyle name="Обычный 7" xfId="375"/>
    <cellStyle name="Обычный 7 2" xfId="376"/>
    <cellStyle name="Обычный 7 3" xfId="377"/>
    <cellStyle name="Обычный 8" xfId="378"/>
    <cellStyle name="Обычный 8 2" xfId="379"/>
    <cellStyle name="Обычный 8 2 2" xfId="380"/>
    <cellStyle name="Обычный 8 2 3" xfId="381"/>
    <cellStyle name="Обычный 8 3" xfId="382"/>
    <cellStyle name="Обычный 8 4" xfId="383"/>
    <cellStyle name="Обычный 9" xfId="384"/>
    <cellStyle name="Обычный 9 2" xfId="385"/>
    <cellStyle name="Обычный 9 2 2" xfId="386"/>
    <cellStyle name="Обычный 9 2 3" xfId="387"/>
    <cellStyle name="Обычный 9 3" xfId="388"/>
    <cellStyle name="Обычный 9 3 2" xfId="389"/>
    <cellStyle name="Обычный 9 3 2 2" xfId="390"/>
    <cellStyle name="Обычный 9 3 2 2 2" xfId="391"/>
    <cellStyle name="Обычный 9 3 2 2 2 2" xfId="392"/>
    <cellStyle name="Обычный 9 3 2 2 2 3" xfId="393"/>
    <cellStyle name="Обычный 9 3 2 2 3" xfId="394"/>
    <cellStyle name="Обычный 9 3 2 2 4" xfId="395"/>
    <cellStyle name="Обычный 9 3 2 3" xfId="396"/>
    <cellStyle name="Обычный 9 3 2 4" xfId="397"/>
    <cellStyle name="Обычный 9 3 3" xfId="398"/>
    <cellStyle name="Обычный 9 3 4" xfId="399"/>
    <cellStyle name="Обычный 9 4" xfId="400"/>
    <cellStyle name="Обычный 9 4 2" xfId="401"/>
    <cellStyle name="Обычный 9 4 2 2" xfId="402"/>
    <cellStyle name="Обычный 9 4 2 2 2" xfId="403"/>
    <cellStyle name="Обычный 9 4 2 2 2 2" xfId="404"/>
    <cellStyle name="Обычный 9 4 2 2 2 2 2" xfId="405"/>
    <cellStyle name="Обычный 9 4 2 2 2 2 3" xfId="406"/>
    <cellStyle name="Обычный 9 4 2 2 2 3" xfId="407"/>
    <cellStyle name="Обычный 9 4 2 2 2 4" xfId="408"/>
    <cellStyle name="Обычный 9 4 2 2 3" xfId="409"/>
    <cellStyle name="Обычный 9 4 2 2 3 2" xfId="410"/>
    <cellStyle name="Обычный 9 4 2 2 3 3" xfId="411"/>
    <cellStyle name="Обычный 9 4 2 2 4" xfId="412"/>
    <cellStyle name="Обычный 9 4 2 2 5" xfId="413"/>
    <cellStyle name="Обычный 9 4 2 3" xfId="414"/>
    <cellStyle name="Обычный 9 4 2 4" xfId="415"/>
    <cellStyle name="Обычный 9 4 3" xfId="416"/>
    <cellStyle name="Обычный 9 4 4" xfId="417"/>
    <cellStyle name="Обычный 9 5" xfId="418"/>
    <cellStyle name="Обычный 9 6" xfId="419"/>
    <cellStyle name="Процентный 10" xfId="420"/>
    <cellStyle name="Процентный 10 2" xfId="421"/>
    <cellStyle name="Процентный 10 3" xfId="422"/>
    <cellStyle name="Процентный 11" xfId="423"/>
    <cellStyle name="Процентный 11 2" xfId="424"/>
    <cellStyle name="Процентный 11 3" xfId="425"/>
    <cellStyle name="Процентный 12" xfId="426"/>
    <cellStyle name="Процентный 12 2" xfId="427"/>
    <cellStyle name="Процентный 12 3" xfId="428"/>
    <cellStyle name="Процентный 13" xfId="429"/>
    <cellStyle name="Процентный 13 2" xfId="430"/>
    <cellStyle name="Процентный 13 3" xfId="431"/>
    <cellStyle name="Процентный 14" xfId="432"/>
    <cellStyle name="Процентный 14 2" xfId="433"/>
    <cellStyle name="Процентный 14 3" xfId="434"/>
    <cellStyle name="Процентный 15" xfId="435"/>
    <cellStyle name="Процентный 15 2" xfId="436"/>
    <cellStyle name="Процентный 15 3" xfId="437"/>
    <cellStyle name="Процентный 16" xfId="438"/>
    <cellStyle name="Процентный 16 2" xfId="439"/>
    <cellStyle name="Процентный 16 3" xfId="440"/>
    <cellStyle name="Процентный 17" xfId="441"/>
    <cellStyle name="Процентный 17 2" xfId="442"/>
    <cellStyle name="Процентный 17 3" xfId="443"/>
    <cellStyle name="Процентный 18" xfId="444"/>
    <cellStyle name="Процентный 18 2" xfId="445"/>
    <cellStyle name="Процентный 18 3" xfId="446"/>
    <cellStyle name="Процентный 19" xfId="447"/>
    <cellStyle name="Процентный 19 2" xfId="448"/>
    <cellStyle name="Процентный 19 3" xfId="449"/>
    <cellStyle name="Процентный 2" xfId="450"/>
    <cellStyle name="Процентный 2 2" xfId="451"/>
    <cellStyle name="Процентный 2 3" xfId="452"/>
    <cellStyle name="Процентный 20" xfId="453"/>
    <cellStyle name="Процентный 20 2" xfId="454"/>
    <cellStyle name="Процентный 20 3" xfId="455"/>
    <cellStyle name="Процентный 21" xfId="456"/>
    <cellStyle name="Процентный 21 2" xfId="457"/>
    <cellStyle name="Процентный 21 3" xfId="458"/>
    <cellStyle name="Процентный 22" xfId="459"/>
    <cellStyle name="Процентный 22 2" xfId="460"/>
    <cellStyle name="Процентный 22 3" xfId="461"/>
    <cellStyle name="Процентный 23" xfId="462"/>
    <cellStyle name="Процентный 23 2" xfId="463"/>
    <cellStyle name="Процентный 23 3" xfId="464"/>
    <cellStyle name="Процентный 24" xfId="465"/>
    <cellStyle name="Процентный 24 2" xfId="466"/>
    <cellStyle name="Процентный 24 3" xfId="467"/>
    <cellStyle name="Процентный 25" xfId="468"/>
    <cellStyle name="Процентный 25 2" xfId="469"/>
    <cellStyle name="Процентный 25 3" xfId="470"/>
    <cellStyle name="Процентный 26" xfId="471"/>
    <cellStyle name="Процентный 26 2" xfId="472"/>
    <cellStyle name="Процентный 26 3" xfId="473"/>
    <cellStyle name="Процентный 27" xfId="474"/>
    <cellStyle name="Процентный 27 2" xfId="475"/>
    <cellStyle name="Процентный 27 3" xfId="476"/>
    <cellStyle name="Процентный 28" xfId="477"/>
    <cellStyle name="Процентный 28 2" xfId="478"/>
    <cellStyle name="Процентный 29" xfId="479"/>
    <cellStyle name="Процентный 3" xfId="480"/>
    <cellStyle name="Процентный 3 2" xfId="481"/>
    <cellStyle name="Процентный 3 3" xfId="482"/>
    <cellStyle name="Процентный 30" xfId="483"/>
    <cellStyle name="Процентный 31" xfId="484"/>
    <cellStyle name="Процентный 4" xfId="485"/>
    <cellStyle name="Процентный 4 2" xfId="486"/>
    <cellStyle name="Процентный 4 3" xfId="487"/>
    <cellStyle name="Процентный 5" xfId="488"/>
    <cellStyle name="Процентный 5 2" xfId="489"/>
    <cellStyle name="Процентный 5 3" xfId="490"/>
    <cellStyle name="Процентный 6" xfId="491"/>
    <cellStyle name="Процентный 6 2" xfId="492"/>
    <cellStyle name="Процентный 6 3" xfId="493"/>
    <cellStyle name="Процентный 7" xfId="494"/>
    <cellStyle name="Процентный 7 2" xfId="495"/>
    <cellStyle name="Процентный 7 3" xfId="496"/>
    <cellStyle name="Процентный 8" xfId="497"/>
    <cellStyle name="Процентный 8 2" xfId="498"/>
    <cellStyle name="Процентный 8 3" xfId="499"/>
    <cellStyle name="Процентный 9" xfId="500"/>
    <cellStyle name="Процентный 9 2" xfId="501"/>
    <cellStyle name="Процентный 9 3" xfId="502"/>
    <cellStyle name="Финансовый 10" xfId="503"/>
    <cellStyle name="Финансовый 10 2" xfId="504"/>
    <cellStyle name="Финансовый 10 3" xfId="505"/>
    <cellStyle name="Финансовый 11" xfId="506"/>
    <cellStyle name="Финансовый 11 2" xfId="507"/>
    <cellStyle name="Финансовый 11 3" xfId="508"/>
    <cellStyle name="Финансовый 12" xfId="509"/>
    <cellStyle name="Финансовый 12 2" xfId="510"/>
    <cellStyle name="Финансовый 12 3" xfId="511"/>
    <cellStyle name="Финансовый 13" xfId="512"/>
    <cellStyle name="Финансовый 13 2" xfId="513"/>
    <cellStyle name="Финансовый 13 3" xfId="514"/>
    <cellStyle name="Финансовый 14" xfId="515"/>
    <cellStyle name="Финансовый 14 2" xfId="516"/>
    <cellStyle name="Финансовый 15" xfId="517"/>
    <cellStyle name="Финансовый 16" xfId="518"/>
    <cellStyle name="Финансовый 17" xfId="519"/>
    <cellStyle name="Финансовый 18" xfId="520"/>
    <cellStyle name="Финансовый 19" xfId="521"/>
    <cellStyle name="Финансовый 2" xfId="522"/>
    <cellStyle name="Финансовый 2 2" xfId="523"/>
    <cellStyle name="Финансовый 2 2 2" xfId="524"/>
    <cellStyle name="Финансовый 2 2 3" xfId="525"/>
    <cellStyle name="Финансовый 2 3" xfId="526"/>
    <cellStyle name="Финансовый 2 3 2" xfId="527"/>
    <cellStyle name="Финансовый 2 3 2 2" xfId="528"/>
    <cellStyle name="Финансовый 2 3 2 3" xfId="529"/>
    <cellStyle name="Финансовый 2 3 3" xfId="530"/>
    <cellStyle name="Финансовый 2 3 4" xfId="531"/>
    <cellStyle name="Финансовый 2 4" xfId="532"/>
    <cellStyle name="Финансовый 2 4 2" xfId="533"/>
    <cellStyle name="Финансовый 2 4 3" xfId="534"/>
    <cellStyle name="Финансовый 2 5" xfId="535"/>
    <cellStyle name="Финансовый 2 6" xfId="536"/>
    <cellStyle name="Финансовый 20" xfId="537"/>
    <cellStyle name="Финансовый 3" xfId="538"/>
    <cellStyle name="Финансовый 3 2" xfId="539"/>
    <cellStyle name="Финансовый 3 2 2" xfId="540"/>
    <cellStyle name="Финансовый 3 2 2 2" xfId="541"/>
    <cellStyle name="Финансовый 3 2 2 3" xfId="542"/>
    <cellStyle name="Финансовый 3 2 3" xfId="543"/>
    <cellStyle name="Финансовый 3 2 4" xfId="544"/>
    <cellStyle name="Финансовый 3 3" xfId="545"/>
    <cellStyle name="Финансовый 3 3 2" xfId="546"/>
    <cellStyle name="Финансовый 3 3 3" xfId="547"/>
    <cellStyle name="Финансовый 3 4" xfId="548"/>
    <cellStyle name="Финансовый 3 5" xfId="549"/>
    <cellStyle name="Финансовый 4" xfId="550"/>
    <cellStyle name="Финансовый 4 2" xfId="551"/>
    <cellStyle name="Финансовый 4 3" xfId="552"/>
    <cellStyle name="Финансовый 5" xfId="553"/>
    <cellStyle name="Финансовый 5 2" xfId="554"/>
    <cellStyle name="Финансовый 5 3" xfId="555"/>
    <cellStyle name="Финансовый 6" xfId="556"/>
    <cellStyle name="Финансовый 6 2" xfId="557"/>
    <cellStyle name="Финансовый 6 3" xfId="558"/>
    <cellStyle name="Финансовый 7" xfId="559"/>
    <cellStyle name="Финансовый 7 2" xfId="560"/>
    <cellStyle name="Финансовый 7 3" xfId="561"/>
    <cellStyle name="Финансовый 8" xfId="562"/>
    <cellStyle name="Финансовый 8 2" xfId="563"/>
    <cellStyle name="Финансовый 8 3" xfId="564"/>
    <cellStyle name="Финансовый 9" xfId="565"/>
    <cellStyle name="Финансовый 9 2" xfId="566"/>
    <cellStyle name="Финансовый 9 3" xfId="567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2DCDB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CE6F2"/>
      <rgbColor rgb="FFDAE3F3"/>
      <rgbColor rgb="FFFFFF99"/>
      <rgbColor rgb="FF99CCFF"/>
      <rgbColor rgb="FFFF99CC"/>
      <rgbColor rgb="FFCC99FF"/>
      <rgbColor rgb="FFF4B183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worksheet" Target="worksheets/sheet15.xml"/><Relationship Id="rId19" Type="http://schemas.openxmlformats.org/officeDocument/2006/relationships/worksheet" Target="worksheets/sheet16.xml"/><Relationship Id="rId20" Type="http://schemas.openxmlformats.org/officeDocument/2006/relationships/worksheet" Target="worksheets/sheet17.xml"/><Relationship Id="rId21" Type="http://schemas.openxmlformats.org/officeDocument/2006/relationships/worksheet" Target="worksheets/sheet18.xml"/><Relationship Id="rId22" Type="http://schemas.openxmlformats.org/officeDocument/2006/relationships/worksheet" Target="worksheets/sheet19.xml"/><Relationship Id="rId23" Type="http://schemas.openxmlformats.org/officeDocument/2006/relationships/worksheet" Target="worksheets/sheet20.xml"/><Relationship Id="rId24" Type="http://schemas.openxmlformats.org/officeDocument/2006/relationships/worksheet" Target="worksheets/sheet21.xml"/><Relationship Id="rId25" Type="http://schemas.openxmlformats.org/officeDocument/2006/relationships/worksheet" Target="worksheets/sheet22.xml"/><Relationship Id="rId26" Type="http://schemas.openxmlformats.org/officeDocument/2006/relationships/worksheet" Target="worksheets/sheet23.xml"/><Relationship Id="rId27" Type="http://schemas.openxmlformats.org/officeDocument/2006/relationships/worksheet" Target="worksheets/sheet24.xml"/><Relationship Id="rId28" Type="http://schemas.openxmlformats.org/officeDocument/2006/relationships/worksheet" Target="worksheets/sheet25.xml"/><Relationship Id="rId29" Type="http://schemas.openxmlformats.org/officeDocument/2006/relationships/worksheet" Target="worksheets/sheet26.xml"/><Relationship Id="rId30" Type="http://schemas.openxmlformats.org/officeDocument/2006/relationships/worksheet" Target="worksheets/sheet27.xml"/><Relationship Id="rId31" Type="http://schemas.openxmlformats.org/officeDocument/2006/relationships/worksheet" Target="worksheets/sheet28.xml"/><Relationship Id="rId32" Type="http://schemas.openxmlformats.org/officeDocument/2006/relationships/worksheet" Target="worksheets/sheet29.xml"/><Relationship Id="rId33" Type="http://schemas.openxmlformats.org/officeDocument/2006/relationships/worksheet" Target="worksheets/sheet30.xml"/><Relationship Id="rId34" Type="http://schemas.openxmlformats.org/officeDocument/2006/relationships/worksheet" Target="worksheets/sheet31.xml"/><Relationship Id="rId35" Type="http://schemas.openxmlformats.org/officeDocument/2006/relationships/worksheet" Target="worksheets/sheet32.xml"/><Relationship Id="rId36" Type="http://schemas.openxmlformats.org/officeDocument/2006/relationships/worksheet" Target="worksheets/sheet33.xml"/><Relationship Id="rId37" Type="http://schemas.openxmlformats.org/officeDocument/2006/relationships/worksheet" Target="worksheets/sheet34.xml"/><Relationship Id="rId38" Type="http://schemas.openxmlformats.org/officeDocument/2006/relationships/worksheet" Target="worksheets/sheet35.xml"/><Relationship Id="rId39" Type="http://schemas.openxmlformats.org/officeDocument/2006/relationships/worksheet" Target="worksheets/sheet36.xml"/><Relationship Id="rId40" Type="http://schemas.openxmlformats.org/officeDocument/2006/relationships/worksheet" Target="worksheets/sheet37.xml"/><Relationship Id="rId41" Type="http://schemas.openxmlformats.org/officeDocument/2006/relationships/worksheet" Target="worksheets/sheet38.xml"/><Relationship Id="rId42" Type="http://schemas.openxmlformats.org/officeDocument/2006/relationships/worksheet" Target="worksheets/sheet39.xml"/><Relationship Id="rId43" Type="http://schemas.openxmlformats.org/officeDocument/2006/relationships/worksheet" Target="worksheets/sheet40.xml"/><Relationship Id="rId44" Type="http://schemas.openxmlformats.org/officeDocument/2006/relationships/worksheet" Target="worksheets/sheet41.xml"/><Relationship Id="rId45" Type="http://schemas.openxmlformats.org/officeDocument/2006/relationships/worksheet" Target="worksheets/sheet42.xml"/><Relationship Id="rId46" Type="http://schemas.openxmlformats.org/officeDocument/2006/relationships/worksheet" Target="worksheets/sheet43.xml"/><Relationship Id="rId47" Type="http://schemas.openxmlformats.org/officeDocument/2006/relationships/worksheet" Target="worksheets/sheet44.xml"/><Relationship Id="rId48" Type="http://schemas.openxmlformats.org/officeDocument/2006/relationships/worksheet" Target="worksheets/sheet45.xml"/><Relationship Id="rId49" Type="http://schemas.openxmlformats.org/officeDocument/2006/relationships/worksheet" Target="worksheets/sheet46.xml"/><Relationship Id="rId50" Type="http://schemas.openxmlformats.org/officeDocument/2006/relationships/worksheet" Target="worksheets/sheet47.xml"/><Relationship Id="rId51" Type="http://schemas.openxmlformats.org/officeDocument/2006/relationships/worksheet" Target="worksheets/sheet48.xml"/><Relationship Id="rId52" Type="http://schemas.openxmlformats.org/officeDocument/2006/relationships/worksheet" Target="worksheets/sheet49.xml"/><Relationship Id="rId53" Type="http://schemas.openxmlformats.org/officeDocument/2006/relationships/worksheet" Target="worksheets/sheet50.xml"/><Relationship Id="rId54" Type="http://schemas.openxmlformats.org/officeDocument/2006/relationships/worksheet" Target="worksheets/sheet51.xml"/><Relationship Id="rId55" Type="http://schemas.openxmlformats.org/officeDocument/2006/relationships/worksheet" Target="worksheets/sheet52.xml"/><Relationship Id="rId56" Type="http://schemas.openxmlformats.org/officeDocument/2006/relationships/worksheet" Target="worksheets/sheet53.xml"/><Relationship Id="rId57" Type="http://schemas.openxmlformats.org/officeDocument/2006/relationships/worksheet" Target="worksheets/sheet54.xml"/><Relationship Id="rId58" Type="http://schemas.openxmlformats.org/officeDocument/2006/relationships/worksheet" Target="worksheets/sheet55.xml"/><Relationship Id="rId59" Type="http://schemas.openxmlformats.org/officeDocument/2006/relationships/worksheet" Target="worksheets/sheet56.xml"/><Relationship Id="rId60" Type="http://schemas.openxmlformats.org/officeDocument/2006/relationships/worksheet" Target="worksheets/sheet57.xml"/><Relationship Id="rId61" Type="http://schemas.openxmlformats.org/officeDocument/2006/relationships/worksheet" Target="worksheets/sheet58.xml"/><Relationship Id="rId62" Type="http://schemas.openxmlformats.org/officeDocument/2006/relationships/worksheet" Target="worksheets/sheet59.xml"/><Relationship Id="rId63" Type="http://schemas.openxmlformats.org/officeDocument/2006/relationships/worksheet" Target="worksheets/sheet60.xml"/><Relationship Id="rId64" Type="http://schemas.openxmlformats.org/officeDocument/2006/relationships/worksheet" Target="worksheets/sheet61.xml"/><Relationship Id="rId65" Type="http://schemas.openxmlformats.org/officeDocument/2006/relationships/worksheet" Target="worksheets/sheet62.xml"/><Relationship Id="rId66" Type="http://schemas.openxmlformats.org/officeDocument/2006/relationships/worksheet" Target="worksheets/sheet63.xml"/><Relationship Id="rId67" Type="http://schemas.openxmlformats.org/officeDocument/2006/relationships/worksheet" Target="worksheets/sheet64.xml"/><Relationship Id="rId68" Type="http://schemas.openxmlformats.org/officeDocument/2006/relationships/worksheet" Target="worksheets/sheet65.xml"/><Relationship Id="rId69" Type="http://schemas.openxmlformats.org/officeDocument/2006/relationships/worksheet" Target="worksheets/sheet66.xml"/><Relationship Id="rId70" Type="http://schemas.openxmlformats.org/officeDocument/2006/relationships/worksheet" Target="worksheets/sheet67.xml"/><Relationship Id="rId71" Type="http://schemas.openxmlformats.org/officeDocument/2006/relationships/worksheet" Target="worksheets/sheet68.xml"/><Relationship Id="rId72" Type="http://schemas.openxmlformats.org/officeDocument/2006/relationships/worksheet" Target="worksheets/sheet69.xml"/><Relationship Id="rId73" Type="http://schemas.openxmlformats.org/officeDocument/2006/relationships/worksheet" Target="worksheets/sheet70.xml"/><Relationship Id="rId74" Type="http://schemas.openxmlformats.org/officeDocument/2006/relationships/worksheet" Target="worksheets/sheet71.xml"/><Relationship Id="rId75" Type="http://schemas.openxmlformats.org/officeDocument/2006/relationships/worksheet" Target="worksheets/sheet72.xml"/><Relationship Id="rId76" Type="http://schemas.openxmlformats.org/officeDocument/2006/relationships/worksheet" Target="worksheets/sheet73.xml"/><Relationship Id="rId77" Type="http://schemas.openxmlformats.org/officeDocument/2006/relationships/worksheet" Target="worksheets/sheet74.xml"/><Relationship Id="rId78" Type="http://schemas.openxmlformats.org/officeDocument/2006/relationships/worksheet" Target="worksheets/sheet75.xml"/><Relationship Id="rId79" Type="http://schemas.openxmlformats.org/officeDocument/2006/relationships/worksheet" Target="worksheets/sheet76.xml"/><Relationship Id="rId80" Type="http://schemas.openxmlformats.org/officeDocument/2006/relationships/worksheet" Target="worksheets/sheet77.xml"/><Relationship Id="rId81" Type="http://schemas.openxmlformats.org/officeDocument/2006/relationships/worksheet" Target="worksheets/sheet78.xml"/><Relationship Id="rId82" Type="http://schemas.openxmlformats.org/officeDocument/2006/relationships/worksheet" Target="worksheets/sheet79.xml"/><Relationship Id="rId83" Type="http://schemas.openxmlformats.org/officeDocument/2006/relationships/worksheet" Target="worksheets/sheet80.xml"/><Relationship Id="rId8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Тема Office">
  <a:themeElements>
    <a:clrScheme name="Стандартная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S55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C13" activeCellId="0" sqref="C13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11"/>
    <col collapsed="false" customWidth="true" hidden="false" outlineLevel="0" max="3" min="3" style="0" width="18.86"/>
    <col collapsed="false" customWidth="true" hidden="false" outlineLevel="0" max="5" min="5" style="0" width="10"/>
    <col collapsed="false" customWidth="true" hidden="false" outlineLevel="0" max="14" min="14" style="0" width="9.42"/>
    <col collapsed="false" customWidth="true" hidden="false" outlineLevel="0" max="15" min="15" style="0" width="11"/>
    <col collapsed="false" customWidth="true" hidden="false" outlineLevel="0" max="17" min="17" style="0" width="9.86"/>
    <col collapsed="false" customWidth="true" hidden="false" outlineLevel="0" max="18" min="18" style="0" width="5.57"/>
    <col collapsed="false" customWidth="true" hidden="false" outlineLevel="0" max="19" min="19" style="0" width="6.14"/>
    <col collapsed="false" customWidth="true" hidden="false" outlineLevel="0" max="20" min="20" style="0" width="4.86"/>
    <col collapsed="false" customWidth="true" hidden="false" outlineLevel="0" max="21" min="21" style="0" width="3.86"/>
    <col collapsed="false" customWidth="true" hidden="false" outlineLevel="0" max="22" min="22" style="0" width="5.29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6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ИУК1-11Б факультета ИУК МГТУ им. Н.Э. Баумана"</f>
        <v>Успеваемость студентов за 1 семестр 24/25 учебного года по группе ИУК1-11Б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04.25" hidden="false" customHeight="true" outlineLevel="0" collapsed="false">
      <c r="A6" s="8"/>
      <c r="B6" s="8"/>
      <c r="C6" s="8"/>
      <c r="D6" s="9"/>
      <c r="E6" s="15" t="s">
        <v>13</v>
      </c>
      <c r="F6" s="16" t="s">
        <v>14</v>
      </c>
      <c r="G6" s="16" t="s">
        <v>15</v>
      </c>
      <c r="H6" s="17" t="s">
        <v>16</v>
      </c>
      <c r="I6" s="15" t="s">
        <v>17</v>
      </c>
      <c r="J6" s="16" t="s">
        <v>18</v>
      </c>
      <c r="K6" s="16" t="s">
        <v>19</v>
      </c>
      <c r="L6" s="16" t="s">
        <v>20</v>
      </c>
      <c r="M6" s="18" t="s">
        <v>21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19" t="s">
        <v>22</v>
      </c>
      <c r="F7" s="20" t="s">
        <v>23</v>
      </c>
      <c r="G7" s="20" t="s">
        <v>24</v>
      </c>
      <c r="H7" s="21" t="s">
        <v>25</v>
      </c>
      <c r="I7" s="22" t="s">
        <v>26</v>
      </c>
      <c r="J7" s="23" t="s">
        <v>27</v>
      </c>
      <c r="K7" s="23" t="s">
        <v>28</v>
      </c>
      <c r="L7" s="23" t="s">
        <v>29</v>
      </c>
      <c r="M7" s="24" t="s">
        <v>30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31</v>
      </c>
      <c r="C8" s="25" t="s">
        <v>32</v>
      </c>
      <c r="D8" s="26"/>
      <c r="E8" s="27"/>
      <c r="F8" s="28"/>
      <c r="G8" s="28"/>
      <c r="H8" s="29"/>
      <c r="I8" s="30"/>
      <c r="J8" s="31"/>
      <c r="K8" s="31"/>
      <c r="L8" s="31"/>
      <c r="M8" s="32"/>
      <c r="N8" s="33" t="str">
        <f aca="false">IFERROR(AVERAGE(E8:M8),"")</f>
        <v/>
      </c>
      <c r="O8" s="34" t="str">
        <f aca="false">IF(E8&lt;&gt;"",IF(COUNTIF(E8:M8,"&lt;3"),"Не успевает","Успевает"),"")</f>
        <v/>
      </c>
      <c r="P8" s="35" t="str">
        <f aca="false">IF(D8&lt;&gt;"",(30*(set!B$5)-D8)/(30*(set!B$5))*100,"")</f>
        <v/>
      </c>
      <c r="Q8" s="34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33</v>
      </c>
      <c r="C9" s="37" t="s">
        <v>34</v>
      </c>
      <c r="D9" s="26"/>
      <c r="E9" s="38"/>
      <c r="F9" s="39"/>
      <c r="G9" s="39"/>
      <c r="H9" s="40"/>
      <c r="I9" s="38"/>
      <c r="J9" s="39"/>
      <c r="K9" s="39"/>
      <c r="L9" s="39"/>
      <c r="M9" s="40"/>
      <c r="N9" s="33" t="str">
        <f aca="false">IFERROR(AVERAGE(E9:M9),"")</f>
        <v/>
      </c>
      <c r="O9" s="34" t="str">
        <f aca="false">IF(E9&lt;&gt;"",IF(COUNTIF(E9:M9,"&lt;3"),"Не успевает","Успевает"),"")</f>
        <v/>
      </c>
      <c r="P9" s="35" t="str">
        <f aca="false">IF(D9&lt;&gt;"",(30*(set!B$5)-D9)/(30*(set!B$5))*100,"")</f>
        <v/>
      </c>
      <c r="Q9" s="34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35</v>
      </c>
      <c r="C10" s="37" t="s">
        <v>36</v>
      </c>
      <c r="D10" s="26"/>
      <c r="E10" s="38"/>
      <c r="F10" s="39"/>
      <c r="G10" s="39"/>
      <c r="H10" s="40"/>
      <c r="I10" s="38"/>
      <c r="J10" s="39"/>
      <c r="K10" s="39"/>
      <c r="L10" s="39"/>
      <c r="M10" s="40"/>
      <c r="N10" s="33" t="str">
        <f aca="false">IFERROR(AVERAGE(E10:M10),"")</f>
        <v/>
      </c>
      <c r="O10" s="34" t="str">
        <f aca="false">IF(E10&lt;&gt;"",IF(COUNTIF(E10:M10,"&lt;3"),"Не успевает","Успевает"),"")</f>
        <v/>
      </c>
      <c r="P10" s="35" t="str">
        <f aca="false">IF(D10&lt;&gt;"",(30*(set!B$5)-D10)/(30*(set!B$5))*100,"")</f>
        <v/>
      </c>
      <c r="Q10" s="34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37</v>
      </c>
      <c r="C11" s="37" t="s">
        <v>38</v>
      </c>
      <c r="D11" s="26"/>
      <c r="E11" s="38"/>
      <c r="F11" s="39"/>
      <c r="G11" s="39"/>
      <c r="H11" s="40"/>
      <c r="I11" s="38"/>
      <c r="J11" s="39"/>
      <c r="K11" s="39"/>
      <c r="L11" s="39"/>
      <c r="M11" s="40"/>
      <c r="N11" s="33" t="str">
        <f aca="false">IFERROR(AVERAGE(E11:M11),"")</f>
        <v/>
      </c>
      <c r="O11" s="34" t="str">
        <f aca="false">IF(E11&lt;&gt;"",IF(COUNTIF(E11:M11,"&lt;3"),"Не успевает","Успевает"),"")</f>
        <v/>
      </c>
      <c r="P11" s="35" t="str">
        <f aca="false">IF(D11&lt;&gt;"",(30*(set!B$5)-D11)/(30*(set!B$5))*100,"")</f>
        <v/>
      </c>
      <c r="Q11" s="34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39</v>
      </c>
      <c r="C12" s="37" t="s">
        <v>40</v>
      </c>
      <c r="D12" s="26"/>
      <c r="E12" s="38"/>
      <c r="F12" s="39"/>
      <c r="G12" s="39"/>
      <c r="H12" s="40"/>
      <c r="I12" s="38"/>
      <c r="J12" s="39"/>
      <c r="K12" s="39"/>
      <c r="L12" s="39"/>
      <c r="M12" s="40"/>
      <c r="N12" s="33" t="str">
        <f aca="false">IFERROR(AVERAGE(E12:M12),"")</f>
        <v/>
      </c>
      <c r="O12" s="34" t="str">
        <f aca="false">IF(E12&lt;&gt;"",IF(COUNTIF(E12:M12,"&lt;3"),"Не успевает","Успевает"),"")</f>
        <v/>
      </c>
      <c r="P12" s="35" t="str">
        <f aca="false">IF(D12&lt;&gt;"",(30*(set!B$5)-D12)/(30*(set!B$5))*100,"")</f>
        <v/>
      </c>
      <c r="Q12" s="34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41</v>
      </c>
      <c r="C13" s="37" t="s">
        <v>42</v>
      </c>
      <c r="D13" s="41"/>
      <c r="E13" s="42"/>
      <c r="F13" s="43"/>
      <c r="G13" s="43"/>
      <c r="H13" s="44"/>
      <c r="I13" s="42"/>
      <c r="J13" s="43"/>
      <c r="K13" s="43"/>
      <c r="L13" s="43"/>
      <c r="M13" s="44"/>
      <c r="N13" s="33" t="str">
        <f aca="false">IFERROR(AVERAGE(E13:M13),"")</f>
        <v/>
      </c>
      <c r="O13" s="34" t="str">
        <f aca="false">IF(E13&lt;&gt;"",IF(COUNTIF(E13:M13,"&lt;3"),"Не успевает","Успевает"),"")</f>
        <v/>
      </c>
      <c r="P13" s="35" t="str">
        <f aca="false">IF(D13&lt;&gt;"",(30*(set!B$5)-D13)/(30*(set!B$5))*100,"")</f>
        <v/>
      </c>
      <c r="Q13" s="34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43</v>
      </c>
      <c r="C14" s="37" t="s">
        <v>44</v>
      </c>
      <c r="D14" s="41"/>
      <c r="E14" s="42"/>
      <c r="F14" s="43"/>
      <c r="G14" s="43"/>
      <c r="H14" s="44"/>
      <c r="I14" s="42"/>
      <c r="J14" s="43"/>
      <c r="K14" s="43"/>
      <c r="L14" s="43"/>
      <c r="M14" s="44"/>
      <c r="N14" s="33" t="str">
        <f aca="false">IFERROR(AVERAGE(E14:M14),"")</f>
        <v/>
      </c>
      <c r="O14" s="34" t="str">
        <f aca="false">IF(E14&lt;&gt;"",IF(COUNTIF(E14:M14,"&lt;3"),"Не успевает","Успевает"),"")</f>
        <v/>
      </c>
      <c r="P14" s="35" t="str">
        <f aca="false">IF(D14&lt;&gt;"",(30*(set!B$5)-D14)/(30*(set!B$5))*100,"")</f>
        <v/>
      </c>
      <c r="Q14" s="34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45</v>
      </c>
      <c r="C15" s="37" t="s">
        <v>46</v>
      </c>
      <c r="D15" s="41"/>
      <c r="E15" s="42"/>
      <c r="F15" s="43"/>
      <c r="G15" s="43"/>
      <c r="H15" s="44"/>
      <c r="I15" s="42"/>
      <c r="J15" s="43"/>
      <c r="K15" s="43"/>
      <c r="L15" s="43"/>
      <c r="M15" s="44"/>
      <c r="N15" s="33" t="str">
        <f aca="false">IFERROR(AVERAGE(E15:M15),"")</f>
        <v/>
      </c>
      <c r="O15" s="34" t="str">
        <f aca="false">IF(E15&lt;&gt;"",IF(COUNTIF(E15:M15,"&lt;3"),"Не успевает","Успевает"),"")</f>
        <v/>
      </c>
      <c r="P15" s="35" t="str">
        <f aca="false">IF(D15&lt;&gt;"",(30*(set!B$5)-D15)/(30*(set!B$5))*100,"")</f>
        <v/>
      </c>
      <c r="Q15" s="34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47</v>
      </c>
      <c r="C16" s="37" t="s">
        <v>48</v>
      </c>
      <c r="D16" s="41"/>
      <c r="E16" s="42"/>
      <c r="F16" s="43"/>
      <c r="G16" s="43"/>
      <c r="H16" s="44"/>
      <c r="I16" s="42"/>
      <c r="J16" s="39"/>
      <c r="K16" s="43"/>
      <c r="L16" s="43"/>
      <c r="M16" s="44"/>
      <c r="N16" s="33" t="str">
        <f aca="false">IFERROR(AVERAGE(E16:M16),"")</f>
        <v/>
      </c>
      <c r="O16" s="34" t="str">
        <f aca="false">IF(E16&lt;&gt;"",IF(COUNTIF(E16:M16,"&lt;3"),"Не успевает","Успевает"),"")</f>
        <v/>
      </c>
      <c r="P16" s="35" t="str">
        <f aca="false">IF(D16&lt;&gt;"",(30*(set!B$5)-D16)/(30*(set!B$5))*100,"")</f>
        <v/>
      </c>
      <c r="Q16" s="34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49</v>
      </c>
      <c r="C17" s="37" t="s">
        <v>50</v>
      </c>
      <c r="D17" s="41"/>
      <c r="E17" s="42"/>
      <c r="F17" s="43"/>
      <c r="G17" s="39"/>
      <c r="H17" s="40"/>
      <c r="I17" s="38"/>
      <c r="J17" s="39"/>
      <c r="K17" s="39"/>
      <c r="L17" s="39"/>
      <c r="M17" s="40"/>
      <c r="N17" s="33" t="str">
        <f aca="false">IFERROR(AVERAGE(E17:M17),"")</f>
        <v/>
      </c>
      <c r="O17" s="34" t="str">
        <f aca="false">IF(E17&lt;&gt;"",IF(COUNTIF(E17:M17,"&lt;3"),"Не успевает","Успевает"),"")</f>
        <v/>
      </c>
      <c r="P17" s="35" t="str">
        <f aca="false">IF(D17&lt;&gt;"",(30*(set!B$5)-D17)/(30*(set!B$5))*100,"")</f>
        <v/>
      </c>
      <c r="Q17" s="34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51</v>
      </c>
      <c r="C18" s="37" t="s">
        <v>52</v>
      </c>
      <c r="D18" s="41"/>
      <c r="E18" s="42"/>
      <c r="F18" s="43"/>
      <c r="G18" s="43"/>
      <c r="H18" s="44"/>
      <c r="I18" s="42"/>
      <c r="J18" s="43"/>
      <c r="K18" s="43"/>
      <c r="L18" s="43"/>
      <c r="M18" s="44"/>
      <c r="N18" s="33" t="str">
        <f aca="false">IFERROR(AVERAGE(E18:M18),"")</f>
        <v/>
      </c>
      <c r="O18" s="34" t="str">
        <f aca="false">IF(E18&lt;&gt;"",IF(COUNTIF(E18:M18,"&lt;3"),"Не успевает","Успевает"),"")</f>
        <v/>
      </c>
      <c r="P18" s="35" t="str">
        <f aca="false">IF(D18&lt;&gt;"",(30*(set!B$5)-D18)/(30*(set!B$5))*100,"")</f>
        <v/>
      </c>
      <c r="Q18" s="34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36" t="n">
        <f aca="false">COUNTIF(E18:M18,2)+COUNTIF(E18:M18,1)+COUNTIF(E18:M18,0)</f>
        <v>0</v>
      </c>
    </row>
    <row r="19" customFormat="false" ht="15" hidden="false" customHeight="false" outlineLevel="0" collapsed="false">
      <c r="A19" s="37" t="n">
        <v>12</v>
      </c>
      <c r="B19" s="37" t="s">
        <v>53</v>
      </c>
      <c r="C19" s="37" t="s">
        <v>54</v>
      </c>
      <c r="D19" s="41"/>
      <c r="E19" s="42"/>
      <c r="F19" s="43"/>
      <c r="G19" s="43"/>
      <c r="H19" s="44"/>
      <c r="I19" s="42"/>
      <c r="J19" s="43"/>
      <c r="K19" s="43"/>
      <c r="L19" s="43"/>
      <c r="M19" s="44"/>
      <c r="N19" s="33" t="str">
        <f aca="false">IFERROR(AVERAGE(E19:M19),"")</f>
        <v/>
      </c>
      <c r="O19" s="34" t="str">
        <f aca="false">IF(E19&lt;&gt;"",IF(COUNTIF(E19:M19,"&lt;3"),"Не успевает","Успевает"),"")</f>
        <v/>
      </c>
      <c r="P19" s="35" t="str">
        <f aca="false">IF(D19&lt;&gt;"",(30*(set!B$5)-D19)/(30*(set!B$5))*100,"")</f>
        <v/>
      </c>
      <c r="Q19" s="34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36" t="n">
        <f aca="false">COUNTIF(E19:M19,2)+COUNTIF(E19:M19,1)+COUNTIF(E19:M19,0)</f>
        <v>0</v>
      </c>
    </row>
    <row r="20" s="45" customFormat="true" ht="15" hidden="false" customHeight="false" outlineLevel="0" collapsed="false">
      <c r="A20" s="37" t="n">
        <v>13</v>
      </c>
      <c r="B20" s="45" t="s">
        <v>55</v>
      </c>
      <c r="C20" s="37" t="s">
        <v>56</v>
      </c>
      <c r="D20" s="41"/>
      <c r="E20" s="42"/>
      <c r="F20" s="43"/>
      <c r="G20" s="43"/>
      <c r="H20" s="44"/>
      <c r="I20" s="42"/>
      <c r="J20" s="43"/>
      <c r="K20" s="43"/>
      <c r="L20" s="43"/>
      <c r="M20" s="44"/>
      <c r="N20" s="33" t="str">
        <f aca="false">IFERROR(AVERAGE(E20:M20),"")</f>
        <v/>
      </c>
      <c r="O20" s="34" t="str">
        <f aca="false">IF(E20&lt;&gt;"",IF(COUNTIF(E20:M20,"&lt;3"),"Не успевает","Успевает"),"")</f>
        <v/>
      </c>
      <c r="P20" s="35" t="str">
        <f aca="false">IF(D20&lt;&gt;"",(30*(set!B$5)-D20)/(30*(set!B$5))*100,"")</f>
        <v/>
      </c>
      <c r="Q20" s="34" t="str">
        <f aca="false">IF(E20&lt;&gt;"",IF(N20&lt;1.85,"Выговор",IF(AND(N20&gt;1.85,N20&lt;3),"Предупреждение",IF(AND(N20&gt;3,N20&lt;=4.65),"Нормально",IF(AND(N20&gt;4.65,N20&lt;5.1,MIN(E20:M20)&gt;=4),"Благодарность","Нормально")))),"")</f>
        <v/>
      </c>
      <c r="R20" s="36" t="n">
        <f aca="false">COUNTIF(E20:M20,2)+COUNTIF(E20:M20,1)+COUNTIF(E20:M20,0)</f>
        <v>0</v>
      </c>
    </row>
    <row r="21" customFormat="false" ht="15" hidden="false" customHeight="false" outlineLevel="0" collapsed="false">
      <c r="A21" s="37" t="n">
        <v>14</v>
      </c>
      <c r="B21" s="37" t="s">
        <v>57</v>
      </c>
      <c r="C21" s="37" t="s">
        <v>58</v>
      </c>
      <c r="D21" s="41"/>
      <c r="E21" s="42"/>
      <c r="F21" s="43"/>
      <c r="G21" s="43"/>
      <c r="H21" s="40"/>
      <c r="I21" s="38"/>
      <c r="J21" s="39"/>
      <c r="K21" s="39"/>
      <c r="L21" s="39"/>
      <c r="M21" s="44"/>
      <c r="N21" s="33" t="str">
        <f aca="false">IFERROR(AVERAGE(E21:M21),"")</f>
        <v/>
      </c>
      <c r="O21" s="34" t="str">
        <f aca="false">IF(E21&lt;&gt;"",IF(COUNTIF(E21:M21,"&lt;3"),"Не успевает","Успевает"),"")</f>
        <v/>
      </c>
      <c r="P21" s="35" t="str">
        <f aca="false">IF(D21&lt;&gt;"",(30*(set!B$5)-D21)/(30*(set!B$5))*100,"")</f>
        <v/>
      </c>
      <c r="Q21" s="34" t="str">
        <f aca="false">IF(E21&lt;&gt;"",IF(N21&lt;1.85,"Выговор",IF(AND(N21&gt;1.85,N21&lt;3),"Предупреждение",IF(AND(N21&gt;3,N21&lt;=4.65),"Нормально",IF(AND(N21&gt;4.65,N21&lt;5.1,MIN(E21:M21)&gt;=4),"Благодарность","Нормально")))),"")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59</v>
      </c>
      <c r="C22" s="37" t="s">
        <v>60</v>
      </c>
      <c r="D22" s="41"/>
      <c r="E22" s="42"/>
      <c r="F22" s="43"/>
      <c r="G22" s="43"/>
      <c r="H22" s="44"/>
      <c r="I22" s="42"/>
      <c r="J22" s="43"/>
      <c r="K22" s="43"/>
      <c r="L22" s="43"/>
      <c r="M22" s="44"/>
      <c r="N22" s="33" t="str">
        <f aca="false">IFERROR(AVERAGE(E22:M22),"")</f>
        <v/>
      </c>
      <c r="O22" s="34" t="str">
        <f aca="false">IF(E22&lt;&gt;"",IF(COUNTIF(E22:M22,"&lt;3"),"Не успевает","Успевает"),"")</f>
        <v/>
      </c>
      <c r="P22" s="35" t="str">
        <f aca="false">IF(D22&lt;&gt;"",(30*(set!B$5)-D22)/(30*(set!B$5))*100,"")</f>
        <v/>
      </c>
      <c r="Q22" s="34" t="str">
        <f aca="false">IF(E22&lt;&gt;"",IF(N22&lt;1.85,"Выговор",IF(AND(N22&gt;1.85,N22&lt;3),"Предупреждение",IF(AND(N22&gt;3,N22&lt;=4.65),"Нормально",IF(AND(N22&gt;4.65,N22&lt;5.1,MIN(E22:M22)&gt;=4),"Благодарность","Нормально")))),"")</f>
        <v/>
      </c>
      <c r="R22" s="36" t="n">
        <f aca="false">COUNTIF(E22:M22,2)+COUNTIF(E22:M22,1)+COUNTIF(E22:M22,0)</f>
        <v>0</v>
      </c>
    </row>
    <row r="23" customFormat="false" ht="16.5" hidden="false" customHeight="true" outlineLevel="0" collapsed="false">
      <c r="A23" s="37" t="n">
        <v>16</v>
      </c>
      <c r="B23" s="37" t="s">
        <v>61</v>
      </c>
      <c r="C23" s="37" t="s">
        <v>62</v>
      </c>
      <c r="D23" s="41"/>
      <c r="E23" s="42"/>
      <c r="F23" s="43"/>
      <c r="G23" s="39"/>
      <c r="H23" s="40"/>
      <c r="I23" s="38"/>
      <c r="J23" s="39"/>
      <c r="K23" s="39"/>
      <c r="L23" s="39"/>
      <c r="M23" s="40"/>
      <c r="N23" s="33" t="str">
        <f aca="false">IFERROR(AVERAGE(E23:M23),"")</f>
        <v/>
      </c>
      <c r="O23" s="34" t="str">
        <f aca="false">IF(E23&lt;&gt;"",IF(COUNTIF(E23:M23,"&lt;3"),"Не успевает","Успевает"),"")</f>
        <v/>
      </c>
      <c r="P23" s="35" t="str">
        <f aca="false">IF(D23&lt;&gt;"",(30*(set!B$5)-D23)/(30*(set!B$5))*100,"")</f>
        <v/>
      </c>
      <c r="Q23" s="34" t="str">
        <f aca="false">IF(E23&lt;&gt;"",IF(N23&lt;1.85,"Выговор",IF(AND(N23&gt;1.85,N23&lt;3),"Предупреждение",IF(AND(N23&gt;3,N23&lt;=4.65),"Нормально",IF(AND(N23&gt;4.65,N23&lt;5.1,MIN(E23:M23)&gt;=4),"Благодарность","Нормально")))),"")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63</v>
      </c>
      <c r="C24" s="37" t="s">
        <v>64</v>
      </c>
      <c r="D24" s="41"/>
      <c r="E24" s="42"/>
      <c r="F24" s="43"/>
      <c r="G24" s="43"/>
      <c r="H24" s="44"/>
      <c r="I24" s="42"/>
      <c r="J24" s="43"/>
      <c r="K24" s="43"/>
      <c r="L24" s="43"/>
      <c r="M24" s="44"/>
      <c r="N24" s="33" t="str">
        <f aca="false">IFERROR(AVERAGE(E24:M24),"")</f>
        <v/>
      </c>
      <c r="O24" s="34" t="str">
        <f aca="false">IF(E24&lt;&gt;"",IF(COUNTIF(E24:M24,"&lt;3"),"Не успевает","Успевает"),"")</f>
        <v/>
      </c>
      <c r="P24" s="35" t="str">
        <f aca="false">IF(D24&lt;&gt;"",(30*(set!B$5)-D24)/(30*(set!B$5))*100,"")</f>
        <v/>
      </c>
      <c r="Q24" s="34" t="str">
        <f aca="false">IF(E24&lt;&gt;"",IF(N24&lt;1.85,"Выговор",IF(AND(N24&gt;1.85,N24&lt;3),"Предупреждение",IF(AND(N24&gt;3,N24&lt;=4.65),"Нормально",IF(AND(N24&gt;4.65,N24&lt;5.1,MIN(E24:M24)&gt;=4),"Благодарность","Нормально")))),"")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65</v>
      </c>
      <c r="C25" s="37" t="s">
        <v>66</v>
      </c>
      <c r="D25" s="41"/>
      <c r="E25" s="42"/>
      <c r="F25" s="43"/>
      <c r="G25" s="43"/>
      <c r="H25" s="44"/>
      <c r="I25" s="42"/>
      <c r="J25" s="43"/>
      <c r="K25" s="43"/>
      <c r="L25" s="43"/>
      <c r="M25" s="44"/>
      <c r="N25" s="33" t="str">
        <f aca="false">IFERROR(AVERAGE(E25:M25),"")</f>
        <v/>
      </c>
      <c r="O25" s="34" t="str">
        <f aca="false">IF(E25&lt;&gt;"",IF(COUNTIF(E25:M25,"&lt;3"),"Не успевает","Успевает"),"")</f>
        <v/>
      </c>
      <c r="P25" s="35" t="str">
        <f aca="false">IF(D25&lt;&gt;"",(30*(set!B$5)-D25)/(30*(set!B$5))*100,"")</f>
        <v/>
      </c>
      <c r="Q25" s="34" t="str">
        <f aca="false">IF(E25&lt;&gt;"",IF(N25&lt;1.85,"Выговор",IF(AND(N25&gt;1.85,N25&lt;3),"Предупреждение",IF(AND(N25&gt;3,N25&lt;=4.65),"Нормально",IF(AND(N25&gt;4.65,N25&lt;5.1,MIN(E25:M25)&gt;=4),"Благодарность","Нормально")))),"")</f>
        <v/>
      </c>
      <c r="R25" s="36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67</v>
      </c>
      <c r="C26" s="37" t="s">
        <v>68</v>
      </c>
      <c r="D26" s="41"/>
      <c r="E26" s="42"/>
      <c r="F26" s="43"/>
      <c r="G26" s="43"/>
      <c r="H26" s="44"/>
      <c r="I26" s="42"/>
      <c r="J26" s="43"/>
      <c r="K26" s="43"/>
      <c r="L26" s="43"/>
      <c r="M26" s="44"/>
      <c r="N26" s="33" t="str">
        <f aca="false">IFERROR(AVERAGE(E26:M26),"")</f>
        <v/>
      </c>
      <c r="O26" s="34" t="str">
        <f aca="false">IF(E26&lt;&gt;"",IF(COUNTIF(E26:M26,"&lt;3"),"Не успевает","Успевает"),"")</f>
        <v/>
      </c>
      <c r="P26" s="35" t="str">
        <f aca="false">IF(D26&lt;&gt;"",(30*(set!B$5)-D26)/(30*(set!B$5))*100,"")</f>
        <v/>
      </c>
      <c r="Q26" s="34" t="str">
        <f aca="false">IF(E26&lt;&gt;"",IF(N26&lt;1.85,"Выговор",IF(AND(N26&gt;1.85,N26&lt;3),"Предупреждение",IF(AND(N26&gt;3,N26&lt;=4.65),"Нормально",IF(AND(N26&gt;4.65,N26&lt;5.1,MIN(E26:M26)&gt;=4),"Благодарность","Нормально")))),"")</f>
        <v/>
      </c>
      <c r="R26" s="36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20</v>
      </c>
      <c r="B27" s="37" t="s">
        <v>69</v>
      </c>
      <c r="C27" s="37" t="s">
        <v>70</v>
      </c>
      <c r="D27" s="41"/>
      <c r="E27" s="42"/>
      <c r="F27" s="43"/>
      <c r="G27" s="43"/>
      <c r="H27" s="44"/>
      <c r="I27" s="42"/>
      <c r="J27" s="43"/>
      <c r="K27" s="43"/>
      <c r="L27" s="43"/>
      <c r="M27" s="44"/>
      <c r="N27" s="33" t="str">
        <f aca="false">IFERROR(AVERAGE(E27:M27),"")</f>
        <v/>
      </c>
      <c r="O27" s="34" t="str">
        <f aca="false">IF(E27&lt;&gt;"",IF(COUNTIF(E27:M27,"&lt;3"),"Не успевает","Успевает"),"")</f>
        <v/>
      </c>
      <c r="P27" s="35" t="str">
        <f aca="false">IF(D27&lt;&gt;"",(30*(set!B$5)-D27)/(30*(set!B$5))*100,"")</f>
        <v/>
      </c>
      <c r="Q27" s="34" t="str">
        <f aca="false">IF(E27&lt;&gt;"",IF(N27&lt;1.85,"Выговор",IF(AND(N27&gt;1.85,N27&lt;3),"Предупреждение",IF(AND(N27&gt;3,N27&lt;=4.65),"Нормально",IF(AND(N27&gt;4.65,N27&lt;5.1,MIN(E27:M27)&gt;=4),"Благодарность","Нормально")))),"")</f>
        <v/>
      </c>
      <c r="R27" s="36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71</v>
      </c>
      <c r="C28" s="37" t="s">
        <v>72</v>
      </c>
      <c r="D28" s="41"/>
      <c r="E28" s="42"/>
      <c r="F28" s="43"/>
      <c r="G28" s="43"/>
      <c r="H28" s="44"/>
      <c r="I28" s="42"/>
      <c r="J28" s="43"/>
      <c r="K28" s="43"/>
      <c r="L28" s="43"/>
      <c r="M28" s="44"/>
      <c r="N28" s="33" t="str">
        <f aca="false">IFERROR(AVERAGE(E28:M28),"")</f>
        <v/>
      </c>
      <c r="O28" s="34" t="str">
        <f aca="false">IF(E28&lt;&gt;"",IF(COUNTIF(E28:M28,"&lt;3"),"Не успевает","Успевает"),"")</f>
        <v/>
      </c>
      <c r="P28" s="35" t="str">
        <f aca="false">IF(D28&lt;&gt;"",(30*(set!B$5)-D28)/(30*(set!B$5))*100,"")</f>
        <v/>
      </c>
      <c r="Q28" s="34" t="str">
        <f aca="false">IF(E28&lt;&gt;"",IF(N28&lt;1.85,"Выговор",IF(AND(N28&gt;1.85,N28&lt;3),"Предупреждение",IF(AND(N28&gt;3,N28&lt;=4.65),"Нормально",IF(AND(N28&gt;4.65,N28&lt;5.1,MIN(E28:M28)&gt;=4),"Благодарность","Нормально")))),"")</f>
        <v/>
      </c>
      <c r="R28" s="36" t="n">
        <f aca="false">COUNTIF(E28:M28,2)+COUNTIF(E28:M28,1)+COUNTIF(E28:M28,0)</f>
        <v>0</v>
      </c>
    </row>
    <row r="29" customFormat="false" ht="15" hidden="false" customHeight="true" outlineLevel="0" collapsed="false">
      <c r="A29" s="37" t="n">
        <v>22</v>
      </c>
      <c r="B29" s="37" t="s">
        <v>73</v>
      </c>
      <c r="C29" s="37" t="s">
        <v>74</v>
      </c>
      <c r="D29" s="41"/>
      <c r="E29" s="42"/>
      <c r="F29" s="43"/>
      <c r="G29" s="43"/>
      <c r="H29" s="44"/>
      <c r="I29" s="42"/>
      <c r="J29" s="43"/>
      <c r="K29" s="43"/>
      <c r="L29" s="43"/>
      <c r="M29" s="44"/>
      <c r="N29" s="33" t="str">
        <f aca="false">IFERROR(AVERAGE(E29:M29),"")</f>
        <v/>
      </c>
      <c r="O29" s="34" t="str">
        <f aca="false">IF(E29&lt;&gt;"",IF(COUNTIF(E29:M29,"&lt;3"),"Не успевает","Успевает"),"")</f>
        <v/>
      </c>
      <c r="P29" s="35" t="str">
        <f aca="false">IF(D29&lt;&gt;"",(30*(set!B$5)-D29)/(30*(set!B$5))*100,"")</f>
        <v/>
      </c>
      <c r="Q29" s="34" t="str">
        <f aca="false">IF(E29&lt;&gt;"",IF(N29&lt;1.85,"Выговор",IF(AND(N29&gt;1.85,N29&lt;3),"Предупреждение",IF(AND(N29&gt;3,N29&lt;=4.65),"Нормально",IF(AND(N29&gt;4.65,N29&lt;5.1,MIN(E29:M29)&gt;=4),"Благодарность","Нормально")))),"")</f>
        <v/>
      </c>
      <c r="R29" s="36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75</v>
      </c>
      <c r="C30" s="37" t="s">
        <v>76</v>
      </c>
      <c r="D30" s="41"/>
      <c r="E30" s="42"/>
      <c r="F30" s="43"/>
      <c r="G30" s="43"/>
      <c r="H30" s="44"/>
      <c r="I30" s="42"/>
      <c r="J30" s="43"/>
      <c r="K30" s="43"/>
      <c r="L30" s="43"/>
      <c r="M30" s="44"/>
      <c r="N30" s="33" t="str">
        <f aca="false">IFERROR(AVERAGE(E30:M30),"")</f>
        <v/>
      </c>
      <c r="O30" s="34" t="str">
        <f aca="false">IF(E30&lt;&gt;"",IF(COUNTIF(E30:M30,"&lt;3"),"Не успевает","Успевает"),"")</f>
        <v/>
      </c>
      <c r="P30" s="35" t="str">
        <f aca="false">IF(D30&lt;&gt;"",(30*(set!B$5)-D30)/(30*(set!B$5))*100,"")</f>
        <v/>
      </c>
      <c r="Q30" s="34" t="str">
        <f aca="false">IF(E30&lt;&gt;"",IF(N30&lt;1.85,"Выговор",IF(AND(N30&gt;1.85,N30&lt;3),"Предупреждение",IF(AND(N30&gt;3,N30&lt;=4.65),"Нормально",IF(AND(N30&gt;4.65,N30&lt;5.1,MIN(E30:M30)&gt;=4),"Благодарность","Нормально")))),"")</f>
        <v/>
      </c>
      <c r="R30" s="36" t="n">
        <f aca="false">COUNTIF(E30:M30,2)+COUNTIF(E30:M30,1)+COUNTIF(E30:M30,0)</f>
        <v>0</v>
      </c>
    </row>
    <row r="31" customFormat="false" ht="15" hidden="false" customHeight="false" outlineLevel="0" collapsed="false">
      <c r="A31" s="0" t="s">
        <v>77</v>
      </c>
      <c r="C31" s="45"/>
      <c r="D31" s="46"/>
      <c r="E31" s="47" t="e">
        <f aca="false">AVERAGE(E8:E29)</f>
        <v>#DIV/0!</v>
      </c>
      <c r="F31" s="47" t="e">
        <f aca="false">AVERAGE(F8:F29)</f>
        <v>#DIV/0!</v>
      </c>
      <c r="G31" s="47" t="e">
        <f aca="false">AVERAGE(G8:G29)</f>
        <v>#DIV/0!</v>
      </c>
      <c r="H31" s="47" t="e">
        <f aca="false">AVERAGE(H8:H29)</f>
        <v>#DIV/0!</v>
      </c>
      <c r="I31" s="47" t="e">
        <f aca="false">AVERAGE(I8:I29)</f>
        <v>#DIV/0!</v>
      </c>
      <c r="J31" s="47" t="e">
        <f aca="false">AVERAGE(J8:J29)</f>
        <v>#DIV/0!</v>
      </c>
      <c r="K31" s="47" t="e">
        <f aca="false">AVERAGE(K8:K29)</f>
        <v>#DIV/0!</v>
      </c>
      <c r="L31" s="47" t="e">
        <f aca="false">AVERAGE(L8:L29)</f>
        <v>#DIV/0!</v>
      </c>
      <c r="M31" s="47" t="e">
        <f aca="false">AVERAGE(M8:M29)</f>
        <v>#DIV/0!</v>
      </c>
      <c r="N31" s="48"/>
      <c r="O31" s="48"/>
      <c r="P31" s="48"/>
      <c r="Q31" s="48"/>
    </row>
    <row r="32" customFormat="false" ht="15" hidden="false" customHeight="false" outlineLevel="0" collapsed="false">
      <c r="A32" s="0" t="s">
        <v>78</v>
      </c>
      <c r="E32" s="49" t="e">
        <f aca="false">(COUNTIF(E8:E29,5)+COUNTIF(E8:E29,4)+COUNTIF(E8:E29,3))/P35*100</f>
        <v>#DIV/0!</v>
      </c>
      <c r="F32" s="49" t="e">
        <f aca="false">(COUNTIF(F8:F29,5)+COUNTIF(F8:F29,4)+COUNTIF(F8:F29,3))/P35*100</f>
        <v>#DIV/0!</v>
      </c>
      <c r="G32" s="49" t="e">
        <f aca="false">(COUNTIF(G8:G29,5)+COUNTIF(G8:G29,4)+COUNTIF(G8:G29,3))/P35*100</f>
        <v>#DIV/0!</v>
      </c>
      <c r="H32" s="49" t="e">
        <f aca="false">(COUNTIF(H8:H29,5)+COUNTIF(H8:H29,4)+COUNTIF(H8:H29,3))/P35*100</f>
        <v>#DIV/0!</v>
      </c>
      <c r="I32" s="49" t="e">
        <f aca="false">(COUNTIF(I8:I29,5)+COUNTIF(I8:I29,4)+COUNTIF(I8:I29,3))/P35*100</f>
        <v>#DIV/0!</v>
      </c>
      <c r="J32" s="49" t="e">
        <f aca="false">(COUNTIF(J8:J29,5)+COUNTIF(J8:J29,4)+COUNTIF(J8:J29,3))/P35*100</f>
        <v>#DIV/0!</v>
      </c>
      <c r="K32" s="49" t="e">
        <f aca="false">(COUNTIF(K8:K29,5)+COUNTIF(K8:K29,4)+COUNTIF(K8:K29,3))/P35*100</f>
        <v>#DIV/0!</v>
      </c>
      <c r="L32" s="49" t="e">
        <f aca="false">(COUNTIF(L8:L29,5)+COUNTIF(L8:L29,4)+COUNTIF(L8:L29,3))/$P$35*100</f>
        <v>#DIV/0!</v>
      </c>
      <c r="M32" s="49" t="e">
        <f aca="false">(COUNTIF(M8:M29,5)+COUNTIF(M8:M29,4)+COUNTIF(M8:M29,3))/$P$35*100</f>
        <v>#DIV/0!</v>
      </c>
      <c r="N32" s="48"/>
      <c r="O32" s="48"/>
      <c r="P32" s="48"/>
    </row>
    <row r="33" customFormat="false" ht="15" hidden="false" customHeight="false" outlineLevel="0" collapsed="false"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8"/>
      <c r="S33" s="48"/>
    </row>
    <row r="34" customFormat="false" ht="15.75" hidden="false" customHeight="true" outlineLevel="0" collapsed="false">
      <c r="B34" s="50"/>
      <c r="C34" s="50" t="s">
        <v>8</v>
      </c>
      <c r="D34" s="51" t="str">
        <f aca="false">IFERROR(AVERAGE(N8:N29),"")</f>
        <v/>
      </c>
      <c r="E34" s="52" t="s">
        <v>9</v>
      </c>
      <c r="F34" s="52"/>
      <c r="G34" s="53" t="str">
        <f aca="false">IFERROR(COUNTIF(O8:O29,"Успевает")/P35*100,"")</f>
        <v/>
      </c>
      <c r="H34" s="54" t="s">
        <v>79</v>
      </c>
      <c r="I34" s="54"/>
      <c r="J34" s="55" t="str">
        <f aca="false">IFERROR(AVERAGE(P8:P29),"")</f>
        <v/>
      </c>
      <c r="K34" s="52"/>
      <c r="L34" s="52"/>
      <c r="M34" s="52"/>
      <c r="N34" s="48"/>
      <c r="O34" s="48"/>
      <c r="P34" s="48"/>
      <c r="Q34" s="48"/>
      <c r="R34" s="48"/>
      <c r="S34" s="48"/>
    </row>
    <row r="35" customFormat="false" ht="15.75" hidden="false" customHeight="true" outlineLevel="0" collapsed="false">
      <c r="B35" s="50"/>
      <c r="C35" s="50"/>
      <c r="D35" s="50"/>
      <c r="E35" s="56"/>
      <c r="F35" s="56"/>
      <c r="G35" s="56"/>
      <c r="H35" s="56"/>
      <c r="I35" s="56"/>
      <c r="J35" s="56"/>
      <c r="K35" s="56"/>
      <c r="L35" s="56"/>
      <c r="M35" s="56"/>
      <c r="N35" s="57" t="s">
        <v>80</v>
      </c>
      <c r="O35" s="57"/>
      <c r="P35" s="58" t="n">
        <f aca="false">SUM(P36:P37)</f>
        <v>0</v>
      </c>
      <c r="Q35" s="59"/>
      <c r="R35" s="60"/>
      <c r="S35" s="48"/>
    </row>
    <row r="36" customFormat="false" ht="15" hidden="false" customHeight="true" outlineLevel="0" collapsed="false">
      <c r="A36" s="50"/>
      <c r="B36" s="61" t="s">
        <v>81</v>
      </c>
      <c r="C36" s="61"/>
      <c r="D36" s="61"/>
      <c r="E36" s="61"/>
      <c r="F36" s="61"/>
      <c r="G36" s="61"/>
      <c r="H36" s="61"/>
      <c r="I36" s="61"/>
      <c r="J36" s="61" t="s">
        <v>82</v>
      </c>
      <c r="K36" s="61"/>
      <c r="L36" s="61"/>
      <c r="M36" s="62"/>
      <c r="N36" s="63" t="s">
        <v>83</v>
      </c>
      <c r="O36" s="63"/>
      <c r="P36" s="58" t="n">
        <f aca="false">COUNTIF(O8:O29,"Успевает")</f>
        <v>0</v>
      </c>
      <c r="Q36" s="64"/>
      <c r="R36" s="48"/>
      <c r="S36" s="48"/>
    </row>
    <row r="37" customFormat="false" ht="15" hidden="false" customHeight="true" outlineLevel="0" collapsed="false">
      <c r="A37" s="50"/>
      <c r="B37" s="65" t="str">
        <f aca="false">$E$6</f>
        <v>Аналитическая геометрия и линейная алгебра</v>
      </c>
      <c r="C37" s="65"/>
      <c r="D37" s="65"/>
      <c r="E37" s="65"/>
      <c r="F37" s="65"/>
      <c r="G37" s="65"/>
      <c r="H37" s="65"/>
      <c r="I37" s="65"/>
      <c r="J37" s="66"/>
      <c r="K37" s="66"/>
      <c r="L37" s="66"/>
      <c r="M37" s="67"/>
      <c r="N37" s="68" t="s">
        <v>84</v>
      </c>
      <c r="O37" s="68"/>
      <c r="P37" s="58" t="n">
        <f aca="false">COUNTIF(O8:O29,"Не успевает")</f>
        <v>0</v>
      </c>
      <c r="Q37" s="69"/>
      <c r="R37" s="48"/>
      <c r="S37" s="48"/>
    </row>
    <row r="38" customFormat="false" ht="15.75" hidden="false" customHeight="true" outlineLevel="0" collapsed="false">
      <c r="A38" s="50"/>
      <c r="B38" s="65" t="str">
        <f aca="false">$F$6</f>
        <v>Информатика</v>
      </c>
      <c r="C38" s="65"/>
      <c r="D38" s="65"/>
      <c r="E38" s="65"/>
      <c r="F38" s="65"/>
      <c r="G38" s="65"/>
      <c r="H38" s="65"/>
      <c r="I38" s="65"/>
      <c r="J38" s="66"/>
      <c r="K38" s="66"/>
      <c r="L38" s="66"/>
      <c r="M38" s="67"/>
      <c r="N38" s="68" t="s">
        <v>85</v>
      </c>
      <c r="O38" s="68"/>
      <c r="P38" s="58" t="n">
        <f aca="false">COUNTIF(Q8:Q29,"Благодарность")</f>
        <v>0</v>
      </c>
      <c r="Q38" s="64"/>
      <c r="R38" s="48"/>
      <c r="S38" s="48"/>
    </row>
    <row r="39" customFormat="false" ht="15.75" hidden="false" customHeight="true" outlineLevel="0" collapsed="false">
      <c r="A39" s="50"/>
      <c r="B39" s="65" t="str">
        <f aca="false">$G$6</f>
        <v>Математический анализ</v>
      </c>
      <c r="C39" s="65"/>
      <c r="D39" s="65"/>
      <c r="E39" s="65"/>
      <c r="F39" s="65"/>
      <c r="G39" s="65"/>
      <c r="H39" s="65"/>
      <c r="I39" s="65"/>
      <c r="J39" s="66"/>
      <c r="K39" s="66"/>
      <c r="L39" s="66"/>
      <c r="M39" s="67"/>
      <c r="N39" s="68" t="s">
        <v>86</v>
      </c>
      <c r="O39" s="68"/>
      <c r="P39" s="58" t="n">
        <f aca="false">COUNTIF(Q8:Q29,"Нормально")</f>
        <v>0</v>
      </c>
      <c r="Q39" s="48"/>
      <c r="R39" s="48"/>
      <c r="S39" s="48"/>
    </row>
    <row r="40" customFormat="false" ht="15.75" hidden="false" customHeight="true" outlineLevel="0" collapsed="false">
      <c r="A40" s="50"/>
      <c r="B40" s="65" t="str">
        <f aca="false">$H$6</f>
        <v>Начертательная геометрия</v>
      </c>
      <c r="C40" s="65"/>
      <c r="D40" s="65"/>
      <c r="E40" s="65"/>
      <c r="F40" s="65"/>
      <c r="G40" s="65"/>
      <c r="H40" s="65"/>
      <c r="I40" s="65"/>
      <c r="J40" s="66"/>
      <c r="K40" s="66"/>
      <c r="L40" s="66"/>
      <c r="M40" s="67"/>
      <c r="N40" s="68" t="s">
        <v>87</v>
      </c>
      <c r="O40" s="68"/>
      <c r="P40" s="58" t="n">
        <f aca="false">COUNTIF(Q8:Q29,"Предупреждение")</f>
        <v>0</v>
      </c>
      <c r="Q40" s="48"/>
      <c r="R40" s="48"/>
      <c r="S40" s="48"/>
    </row>
    <row r="41" customFormat="false" ht="15.75" hidden="false" customHeight="true" outlineLevel="0" collapsed="false">
      <c r="A41" s="50"/>
      <c r="B41" s="65" t="str">
        <f aca="false">$I$6</f>
        <v>Инженерная графика</v>
      </c>
      <c r="C41" s="65"/>
      <c r="D41" s="65"/>
      <c r="E41" s="65"/>
      <c r="F41" s="65"/>
      <c r="G41" s="65"/>
      <c r="H41" s="65"/>
      <c r="I41" s="65"/>
      <c r="J41" s="66"/>
      <c r="K41" s="66"/>
      <c r="L41" s="66"/>
      <c r="M41" s="67"/>
      <c r="N41" s="68" t="s">
        <v>88</v>
      </c>
      <c r="O41" s="68"/>
      <c r="P41" s="58" t="n">
        <f aca="false">COUNTIF(Q8:Q29,"Выговор")</f>
        <v>0</v>
      </c>
      <c r="Q41" s="48"/>
      <c r="R41" s="48"/>
      <c r="S41" s="48"/>
    </row>
    <row r="42" customFormat="false" ht="15.75" hidden="false" customHeight="true" outlineLevel="0" collapsed="false">
      <c r="A42" s="50"/>
      <c r="B42" s="65" t="str">
        <f aca="false">$J$6</f>
        <v>Иностранный язык</v>
      </c>
      <c r="C42" s="65"/>
      <c r="D42" s="65"/>
      <c r="E42" s="65"/>
      <c r="F42" s="65"/>
      <c r="G42" s="65"/>
      <c r="H42" s="65"/>
      <c r="I42" s="65"/>
      <c r="J42" s="66"/>
      <c r="K42" s="66"/>
      <c r="L42" s="66"/>
      <c r="M42" s="67"/>
      <c r="N42" s="70" t="s">
        <v>12</v>
      </c>
      <c r="O42" s="70"/>
      <c r="P42" s="71" t="n">
        <f aca="false">SUM(R8:R29)</f>
        <v>0</v>
      </c>
      <c r="Q42" s="48"/>
      <c r="R42" s="48"/>
      <c r="S42" s="48"/>
    </row>
    <row r="43" customFormat="false" ht="15" hidden="false" customHeight="true" outlineLevel="0" collapsed="false">
      <c r="A43" s="50"/>
      <c r="B43" s="65" t="str">
        <f aca="false">$K$6</f>
        <v>Общая химия</v>
      </c>
      <c r="C43" s="65"/>
      <c r="D43" s="65"/>
      <c r="E43" s="65"/>
      <c r="F43" s="65"/>
      <c r="G43" s="65"/>
      <c r="H43" s="65"/>
      <c r="I43" s="65"/>
      <c r="J43" s="66"/>
      <c r="K43" s="66"/>
      <c r="L43" s="66"/>
      <c r="M43" s="67"/>
      <c r="N43" s="64"/>
      <c r="O43" s="64"/>
      <c r="P43" s="48"/>
      <c r="Q43" s="48"/>
      <c r="R43" s="48"/>
      <c r="S43" s="48"/>
    </row>
    <row r="44" customFormat="false" ht="15.75" hidden="false" customHeight="true" outlineLevel="0" collapsed="false">
      <c r="A44" s="50"/>
      <c r="B44" s="65" t="str">
        <f aca="false">$L$6</f>
        <v>Учебно-технологический практикум</v>
      </c>
      <c r="C44" s="65"/>
      <c r="D44" s="65"/>
      <c r="E44" s="65"/>
      <c r="F44" s="65"/>
      <c r="G44" s="65"/>
      <c r="H44" s="65"/>
      <c r="I44" s="65"/>
      <c r="J44" s="66"/>
      <c r="K44" s="66"/>
      <c r="L44" s="66"/>
      <c r="M44" s="67"/>
      <c r="N44" s="59"/>
      <c r="O44" s="64"/>
      <c r="P44" s="48"/>
      <c r="Q44" s="48"/>
      <c r="R44" s="48"/>
      <c r="S44" s="48"/>
    </row>
    <row r="45" customFormat="false" ht="15.75" hidden="false" customHeight="true" outlineLevel="0" collapsed="false">
      <c r="A45" s="50"/>
      <c r="B45" s="65" t="str">
        <f aca="false">$M$6</f>
        <v> Физическая культура и спорт</v>
      </c>
      <c r="C45" s="65"/>
      <c r="D45" s="65"/>
      <c r="E45" s="65"/>
      <c r="F45" s="65"/>
      <c r="G45" s="65"/>
      <c r="H45" s="65"/>
      <c r="I45" s="65"/>
      <c r="J45" s="66"/>
      <c r="K45" s="66"/>
      <c r="L45" s="66"/>
      <c r="M45" s="67"/>
      <c r="N45" s="59"/>
      <c r="O45" s="64"/>
      <c r="P45" s="48"/>
      <c r="Q45" s="48"/>
      <c r="R45" s="48"/>
      <c r="S45" s="48"/>
    </row>
    <row r="46" customFormat="false" ht="15" hidden="false" customHeight="false" outlineLevel="0" collapsed="false">
      <c r="A46" s="50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48"/>
      <c r="O46" s="48"/>
      <c r="P46" s="48"/>
      <c r="Q46" s="48"/>
      <c r="R46" s="48"/>
      <c r="S46" s="48"/>
    </row>
    <row r="47" customFormat="false" ht="15.75" hidden="false" customHeight="true" outlineLevel="0" collapsed="false">
      <c r="A47" s="50"/>
      <c r="B47" s="73" t="s">
        <v>89</v>
      </c>
      <c r="C47" s="74" t="s">
        <v>90</v>
      </c>
      <c r="D47" s="74"/>
      <c r="E47" s="67"/>
      <c r="F47" s="52" t="s">
        <v>91</v>
      </c>
      <c r="G47" s="52" t="s">
        <v>92</v>
      </c>
      <c r="H47" s="52"/>
      <c r="I47" s="52"/>
      <c r="J47" s="52"/>
      <c r="K47" s="52"/>
      <c r="L47" s="50"/>
      <c r="M47" s="50"/>
      <c r="N47" s="48"/>
      <c r="O47" s="48"/>
      <c r="P47" s="48"/>
      <c r="Q47" s="48"/>
      <c r="R47" s="48"/>
      <c r="S47" s="48"/>
    </row>
    <row r="48" customFormat="false" ht="15" hidden="false" customHeight="false" outlineLevel="0" collapsed="false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48"/>
      <c r="O48" s="48"/>
      <c r="P48" s="48"/>
      <c r="Q48" s="48"/>
      <c r="R48" s="48"/>
      <c r="S48" s="48"/>
    </row>
    <row r="49" customFormat="false" ht="15" hidden="false" customHeight="false" outlineLevel="0" collapsed="false">
      <c r="A49" s="50"/>
      <c r="B49" s="50" t="s">
        <v>93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48"/>
      <c r="O49" s="48"/>
      <c r="P49" s="48"/>
      <c r="Q49" s="48"/>
      <c r="R49" s="48"/>
      <c r="S49" s="48"/>
    </row>
    <row r="50" customFormat="false" ht="15" hidden="false" customHeight="false" outlineLevel="0" collapsed="false">
      <c r="A50" s="50"/>
      <c r="B50" s="50" t="s">
        <v>94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48"/>
      <c r="O50" s="48"/>
      <c r="P50" s="48"/>
      <c r="Q50" s="48"/>
      <c r="R50" s="48"/>
      <c r="S50" s="48"/>
    </row>
    <row r="51" customFormat="false" ht="15" hidden="false" customHeight="false" outlineLevel="0" collapsed="false">
      <c r="A51" s="50"/>
      <c r="B51" s="50" t="s">
        <v>95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48"/>
      <c r="O51" s="48"/>
      <c r="P51" s="48"/>
      <c r="Q51" s="48"/>
      <c r="R51" s="48"/>
      <c r="S51" s="48"/>
    </row>
    <row r="52" customFormat="false" ht="15" hidden="false" customHeight="false" outlineLevel="0" collapsed="false">
      <c r="A52" s="50"/>
      <c r="B52" s="50" t="s">
        <v>96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48"/>
      <c r="O52" s="48"/>
      <c r="P52" s="48"/>
      <c r="Q52" s="48"/>
      <c r="R52" s="48"/>
      <c r="S52" s="48"/>
    </row>
    <row r="53" customFormat="false" ht="15" hidden="false" customHeight="false" outlineLevel="0" collapsed="false">
      <c r="A53" s="50"/>
      <c r="B53" s="50" t="s">
        <v>97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P53" s="48"/>
      <c r="Q53" s="48"/>
      <c r="R53" s="48"/>
      <c r="S53" s="48"/>
    </row>
    <row r="54" customFormat="false" ht="15" hidden="false" customHeight="false" outlineLevel="0" collapsed="false">
      <c r="B54" s="50" t="s">
        <v>98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</row>
    <row r="55" customFormat="false" ht="15" hidden="false" customHeight="false" outlineLevel="0" collapsed="false">
      <c r="B55" s="50" t="s">
        <v>99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</row>
  </sheetData>
  <mergeCells count="42">
    <mergeCell ref="E1:H1"/>
    <mergeCell ref="L2:N2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4:I34"/>
    <mergeCell ref="N35:O35"/>
    <mergeCell ref="B36:I36"/>
    <mergeCell ref="J36:L36"/>
    <mergeCell ref="N36:O36"/>
    <mergeCell ref="B37:I37"/>
    <mergeCell ref="J37:L37"/>
    <mergeCell ref="N37:O37"/>
    <mergeCell ref="B38:I38"/>
    <mergeCell ref="J38:L38"/>
    <mergeCell ref="N38:O38"/>
    <mergeCell ref="B39:I39"/>
    <mergeCell ref="J39:L39"/>
    <mergeCell ref="N39:O39"/>
    <mergeCell ref="B40:I40"/>
    <mergeCell ref="J40:L40"/>
    <mergeCell ref="N40:O40"/>
    <mergeCell ref="B41:I41"/>
    <mergeCell ref="J41:L41"/>
    <mergeCell ref="N41:O41"/>
    <mergeCell ref="B42:I42"/>
    <mergeCell ref="J42:L42"/>
    <mergeCell ref="N42:O42"/>
    <mergeCell ref="B43:I43"/>
    <mergeCell ref="J43:L43"/>
    <mergeCell ref="B44:I44"/>
    <mergeCell ref="J44:L44"/>
    <mergeCell ref="B45:I45"/>
    <mergeCell ref="J45:L45"/>
  </mergeCells>
  <conditionalFormatting sqref="H14:H1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H1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1:M31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3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S53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27" activeCellId="0" sqref="A27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10.29"/>
    <col collapsed="false" customWidth="true" hidden="false" outlineLevel="0" max="3" min="3" style="0" width="18.86"/>
    <col collapsed="false" customWidth="true" hidden="false" outlineLevel="0" max="5" min="5" style="0" width="10"/>
    <col collapsed="false" customWidth="true" hidden="false" outlineLevel="0" max="15" min="15" style="0" width="11"/>
    <col collapsed="false" customWidth="true" hidden="false" outlineLevel="0" max="17" min="17" style="0" width="11.14"/>
    <col collapsed="false" customWidth="true" hidden="false" outlineLevel="0" max="18" min="18" style="0" width="5.29"/>
    <col collapsed="false" customWidth="true" hidden="false" outlineLevel="0" max="19" min="19" style="0" width="6.57"/>
    <col collapsed="false" customWidth="true" hidden="false" outlineLevel="0" max="20" min="20" style="0" width="5"/>
    <col collapsed="false" customWidth="true" hidden="false" outlineLevel="0" max="21" min="21" style="0" width="3.71"/>
    <col collapsed="false" customWidth="true" hidden="false" outlineLevel="0" max="22" min="22" style="0" width="3.86"/>
    <col collapsed="false" customWidth="true" hidden="false" outlineLevel="0" max="23" min="23" style="0" width="4.86"/>
    <col collapsed="false" customWidth="true" hidden="false" outlineLevel="0" max="24" min="24" style="0" width="4.29"/>
    <col collapsed="false" customWidth="true" hidden="false" outlineLevel="0" max="25" min="25" style="0" width="4.14"/>
    <col collapsed="false" customWidth="true" hidden="false" outlineLevel="0" max="26" min="26" style="0" width="3.86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K2" s="5" t="s">
        <v>1</v>
      </c>
      <c r="L2" s="5"/>
      <c r="M2" s="5"/>
      <c r="N2" s="5"/>
      <c r="O2" s="75" t="n">
        <f aca="false">set!B4</f>
        <v>45608</v>
      </c>
      <c r="P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ИУК1-12Б факультета ИУК МГТУ им. Н.Э. Баумана"</f>
        <v>Успеваемость студентов за 1 семестр 24/25 учебного года по группе ИУК1-12Б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04.25" hidden="false" customHeight="true" outlineLevel="0" collapsed="false">
      <c r="A6" s="8"/>
      <c r="B6" s="8"/>
      <c r="C6" s="8"/>
      <c r="D6" s="9"/>
      <c r="E6" s="15" t="s">
        <v>13</v>
      </c>
      <c r="F6" s="16" t="s">
        <v>14</v>
      </c>
      <c r="G6" s="16" t="s">
        <v>15</v>
      </c>
      <c r="H6" s="17" t="s">
        <v>16</v>
      </c>
      <c r="I6" s="15" t="s">
        <v>17</v>
      </c>
      <c r="J6" s="16" t="s">
        <v>18</v>
      </c>
      <c r="K6" s="16" t="s">
        <v>19</v>
      </c>
      <c r="L6" s="16" t="s">
        <v>20</v>
      </c>
      <c r="M6" s="18" t="s">
        <v>21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19" t="s">
        <v>22</v>
      </c>
      <c r="F7" s="20" t="s">
        <v>23</v>
      </c>
      <c r="G7" s="20" t="s">
        <v>24</v>
      </c>
      <c r="H7" s="21" t="s">
        <v>25</v>
      </c>
      <c r="I7" s="22" t="s">
        <v>26</v>
      </c>
      <c r="J7" s="23" t="s">
        <v>27</v>
      </c>
      <c r="K7" s="23" t="s">
        <v>28</v>
      </c>
      <c r="L7" s="23" t="s">
        <v>29</v>
      </c>
      <c r="M7" s="24" t="s">
        <v>30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100</v>
      </c>
      <c r="C8" s="25" t="s">
        <v>101</v>
      </c>
      <c r="D8" s="77"/>
      <c r="E8" s="78"/>
      <c r="F8" s="79"/>
      <c r="G8" s="79"/>
      <c r="H8" s="80"/>
      <c r="I8" s="81"/>
      <c r="J8" s="82"/>
      <c r="K8" s="82"/>
      <c r="L8" s="82"/>
      <c r="M8" s="83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35" t="str">
        <f aca="false">IF(D8&lt;&gt;"",(30*(set!B$5)-D8)/(30*(set!B$5))*100,"")</f>
        <v/>
      </c>
      <c r="Q8" s="84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102</v>
      </c>
      <c r="C9" s="37" t="s">
        <v>103</v>
      </c>
      <c r="D9" s="37"/>
      <c r="E9" s="86"/>
      <c r="F9" s="87"/>
      <c r="G9" s="87"/>
      <c r="H9" s="88"/>
      <c r="I9" s="86"/>
      <c r="J9" s="87"/>
      <c r="K9" s="87"/>
      <c r="L9" s="87"/>
      <c r="M9" s="89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35" t="str">
        <f aca="false">IF(D9&lt;&gt;"",(30*(set!B$5)-D9)/(30*(set!B$5))*100,"")</f>
        <v/>
      </c>
      <c r="Q9" s="84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104</v>
      </c>
      <c r="C10" s="37" t="s">
        <v>105</v>
      </c>
      <c r="D10" s="90"/>
      <c r="E10" s="91"/>
      <c r="F10" s="87"/>
      <c r="G10" s="92"/>
      <c r="H10" s="88"/>
      <c r="I10" s="86"/>
      <c r="J10" s="92"/>
      <c r="K10" s="92"/>
      <c r="L10" s="92"/>
      <c r="M10" s="93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35" t="str">
        <f aca="false">IF(D10&lt;&gt;"",(30*(set!B$5)-D10)/(30*(set!B$5))*100,"")</f>
        <v/>
      </c>
      <c r="Q10" s="84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106</v>
      </c>
      <c r="C11" s="37" t="s">
        <v>107</v>
      </c>
      <c r="D11" s="37"/>
      <c r="E11" s="86"/>
      <c r="F11" s="87"/>
      <c r="G11" s="87"/>
      <c r="H11" s="88"/>
      <c r="I11" s="86"/>
      <c r="J11" s="87"/>
      <c r="K11" s="87"/>
      <c r="L11" s="87"/>
      <c r="M11" s="89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35" t="str">
        <f aca="false">IF(D11&lt;&gt;"",(30*(set!B$5)-D11)/(30*(set!B$5))*100,"")</f>
        <v/>
      </c>
      <c r="Q11" s="84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108</v>
      </c>
      <c r="C12" s="37" t="s">
        <v>109</v>
      </c>
      <c r="D12" s="37"/>
      <c r="E12" s="86"/>
      <c r="F12" s="87"/>
      <c r="G12" s="87"/>
      <c r="H12" s="88"/>
      <c r="I12" s="86"/>
      <c r="J12" s="87"/>
      <c r="K12" s="87"/>
      <c r="L12" s="87"/>
      <c r="M12" s="89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35" t="str">
        <f aca="false">IF(D12&lt;&gt;"",(30*(set!B$5)-D12)/(30*(set!B$5))*100,"")</f>
        <v/>
      </c>
      <c r="Q12" s="84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110</v>
      </c>
      <c r="C13" s="37" t="s">
        <v>111</v>
      </c>
      <c r="D13" s="37"/>
      <c r="E13" s="86"/>
      <c r="F13" s="87"/>
      <c r="G13" s="87"/>
      <c r="H13" s="88"/>
      <c r="I13" s="86"/>
      <c r="J13" s="87"/>
      <c r="K13" s="87"/>
      <c r="L13" s="87"/>
      <c r="M13" s="89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35" t="str">
        <f aca="false">IF(D13&lt;&gt;"",(30*(set!B$5)-D13)/(30*(set!B$5))*100,"")</f>
        <v/>
      </c>
      <c r="Q13" s="84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112</v>
      </c>
      <c r="C14" s="37" t="s">
        <v>113</v>
      </c>
      <c r="D14" s="37"/>
      <c r="E14" s="86"/>
      <c r="F14" s="87"/>
      <c r="G14" s="87"/>
      <c r="H14" s="88"/>
      <c r="I14" s="86"/>
      <c r="J14" s="87"/>
      <c r="K14" s="87"/>
      <c r="L14" s="87"/>
      <c r="M14" s="89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35" t="str">
        <f aca="false">IF(D14&lt;&gt;"",(30*(set!B$5)-D14)/(30*(set!B$5))*100,"")</f>
        <v/>
      </c>
      <c r="Q14" s="84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114</v>
      </c>
      <c r="C15" s="37" t="s">
        <v>115</v>
      </c>
      <c r="D15" s="37"/>
      <c r="E15" s="86"/>
      <c r="F15" s="87"/>
      <c r="G15" s="87"/>
      <c r="H15" s="88"/>
      <c r="I15" s="86"/>
      <c r="J15" s="87"/>
      <c r="K15" s="87"/>
      <c r="L15" s="87"/>
      <c r="M15" s="89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35" t="str">
        <f aca="false">IF(D15&lt;&gt;"",(30*(set!B$5)-D15)/(30*(set!B$5))*100,"")</f>
        <v/>
      </c>
      <c r="Q15" s="84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116</v>
      </c>
      <c r="C16" s="37" t="s">
        <v>117</v>
      </c>
      <c r="D16" s="37"/>
      <c r="E16" s="86"/>
      <c r="F16" s="87"/>
      <c r="G16" s="87"/>
      <c r="H16" s="88"/>
      <c r="I16" s="86"/>
      <c r="J16" s="87"/>
      <c r="K16" s="87"/>
      <c r="L16" s="87"/>
      <c r="M16" s="89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35" t="str">
        <f aca="false">IF(D16&lt;&gt;"",(30*(set!B$5)-D16)/(30*(set!B$5))*100,"")</f>
        <v/>
      </c>
      <c r="Q16" s="84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118</v>
      </c>
      <c r="C17" s="37" t="s">
        <v>119</v>
      </c>
      <c r="D17" s="37"/>
      <c r="E17" s="86"/>
      <c r="F17" s="87"/>
      <c r="G17" s="87"/>
      <c r="H17" s="88"/>
      <c r="I17" s="86"/>
      <c r="J17" s="87"/>
      <c r="K17" s="87"/>
      <c r="L17" s="87"/>
      <c r="M17" s="89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35" t="str">
        <f aca="false">IF(D17&lt;&gt;"",(30*(set!B$5)-D17)/(30*(set!B$5))*100,"")</f>
        <v/>
      </c>
      <c r="Q17" s="84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120</v>
      </c>
      <c r="C18" s="37" t="s">
        <v>121</v>
      </c>
      <c r="D18" s="37"/>
      <c r="E18" s="86"/>
      <c r="F18" s="87"/>
      <c r="G18" s="87"/>
      <c r="H18" s="88"/>
      <c r="I18" s="86"/>
      <c r="J18" s="87"/>
      <c r="K18" s="87"/>
      <c r="L18" s="87"/>
      <c r="M18" s="89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35" t="str">
        <f aca="false">IF(D18&lt;&gt;"",(30*(set!B$5)-D18)/(30*(set!B$5))*100,"")</f>
        <v/>
      </c>
      <c r="Q18" s="84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122</v>
      </c>
      <c r="C19" s="37" t="s">
        <v>123</v>
      </c>
      <c r="D19" s="37"/>
      <c r="E19" s="86"/>
      <c r="F19" s="87"/>
      <c r="G19" s="87"/>
      <c r="H19" s="88"/>
      <c r="I19" s="86"/>
      <c r="J19" s="87"/>
      <c r="K19" s="87"/>
      <c r="L19" s="87"/>
      <c r="M19" s="89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35" t="str">
        <f aca="false">IF(D19&lt;&gt;"",(30*(set!B$5)-D19)/(30*(set!B$5))*100,"")</f>
        <v/>
      </c>
      <c r="Q19" s="84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124</v>
      </c>
      <c r="C20" s="37" t="s">
        <v>125</v>
      </c>
      <c r="D20" s="37"/>
      <c r="E20" s="86"/>
      <c r="F20" s="87"/>
      <c r="G20" s="87"/>
      <c r="H20" s="88"/>
      <c r="I20" s="86"/>
      <c r="J20" s="87"/>
      <c r="K20" s="87"/>
      <c r="L20" s="87"/>
      <c r="M20" s="89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35" t="str">
        <f aca="false">IF(D20&lt;&gt;"",(30*(set!B$5)-D20)/(30*(set!B$5))*100,"")</f>
        <v/>
      </c>
      <c r="Q20" s="84" t="str">
        <f aca="false">IF(E20&lt;&gt;"",IF(N20&lt;1.85,"Выговор",IF(AND(N20&gt;1.85,N20&lt;3),"Предупреждение",IF(AND(N20&gt;3,N20&lt;=4.65),"Нормально",IF(AND(N20&gt;4.65,N20&lt;5.1,MIN(E20:M20)&gt;=4),"Благодарность","Нормально")))),"")</f>
        <v/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85" t="n">
        <v>14</v>
      </c>
      <c r="B21" s="37" t="s">
        <v>126</v>
      </c>
      <c r="C21" s="37" t="s">
        <v>127</v>
      </c>
      <c r="D21" s="37"/>
      <c r="E21" s="86"/>
      <c r="F21" s="87"/>
      <c r="G21" s="87"/>
      <c r="H21" s="88"/>
      <c r="I21" s="86"/>
      <c r="J21" s="87"/>
      <c r="K21" s="87"/>
      <c r="L21" s="87"/>
      <c r="M21" s="89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35" t="str">
        <f aca="false">IF(D21&lt;&gt;"",(30*(set!B$5)-D21)/(30*(set!B$5))*100,"")</f>
        <v/>
      </c>
      <c r="Q21" s="84" t="str">
        <f aca="false">IF(E21&lt;&gt;"",IF(N21&lt;1.85,"Выговор",IF(AND(N21&gt;1.85,N21&lt;3),"Предупреждение",IF(AND(N21&gt;3,N21&lt;=4.65),"Нормально",IF(AND(N21&gt;4.65,N21&lt;5.1,MIN(E21:M21)&gt;=4),"Благодарность","Нормально")))),"")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128</v>
      </c>
      <c r="C22" s="37" t="s">
        <v>129</v>
      </c>
      <c r="D22" s="37"/>
      <c r="E22" s="86"/>
      <c r="F22" s="87"/>
      <c r="G22" s="87"/>
      <c r="H22" s="88"/>
      <c r="I22" s="86"/>
      <c r="J22" s="87"/>
      <c r="K22" s="87"/>
      <c r="L22" s="87"/>
      <c r="M22" s="89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35" t="str">
        <f aca="false">IF(D22&lt;&gt;"",(30*(set!B$5)-D22)/(30*(set!B$5))*100,"")</f>
        <v/>
      </c>
      <c r="Q22" s="84" t="str">
        <f aca="false">IF(E22&lt;&gt;"",IF(N22&lt;1.85,"Выговор",IF(AND(N22&gt;1.85,N22&lt;3),"Предупреждение",IF(AND(N22&gt;3,N22&lt;=4.65),"Нормально",IF(AND(N22&gt;4.65,N22&lt;5.1,MIN(E22:M22)&gt;=4),"Благодарность","Нормально")))),"")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85" t="n">
        <v>16</v>
      </c>
      <c r="B23" s="37" t="s">
        <v>130</v>
      </c>
      <c r="C23" s="37" t="s">
        <v>131</v>
      </c>
      <c r="D23" s="37"/>
      <c r="E23" s="86"/>
      <c r="F23" s="87"/>
      <c r="G23" s="87"/>
      <c r="H23" s="88"/>
      <c r="I23" s="86"/>
      <c r="J23" s="87"/>
      <c r="K23" s="87"/>
      <c r="L23" s="87"/>
      <c r="M23" s="89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35" t="str">
        <f aca="false">IF(D23&lt;&gt;"",(30*(set!B$5)-D23)/(30*(set!B$5))*100,"")</f>
        <v/>
      </c>
      <c r="Q23" s="84" t="str">
        <f aca="false">IF(E23&lt;&gt;"",IF(N23&lt;1.85,"Выговор",IF(AND(N23&gt;1.85,N23&lt;3),"Предупреждение",IF(AND(N23&gt;3,N23&lt;=4.65),"Нормально",IF(AND(N23&gt;4.65,N23&lt;5.1,MIN(E23:M23)&gt;=4),"Благодарность","Нормально")))),"")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132</v>
      </c>
      <c r="C24" s="37" t="s">
        <v>133</v>
      </c>
      <c r="D24" s="37"/>
      <c r="E24" s="86"/>
      <c r="F24" s="87"/>
      <c r="G24" s="87"/>
      <c r="H24" s="88"/>
      <c r="I24" s="86"/>
      <c r="J24" s="87"/>
      <c r="K24" s="87"/>
      <c r="L24" s="87"/>
      <c r="M24" s="89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35" t="str">
        <f aca="false">IF(D24&lt;&gt;"",(30*(set!B$5)-D24)/(30*(set!B$5))*100,"")</f>
        <v/>
      </c>
      <c r="Q24" s="84" t="str">
        <f aca="false">IF(E24&lt;&gt;"",IF(N24&lt;1.85,"Выговор",IF(AND(N24&gt;1.85,N24&lt;3),"Предупреждение",IF(AND(N24&gt;3,N24&lt;=4.65),"Нормально",IF(AND(N24&gt;4.65,N24&lt;5.1,MIN(E24:M24)&gt;=4),"Благодарность","Нормально")))),"")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85" t="n">
        <v>18</v>
      </c>
      <c r="B25" s="37" t="s">
        <v>134</v>
      </c>
      <c r="C25" s="37" t="s">
        <v>135</v>
      </c>
      <c r="D25" s="37"/>
      <c r="E25" s="86"/>
      <c r="F25" s="87"/>
      <c r="G25" s="87"/>
      <c r="H25" s="88"/>
      <c r="I25" s="86"/>
      <c r="J25" s="87"/>
      <c r="K25" s="87"/>
      <c r="L25" s="87"/>
      <c r="M25" s="89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35" t="str">
        <f aca="false">IF(D25&lt;&gt;"",(30*(set!B$5)-D25)/(30*(set!B$5))*100,"")</f>
        <v/>
      </c>
      <c r="Q25" s="84" t="str">
        <f aca="false">IF(E25&lt;&gt;"",IF(N25&lt;1.85,"Выговор",IF(AND(N25&gt;1.85,N25&lt;3),"Предупреждение",IF(AND(N25&gt;3,N25&lt;=4.65),"Нормально",IF(AND(N25&gt;4.65,N25&lt;5.1,MIN(E25:M25)&gt;=4),"Благодарность","Нормально")))),"")</f>
        <v/>
      </c>
      <c r="R25" s="36" t="n">
        <f aca="false">COUNTIF(E25:M25,2)+COUNTIF(E25:M25,1)+COUNTIF(E25:M25,0)</f>
        <v>0</v>
      </c>
    </row>
    <row r="26" customFormat="false" ht="15" hidden="false" customHeight="true" outlineLevel="0" collapsed="false">
      <c r="A26" s="85" t="n">
        <v>19</v>
      </c>
      <c r="B26" s="37" t="s">
        <v>136</v>
      </c>
      <c r="C26" s="37" t="s">
        <v>137</v>
      </c>
      <c r="D26" s="37"/>
      <c r="E26" s="86"/>
      <c r="F26" s="87"/>
      <c r="G26" s="87"/>
      <c r="H26" s="88"/>
      <c r="I26" s="86"/>
      <c r="J26" s="87"/>
      <c r="K26" s="87"/>
      <c r="L26" s="87"/>
      <c r="M26" s="89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35" t="str">
        <f aca="false">IF(D26&lt;&gt;"",(30*(set!B$5)-D26)/(30*(set!B$5))*100,"")</f>
        <v/>
      </c>
      <c r="Q26" s="84" t="str">
        <f aca="false">IF(E26&lt;&gt;"",IF(N26&lt;1.85,"Выговор",IF(AND(N26&gt;1.85,N26&lt;3),"Предупреждение",IF(AND(N26&gt;3,N26&lt;=4.65),"Нормально",IF(AND(N26&gt;4.65,N26&lt;5.1,MIN(E26:M26)&gt;=4),"Благодарность","Нормально")))),"")</f>
        <v/>
      </c>
      <c r="R26" s="36" t="n">
        <f aca="false">COUNTIF(E26:M26,2)+COUNTIF(E26:M26,1)+COUNTIF(E26:M26,0)</f>
        <v>0</v>
      </c>
    </row>
    <row r="27" customFormat="false" ht="15" hidden="false" customHeight="true" outlineLevel="0" collapsed="false">
      <c r="A27" s="85" t="n">
        <v>20</v>
      </c>
      <c r="B27" s="37" t="s">
        <v>138</v>
      </c>
      <c r="C27" s="37" t="s">
        <v>139</v>
      </c>
      <c r="D27" s="37"/>
      <c r="E27" s="86"/>
      <c r="F27" s="87"/>
      <c r="G27" s="87"/>
      <c r="H27" s="88"/>
      <c r="I27" s="86"/>
      <c r="J27" s="87"/>
      <c r="K27" s="87"/>
      <c r="L27" s="87"/>
      <c r="M27" s="89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35" t="str">
        <f aca="false">IF(D27&lt;&gt;"",(30*(set!B$5)-D27)/(30*(set!B$5))*100,"")</f>
        <v/>
      </c>
      <c r="Q27" s="84" t="str">
        <f aca="false">IF(E27&lt;&gt;"",IF(N27&lt;1.85,"Выговор",IF(AND(N27&gt;1.85,N27&lt;3),"Предупреждение",IF(AND(N27&gt;3,N27&lt;=4.65),"Нормально",IF(AND(N27&gt;4.65,N27&lt;5.1,MIN(E27:M27)&gt;=4),"Благодарность","Нормально")))),"")</f>
        <v/>
      </c>
      <c r="R27" s="36" t="n">
        <f aca="false">COUNTIF(E27:M27,2)+COUNTIF(E27:M27,1)+COUNTIF(E27:M27,0)</f>
        <v>0</v>
      </c>
    </row>
    <row r="28" customFormat="false" ht="15" hidden="false" customHeight="false" outlineLevel="0" collapsed="false">
      <c r="A28" s="0" t="s">
        <v>77</v>
      </c>
      <c r="D28" s="94"/>
      <c r="E28" s="95" t="e">
        <f aca="false">ROUND(AVERAGE(E8:E27),1)</f>
        <v>#DIV/0!</v>
      </c>
      <c r="F28" s="95" t="e">
        <f aca="false">ROUND(AVERAGE(F8:F27),1)</f>
        <v>#DIV/0!</v>
      </c>
      <c r="G28" s="95" t="e">
        <f aca="false">ROUND(AVERAGE(G8:G27),1)</f>
        <v>#DIV/0!</v>
      </c>
      <c r="H28" s="95" t="e">
        <f aca="false">ROUND(AVERAGE(H8:H27),1)</f>
        <v>#DIV/0!</v>
      </c>
      <c r="I28" s="95" t="e">
        <f aca="false">ROUND(AVERAGE(I8:I27),1)</f>
        <v>#DIV/0!</v>
      </c>
      <c r="J28" s="95" t="e">
        <f aca="false">ROUND(AVERAGE(J8:J27),1)</f>
        <v>#DIV/0!</v>
      </c>
      <c r="K28" s="95" t="e">
        <f aca="false">ROUND(AVERAGE(K8:K27),1)</f>
        <v>#DIV/0!</v>
      </c>
      <c r="L28" s="95" t="e">
        <f aca="false">ROUND(AVERAGE(L8:L27),1)</f>
        <v>#DIV/0!</v>
      </c>
      <c r="M28" s="95" t="e">
        <f aca="false">ROUND(AVERAGE(M8:M27),1)</f>
        <v>#DIV/0!</v>
      </c>
      <c r="N28" s="48"/>
      <c r="O28" s="48"/>
      <c r="P28" s="48"/>
      <c r="Q28" s="48"/>
    </row>
    <row r="29" customFormat="false" ht="15" hidden="false" customHeight="false" outlineLevel="0" collapsed="false">
      <c r="A29" s="0" t="s">
        <v>78</v>
      </c>
      <c r="E29" s="49" t="e">
        <f aca="false">(COUNTIF(E8:E27,5)+COUNTIF(E8:E27,4)+COUNTIF(E8:E27,3))/$Q$33*100</f>
        <v>#DIV/0!</v>
      </c>
      <c r="F29" s="49" t="e">
        <f aca="false">(COUNTIF(F8:F27,5)+COUNTIF(F8:F27,4)+COUNTIF(F8:F27,3))/$Q$33*100</f>
        <v>#DIV/0!</v>
      </c>
      <c r="G29" s="49" t="e">
        <f aca="false">(COUNTIF(G8:G27,5)+COUNTIF(G8:G27,4)+COUNTIF(G8:G27,3))/$Q$33*100</f>
        <v>#DIV/0!</v>
      </c>
      <c r="H29" s="49" t="e">
        <f aca="false">(COUNTIF(H8:H27,5)+COUNTIF(H8:H27,4)+COUNTIF(H8:H27,3))/$Q$33*100</f>
        <v>#DIV/0!</v>
      </c>
      <c r="I29" s="49" t="e">
        <f aca="false">(COUNTIF(I8:I27,5)+COUNTIF(I8:I27,4)+COUNTIF(I8:I27,3))/$Q$33*100</f>
        <v>#DIV/0!</v>
      </c>
      <c r="J29" s="49" t="e">
        <f aca="false">(COUNTIF(J8:J27,5)+COUNTIF(J8:J27,4)+COUNTIF(J8:J27,3))/$Q$33*100</f>
        <v>#DIV/0!</v>
      </c>
      <c r="K29" s="49" t="e">
        <f aca="false">(COUNTIF(K8:K27,5)+COUNTIF(K8:K27,4)+COUNTIF(K8:K27,3))/$Q$33*100</f>
        <v>#DIV/0!</v>
      </c>
      <c r="L29" s="49" t="e">
        <f aca="false">(COUNTIF(L8:L27,5)+COUNTIF(L8:L27,4)+COUNTIF(L8:L27,3))/$Q$33*100</f>
        <v>#DIV/0!</v>
      </c>
      <c r="M29" s="49" t="e">
        <f aca="false">(COUNTIF(M8:M27,5)+COUNTIF(M8:M27,4)+COUNTIF(M8:M27,3))/$Q$33*100</f>
        <v>#DIV/0!</v>
      </c>
      <c r="N29" s="48"/>
      <c r="O29" s="48"/>
      <c r="P29" s="48"/>
      <c r="Q29" s="48"/>
    </row>
    <row r="30" customFormat="false" ht="15" hidden="false" customHeight="false" outlineLevel="0" collapsed="false"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  <c r="S30" s="48"/>
    </row>
    <row r="31" customFormat="false" ht="15" hidden="false" customHeight="false" outlineLevel="0" collapsed="false"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</row>
    <row r="32" customFormat="false" ht="15.75" hidden="false" customHeight="true" outlineLevel="0" collapsed="false">
      <c r="B32" s="50"/>
      <c r="C32" s="50" t="s">
        <v>8</v>
      </c>
      <c r="D32" s="51" t="str">
        <f aca="false">IFERROR(AVERAGE(N8:N27),"")</f>
        <v/>
      </c>
      <c r="E32" s="52" t="s">
        <v>9</v>
      </c>
      <c r="F32" s="52"/>
      <c r="G32" s="53" t="str">
        <f aca="false">IFERROR(COUNTIF(O8:O27,"Успевает")/Q33*100,"")</f>
        <v/>
      </c>
      <c r="H32" s="54" t="s">
        <v>79</v>
      </c>
      <c r="I32" s="54"/>
      <c r="J32" s="55" t="str">
        <f aca="false">IFERROR(AVERAGE(P8:P27),"")</f>
        <v/>
      </c>
      <c r="K32" s="52"/>
      <c r="L32" s="52"/>
      <c r="M32" s="52"/>
      <c r="N32" s="52"/>
      <c r="O32" s="52"/>
      <c r="P32" s="52"/>
      <c r="Q32" s="52"/>
      <c r="R32" s="48"/>
      <c r="S32" s="48"/>
    </row>
    <row r="33" customFormat="false" ht="15.75" hidden="false" customHeight="true" outlineLevel="0" collapsed="false">
      <c r="B33" s="50"/>
      <c r="C33" s="50"/>
      <c r="D33" s="50"/>
      <c r="E33" s="56"/>
      <c r="F33" s="56"/>
      <c r="G33" s="56"/>
      <c r="H33" s="56"/>
      <c r="I33" s="56"/>
      <c r="J33" s="56"/>
      <c r="K33" s="56"/>
      <c r="L33" s="56"/>
      <c r="M33" s="56"/>
      <c r="N33" s="57" t="s">
        <v>80</v>
      </c>
      <c r="O33" s="57"/>
      <c r="P33" s="57"/>
      <c r="Q33" s="58" t="n">
        <f aca="false">SUM(Q34:Q35)</f>
        <v>0</v>
      </c>
      <c r="R33" s="60"/>
      <c r="S33" s="48"/>
    </row>
    <row r="34" customFormat="false" ht="15" hidden="false" customHeight="true" outlineLevel="0" collapsed="false">
      <c r="A34" s="50"/>
      <c r="B34" s="61" t="s">
        <v>81</v>
      </c>
      <c r="C34" s="61"/>
      <c r="D34" s="61"/>
      <c r="E34" s="61"/>
      <c r="F34" s="61"/>
      <c r="G34" s="61"/>
      <c r="H34" s="61"/>
      <c r="I34" s="61"/>
      <c r="J34" s="61" t="s">
        <v>82</v>
      </c>
      <c r="K34" s="61"/>
      <c r="L34" s="61"/>
      <c r="M34" s="96"/>
      <c r="N34" s="57" t="s">
        <v>83</v>
      </c>
      <c r="O34" s="57"/>
      <c r="P34" s="57"/>
      <c r="Q34" s="58" t="n">
        <f aca="false">COUNTIF(O8:O27,"Успевает")</f>
        <v>0</v>
      </c>
      <c r="R34" s="48"/>
      <c r="S34" s="48"/>
    </row>
    <row r="35" customFormat="false" ht="15" hidden="false" customHeight="true" outlineLevel="0" collapsed="false">
      <c r="A35" s="50"/>
      <c r="B35" s="65" t="str">
        <f aca="false">$E$6</f>
        <v>Аналитическая геометрия и линейная алгебра</v>
      </c>
      <c r="C35" s="65"/>
      <c r="D35" s="65"/>
      <c r="E35" s="65"/>
      <c r="F35" s="65"/>
      <c r="G35" s="65"/>
      <c r="H35" s="65"/>
      <c r="I35" s="65"/>
      <c r="J35" s="66"/>
      <c r="K35" s="66"/>
      <c r="L35" s="66"/>
      <c r="M35" s="97"/>
      <c r="N35" s="98" t="s">
        <v>84</v>
      </c>
      <c r="O35" s="98"/>
      <c r="P35" s="98"/>
      <c r="Q35" s="58" t="n">
        <f aca="false">COUNTIF(O8:O27,"Не успевает")</f>
        <v>0</v>
      </c>
      <c r="R35" s="48"/>
      <c r="S35" s="48"/>
    </row>
    <row r="36" customFormat="false" ht="15.75" hidden="false" customHeight="true" outlineLevel="0" collapsed="false">
      <c r="A36" s="50"/>
      <c r="B36" s="65" t="str">
        <f aca="false">$F$6</f>
        <v>Информатика</v>
      </c>
      <c r="C36" s="65"/>
      <c r="D36" s="65"/>
      <c r="E36" s="65"/>
      <c r="F36" s="65"/>
      <c r="G36" s="65"/>
      <c r="H36" s="65"/>
      <c r="I36" s="65"/>
      <c r="J36" s="66"/>
      <c r="K36" s="66"/>
      <c r="L36" s="66"/>
      <c r="M36" s="97"/>
      <c r="N36" s="98" t="s">
        <v>85</v>
      </c>
      <c r="O36" s="98"/>
      <c r="P36" s="98"/>
      <c r="Q36" s="58" t="n">
        <f aca="false">COUNTIF(Q8:Q27,"Благодарность")</f>
        <v>0</v>
      </c>
      <c r="R36" s="48"/>
      <c r="S36" s="48"/>
    </row>
    <row r="37" customFormat="false" ht="15.75" hidden="false" customHeight="true" outlineLevel="0" collapsed="false">
      <c r="A37" s="50"/>
      <c r="B37" s="65" t="str">
        <f aca="false">$G$6</f>
        <v>Математический анализ</v>
      </c>
      <c r="C37" s="65"/>
      <c r="D37" s="65"/>
      <c r="E37" s="65"/>
      <c r="F37" s="65"/>
      <c r="G37" s="65"/>
      <c r="H37" s="65"/>
      <c r="I37" s="65"/>
      <c r="J37" s="66"/>
      <c r="K37" s="66"/>
      <c r="L37" s="66"/>
      <c r="M37" s="97"/>
      <c r="N37" s="98" t="s">
        <v>86</v>
      </c>
      <c r="O37" s="98"/>
      <c r="P37" s="98"/>
      <c r="Q37" s="58" t="n">
        <f aca="false">COUNTIF(Q8:Q27,"Нормально")</f>
        <v>0</v>
      </c>
      <c r="R37" s="48"/>
      <c r="S37" s="48"/>
    </row>
    <row r="38" customFormat="false" ht="15.75" hidden="false" customHeight="true" outlineLevel="0" collapsed="false">
      <c r="A38" s="50"/>
      <c r="B38" s="65" t="str">
        <f aca="false">$H$6</f>
        <v>Начертательная геометрия</v>
      </c>
      <c r="C38" s="65"/>
      <c r="D38" s="65"/>
      <c r="E38" s="65"/>
      <c r="F38" s="65"/>
      <c r="G38" s="65"/>
      <c r="H38" s="65"/>
      <c r="I38" s="65"/>
      <c r="J38" s="66"/>
      <c r="K38" s="66"/>
      <c r="L38" s="66"/>
      <c r="M38" s="97"/>
      <c r="N38" s="98" t="s">
        <v>87</v>
      </c>
      <c r="O38" s="98"/>
      <c r="P38" s="98"/>
      <c r="Q38" s="58" t="n">
        <f aca="false">COUNTIF(Q8:Q27,"Предупреждение")</f>
        <v>0</v>
      </c>
      <c r="R38" s="48"/>
      <c r="S38" s="48"/>
    </row>
    <row r="39" customFormat="false" ht="15.75" hidden="false" customHeight="true" outlineLevel="0" collapsed="false">
      <c r="A39" s="50"/>
      <c r="B39" s="65" t="str">
        <f aca="false">$I$6</f>
        <v>Инженерная графика</v>
      </c>
      <c r="C39" s="65"/>
      <c r="D39" s="65"/>
      <c r="E39" s="65"/>
      <c r="F39" s="65"/>
      <c r="G39" s="65"/>
      <c r="H39" s="65"/>
      <c r="I39" s="65"/>
      <c r="J39" s="66"/>
      <c r="K39" s="66"/>
      <c r="L39" s="66"/>
      <c r="M39" s="97"/>
      <c r="N39" s="98" t="s">
        <v>88</v>
      </c>
      <c r="O39" s="98"/>
      <c r="P39" s="98"/>
      <c r="Q39" s="58" t="n">
        <f aca="false">COUNTIF(Q8:Q27,"Выговор")</f>
        <v>0</v>
      </c>
      <c r="R39" s="48"/>
      <c r="S39" s="48"/>
    </row>
    <row r="40" customFormat="false" ht="15.75" hidden="false" customHeight="true" outlineLevel="0" collapsed="false">
      <c r="A40" s="50"/>
      <c r="B40" s="65" t="str">
        <f aca="false">$J$6</f>
        <v>Иностранный язык</v>
      </c>
      <c r="C40" s="65"/>
      <c r="D40" s="65"/>
      <c r="E40" s="65"/>
      <c r="F40" s="65"/>
      <c r="G40" s="65"/>
      <c r="H40" s="65"/>
      <c r="I40" s="65"/>
      <c r="J40" s="66"/>
      <c r="K40" s="66"/>
      <c r="L40" s="66"/>
      <c r="M40" s="97"/>
      <c r="N40" s="70" t="s">
        <v>12</v>
      </c>
      <c r="O40" s="70"/>
      <c r="P40" s="70"/>
      <c r="Q40" s="71" t="n">
        <f aca="false">SUM(R8:R27)</f>
        <v>0</v>
      </c>
      <c r="R40" s="48"/>
      <c r="S40" s="48"/>
    </row>
    <row r="41" customFormat="false" ht="15" hidden="false" customHeight="true" outlineLevel="0" collapsed="false">
      <c r="A41" s="50"/>
      <c r="B41" s="65" t="str">
        <f aca="false">$K$6</f>
        <v>Общая химия</v>
      </c>
      <c r="C41" s="65"/>
      <c r="D41" s="65"/>
      <c r="E41" s="65"/>
      <c r="F41" s="65"/>
      <c r="G41" s="65"/>
      <c r="H41" s="65"/>
      <c r="I41" s="65"/>
      <c r="J41" s="66"/>
      <c r="K41" s="66"/>
      <c r="L41" s="66"/>
      <c r="M41" s="97"/>
      <c r="N41" s="64"/>
      <c r="O41" s="64"/>
      <c r="P41" s="64"/>
      <c r="Q41" s="48"/>
      <c r="R41" s="48"/>
      <c r="S41" s="48"/>
    </row>
    <row r="42" customFormat="false" ht="15.75" hidden="false" customHeight="true" outlineLevel="0" collapsed="false">
      <c r="A42" s="50"/>
      <c r="B42" s="65" t="str">
        <f aca="false">$L$6</f>
        <v>Учебно-технологический практикум</v>
      </c>
      <c r="C42" s="65"/>
      <c r="D42" s="65"/>
      <c r="E42" s="65"/>
      <c r="F42" s="65"/>
      <c r="G42" s="65"/>
      <c r="H42" s="65"/>
      <c r="I42" s="65"/>
      <c r="J42" s="66"/>
      <c r="K42" s="66"/>
      <c r="L42" s="66"/>
      <c r="M42" s="97"/>
      <c r="N42" s="99"/>
      <c r="O42" s="99"/>
      <c r="P42" s="69"/>
      <c r="Q42" s="48"/>
      <c r="R42" s="48"/>
      <c r="S42" s="48"/>
    </row>
    <row r="43" customFormat="false" ht="15.75" hidden="false" customHeight="true" outlineLevel="0" collapsed="false">
      <c r="A43" s="50"/>
      <c r="B43" s="65" t="str">
        <f aca="false">$M$6</f>
        <v> Физическая культура и спорт</v>
      </c>
      <c r="C43" s="65"/>
      <c r="D43" s="65"/>
      <c r="E43" s="65"/>
      <c r="F43" s="65"/>
      <c r="G43" s="65"/>
      <c r="H43" s="65"/>
      <c r="I43" s="65"/>
      <c r="J43" s="66"/>
      <c r="K43" s="66"/>
      <c r="L43" s="66"/>
      <c r="M43" s="97"/>
      <c r="N43" s="59"/>
      <c r="O43" s="59"/>
      <c r="P43" s="64"/>
      <c r="Q43" s="48"/>
      <c r="R43" s="48"/>
      <c r="S43" s="48"/>
    </row>
    <row r="44" customFormat="false" ht="15" hidden="false" customHeight="false" outlineLevel="0" collapsed="false">
      <c r="A44" s="50"/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72"/>
      <c r="N44" s="50"/>
      <c r="O44" s="50"/>
      <c r="P44" s="50"/>
      <c r="Q44" s="50"/>
      <c r="R44" s="48"/>
      <c r="S44" s="48"/>
    </row>
    <row r="45" customFormat="false" ht="15.75" hidden="false" customHeight="true" outlineLevel="0" collapsed="false">
      <c r="A45" s="50"/>
      <c r="B45" s="100" t="s">
        <v>140</v>
      </c>
      <c r="C45" s="101" t="s">
        <v>141</v>
      </c>
      <c r="D45" s="101"/>
      <c r="E45" s="67"/>
      <c r="F45" s="52" t="s">
        <v>91</v>
      </c>
      <c r="G45" s="52" t="s">
        <v>142</v>
      </c>
      <c r="H45" s="52"/>
      <c r="I45" s="52"/>
      <c r="J45" s="52"/>
      <c r="K45" s="52"/>
      <c r="L45" s="52"/>
      <c r="M45" s="52"/>
      <c r="N45" s="50"/>
      <c r="O45" s="50"/>
      <c r="P45" s="50"/>
      <c r="Q45" s="50"/>
      <c r="R45" s="48"/>
      <c r="S45" s="48"/>
    </row>
    <row r="46" customFormat="false" ht="15" hidden="false" customHeight="false" outlineLevel="0" collapsed="false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48"/>
      <c r="S46" s="48"/>
    </row>
    <row r="47" customFormat="false" ht="15" hidden="false" customHeight="false" outlineLevel="0" collapsed="false">
      <c r="A47" s="50"/>
      <c r="B47" s="50" t="s">
        <v>93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48"/>
      <c r="S47" s="48"/>
    </row>
    <row r="48" customFormat="false" ht="15" hidden="false" customHeight="false" outlineLevel="0" collapsed="false">
      <c r="A48" s="50"/>
      <c r="B48" s="50" t="s">
        <v>94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48"/>
      <c r="S48" s="48"/>
    </row>
    <row r="49" customFormat="false" ht="15" hidden="false" customHeight="false" outlineLevel="0" collapsed="false">
      <c r="A49" s="50"/>
      <c r="B49" s="50" t="s">
        <v>95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48"/>
      <c r="S49" s="48"/>
    </row>
    <row r="50" customFormat="false" ht="15" hidden="false" customHeight="false" outlineLevel="0" collapsed="false">
      <c r="A50" s="50"/>
      <c r="B50" s="50" t="s">
        <v>96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48"/>
      <c r="S50" s="48"/>
    </row>
    <row r="51" customFormat="false" ht="15" hidden="false" customHeight="false" outlineLevel="0" collapsed="false">
      <c r="B51" s="50" t="s">
        <v>97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</row>
    <row r="52" customFormat="false" ht="15" hidden="false" customHeight="false" outlineLevel="0" collapsed="false">
      <c r="B52" s="50" t="s">
        <v>98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</row>
    <row r="53" customFormat="false" ht="15" hidden="false" customHeight="false" outlineLevel="0" collapsed="false">
      <c r="B53" s="50" t="s">
        <v>99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</row>
  </sheetData>
  <mergeCells count="44">
    <mergeCell ref="E1:H1"/>
    <mergeCell ref="K2:N2"/>
    <mergeCell ref="A3:S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2:I32"/>
    <mergeCell ref="N33:P33"/>
    <mergeCell ref="B34:I34"/>
    <mergeCell ref="J34:L34"/>
    <mergeCell ref="N34:P34"/>
    <mergeCell ref="B35:I35"/>
    <mergeCell ref="J35:L35"/>
    <mergeCell ref="N35:P35"/>
    <mergeCell ref="B36:I36"/>
    <mergeCell ref="J36:L36"/>
    <mergeCell ref="N36:P36"/>
    <mergeCell ref="B37:I37"/>
    <mergeCell ref="J37:L37"/>
    <mergeCell ref="N37:P37"/>
    <mergeCell ref="B38:I38"/>
    <mergeCell ref="J38:L38"/>
    <mergeCell ref="N38:P38"/>
    <mergeCell ref="B39:I39"/>
    <mergeCell ref="J39:L39"/>
    <mergeCell ref="N39:P39"/>
    <mergeCell ref="B40:I40"/>
    <mergeCell ref="J40:L40"/>
    <mergeCell ref="N40:P40"/>
    <mergeCell ref="B41:I41"/>
    <mergeCell ref="J41:L41"/>
    <mergeCell ref="B42:I42"/>
    <mergeCell ref="J42:L42"/>
    <mergeCell ref="B43:I43"/>
    <mergeCell ref="J43:L43"/>
    <mergeCell ref="C45:D45"/>
  </mergeCells>
  <conditionalFormatting sqref="G1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8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6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6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8:H18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3:M13 J11:M12 K10:M10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9:M9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8:M28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M8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7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F8 E17:H17 E14:F16 E13:H13 E9:H9 E10:I12 E18:F27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4:M15 J10 G16 I17:M18 J16:M16 G19:M27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S41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Y15" activeCellId="0" sqref="Y15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10.29"/>
    <col collapsed="false" customWidth="true" hidden="false" outlineLevel="0" max="3" min="3" style="0" width="18.86"/>
    <col collapsed="false" customWidth="true" hidden="false" outlineLevel="0" max="6" min="5" style="0" width="10"/>
    <col collapsed="false" customWidth="false" hidden="false" outlineLevel="0" max="13" min="13" style="45" width="9.14"/>
    <col collapsed="false" customWidth="true" hidden="false" outlineLevel="0" max="15" min="15" style="0" width="11"/>
    <col collapsed="false" customWidth="true" hidden="false" outlineLevel="0" max="18" min="18" style="0" width="8.15"/>
    <col collapsed="false" customWidth="true" hidden="false" outlineLevel="0" max="19" min="19" style="0" width="6.57"/>
    <col collapsed="false" customWidth="true" hidden="false" outlineLevel="0" max="20" min="20" style="0" width="3.57"/>
    <col collapsed="false" customWidth="true" hidden="false" outlineLevel="0" max="21" min="21" style="0" width="3.71"/>
    <col collapsed="false" customWidth="true" hidden="false" outlineLevel="0" max="22" min="22" style="0" width="3.86"/>
    <col collapsed="false" customWidth="true" hidden="false" outlineLevel="0" max="23" min="23" style="0" width="4.86"/>
    <col collapsed="false" customWidth="true" hidden="false" outlineLevel="0" max="24" min="24" style="0" width="4.29"/>
    <col collapsed="false" customWidth="true" hidden="false" outlineLevel="0" max="25" min="25" style="0" width="4.14"/>
    <col collapsed="false" customWidth="true" hidden="false" outlineLevel="0" max="26" min="26" style="0" width="3.86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K2" s="5" t="s">
        <v>1</v>
      </c>
      <c r="L2" s="5"/>
      <c r="M2" s="5"/>
      <c r="N2" s="5"/>
      <c r="O2" s="75" t="n">
        <f aca="false">set!B4</f>
        <v>45608</v>
      </c>
      <c r="P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ИУК1-19Б факультета ИУК МГТУ им. Н.Э. Баумана"</f>
        <v>Успеваемость студентов за 1 семестр 24/25 учебного года по группе ИУК1-19Б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1" t="s">
        <v>7</v>
      </c>
      <c r="I5" s="11"/>
      <c r="J5" s="11"/>
      <c r="K5" s="11"/>
      <c r="L5" s="11"/>
      <c r="M5" s="11"/>
      <c r="N5" s="11"/>
      <c r="O5" s="12" t="s">
        <v>8</v>
      </c>
      <c r="P5" s="13" t="s">
        <v>9</v>
      </c>
      <c r="Q5" s="13" t="s">
        <v>10</v>
      </c>
      <c r="R5" s="14" t="s">
        <v>11</v>
      </c>
      <c r="S5" s="14" t="s">
        <v>12</v>
      </c>
    </row>
    <row r="6" customFormat="false" ht="104.25" hidden="false" customHeight="true" outlineLevel="0" collapsed="false">
      <c r="A6" s="8"/>
      <c r="B6" s="8"/>
      <c r="C6" s="8"/>
      <c r="D6" s="9"/>
      <c r="E6" s="15" t="s">
        <v>13</v>
      </c>
      <c r="F6" s="16" t="s">
        <v>14</v>
      </c>
      <c r="G6" s="16" t="s">
        <v>15</v>
      </c>
      <c r="H6" s="15" t="s">
        <v>17</v>
      </c>
      <c r="I6" s="16" t="s">
        <v>143</v>
      </c>
      <c r="J6" s="16" t="s">
        <v>144</v>
      </c>
      <c r="K6" s="16" t="s">
        <v>19</v>
      </c>
      <c r="L6" s="16" t="s">
        <v>145</v>
      </c>
      <c r="M6" s="17" t="s">
        <v>146</v>
      </c>
      <c r="N6" s="18" t="s">
        <v>147</v>
      </c>
      <c r="O6" s="12"/>
      <c r="P6" s="13"/>
      <c r="Q6" s="13"/>
      <c r="R6" s="14"/>
      <c r="S6" s="14"/>
    </row>
    <row r="7" customFormat="false" ht="17.9" hidden="false" customHeight="false" outlineLevel="0" collapsed="false">
      <c r="A7" s="8"/>
      <c r="B7" s="8"/>
      <c r="C7" s="8"/>
      <c r="D7" s="9"/>
      <c r="E7" s="19" t="s">
        <v>22</v>
      </c>
      <c r="F7" s="20" t="s">
        <v>23</v>
      </c>
      <c r="G7" s="20" t="s">
        <v>24</v>
      </c>
      <c r="H7" s="22" t="s">
        <v>148</v>
      </c>
      <c r="I7" s="23" t="s">
        <v>27</v>
      </c>
      <c r="J7" s="23" t="s">
        <v>149</v>
      </c>
      <c r="K7" s="23" t="s">
        <v>150</v>
      </c>
      <c r="L7" s="23" t="s">
        <v>151</v>
      </c>
      <c r="M7" s="102" t="s">
        <v>151</v>
      </c>
      <c r="N7" s="24" t="s">
        <v>30</v>
      </c>
      <c r="O7" s="12"/>
      <c r="P7" s="13"/>
      <c r="Q7" s="13"/>
      <c r="R7" s="14"/>
      <c r="S7" s="14"/>
    </row>
    <row r="8" customFormat="false" ht="15" hidden="false" customHeight="true" outlineLevel="0" collapsed="false">
      <c r="A8" s="25" t="n">
        <v>1</v>
      </c>
      <c r="B8" s="25" t="s">
        <v>152</v>
      </c>
      <c r="C8" s="103" t="s">
        <v>153</v>
      </c>
      <c r="D8" s="104"/>
      <c r="E8" s="105"/>
      <c r="F8" s="106"/>
      <c r="G8" s="106"/>
      <c r="H8" s="107"/>
      <c r="I8" s="108"/>
      <c r="J8" s="109"/>
      <c r="K8" s="109"/>
      <c r="L8" s="109"/>
      <c r="M8" s="108"/>
      <c r="N8" s="110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35" t="str">
        <f aca="false">IF(D8&lt;&gt;"",(30*(set!B$5)-D8)/(30*(set!B$5))*100,"")</f>
        <v/>
      </c>
      <c r="R8" s="84" t="str">
        <f aca="false">IF(E8&lt;&gt;"",IF(O8&lt;1.85,"Выговор",IF(AND(O8&gt;1.85,O8&lt;3),"Предупреждение",IF(AND(O8&gt;3,O8&lt;=4.65),"Нормально",IF(AND(O8&gt;4.65,O8&lt;5.1,MIN(E8:N8)&gt;=4),"Благодарность","Нормально")))),"")</f>
        <v/>
      </c>
      <c r="S8" s="36" t="n">
        <f aca="false">COUNTIF(E8:N8,2)+COUNTIF(E8:N8,1)+COUNTIF(E8:N8,0)</f>
        <v>0</v>
      </c>
    </row>
    <row r="9" customFormat="false" ht="15" hidden="false" customHeight="true" outlineLevel="0" collapsed="false">
      <c r="A9" s="85" t="n">
        <v>2</v>
      </c>
      <c r="B9" s="37" t="s">
        <v>154</v>
      </c>
      <c r="C9" s="85" t="s">
        <v>155</v>
      </c>
      <c r="D9" s="111"/>
      <c r="E9" s="112"/>
      <c r="F9" s="113"/>
      <c r="G9" s="113"/>
      <c r="H9" s="114"/>
      <c r="I9" s="113"/>
      <c r="J9" s="115"/>
      <c r="K9" s="115"/>
      <c r="L9" s="115"/>
      <c r="M9" s="113"/>
      <c r="N9" s="116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35" t="str">
        <f aca="false">IF(D9&lt;&gt;"",(30*(set!B$5)-D9)/(30*(set!B$5))*100,"")</f>
        <v/>
      </c>
      <c r="R9" s="117" t="str">
        <f aca="false">IF(E9&lt;&gt;"",IF(O9&lt;1.85,"Выговор",IF(AND(O9&gt;1.85,O9&lt;3),"Предупреждение",IF(AND(O9&gt;3,O9&lt;=4.65),"Нормально",IF(AND(O9&gt;4.65,O9&lt;5.1,MIN(E9:N9)&gt;=4),"Благодарность","Нормально")))),"")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85" t="n">
        <v>3</v>
      </c>
      <c r="B10" s="37" t="s">
        <v>156</v>
      </c>
      <c r="C10" s="85" t="s">
        <v>157</v>
      </c>
      <c r="D10" s="111"/>
      <c r="E10" s="112"/>
      <c r="F10" s="113"/>
      <c r="G10" s="113"/>
      <c r="H10" s="114"/>
      <c r="I10" s="113"/>
      <c r="J10" s="115"/>
      <c r="K10" s="115"/>
      <c r="L10" s="115"/>
      <c r="M10" s="113"/>
      <c r="N10" s="116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35" t="str">
        <f aca="false">IF(D10&lt;&gt;"",(30*(set!B$5)-D10)/(30*(set!B$5))*100,"")</f>
        <v/>
      </c>
      <c r="R10" s="117" t="str">
        <f aca="false">IF(E10&lt;&gt;"",IF(O10&lt;1.85,"Выговор",IF(AND(O10&gt;1.85,O10&lt;3),"Предупреждение",IF(AND(O10&gt;3,O10&lt;=4.65),"Нормально",IF(AND(O10&gt;4.65,O10&lt;5.1,MIN(E10:N10)&gt;=4),"Благодарность","Нормально")))),"")</f>
        <v/>
      </c>
      <c r="S10" s="118" t="n">
        <f aca="false">COUNTIF(E10:N10,2)+COUNTIF(E10:N10,1)+COUNTIF(E10:N10,0)</f>
        <v>0</v>
      </c>
    </row>
    <row r="11" s="45" customFormat="true" ht="15" hidden="false" customHeight="true" outlineLevel="0" collapsed="false">
      <c r="A11" s="85" t="n">
        <v>4</v>
      </c>
      <c r="B11" s="37" t="s">
        <v>158</v>
      </c>
      <c r="C11" s="85" t="s">
        <v>159</v>
      </c>
      <c r="D11" s="119"/>
      <c r="E11" s="112"/>
      <c r="F11" s="113"/>
      <c r="G11" s="113"/>
      <c r="H11" s="114"/>
      <c r="I11" s="113"/>
      <c r="J11" s="115"/>
      <c r="K11" s="115"/>
      <c r="L11" s="115"/>
      <c r="M11" s="113"/>
      <c r="N11" s="116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35" t="str">
        <f aca="false">IF(D11&lt;&gt;"",(30*(set!B$5)-D11)/(30*(set!B$5))*100,"")</f>
        <v/>
      </c>
      <c r="R11" s="117" t="str">
        <f aca="false">IF(E11&lt;&gt;"",IF(O11&lt;1.85,"Выговор",IF(AND(O11&gt;1.85,O11&lt;3),"Предупреждение",IF(AND(O11&gt;3,O11&lt;=4.65),"Нормально",IF(AND(O11&gt;4.65,O11&lt;5.1,MIN(E11:N11)&gt;=4),"Благодарность","Нормально")))),"")</f>
        <v/>
      </c>
      <c r="S11" s="118" t="n">
        <f aca="false">COUNTIF(E11:N11,2)+COUNTIF(E11:N11,1)+COUNTIF(E11:N11,0)</f>
        <v>0</v>
      </c>
    </row>
    <row r="12" customFormat="false" ht="15" hidden="false" customHeight="true" outlineLevel="0" collapsed="false">
      <c r="A12" s="85" t="n">
        <v>5</v>
      </c>
      <c r="B12" s="37" t="s">
        <v>160</v>
      </c>
      <c r="C12" s="85" t="s">
        <v>161</v>
      </c>
      <c r="D12" s="119"/>
      <c r="E12" s="112"/>
      <c r="F12" s="113"/>
      <c r="G12" s="113"/>
      <c r="H12" s="114"/>
      <c r="I12" s="113"/>
      <c r="J12" s="115"/>
      <c r="K12" s="115"/>
      <c r="L12" s="115"/>
      <c r="M12" s="113"/>
      <c r="N12" s="116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35" t="str">
        <f aca="false">IF(D12&lt;&gt;"",(30*(set!B$5)-D12)/(30*(set!B$5))*100,"")</f>
        <v/>
      </c>
      <c r="R12" s="117" t="str">
        <f aca="false">IF(E12&lt;&gt;"",IF(O12&lt;1.85,"Выговор",IF(AND(O12&gt;1.85,O12&lt;3),"Предупреждение",IF(AND(O12&gt;3,O12&lt;=4.65),"Нормально",IF(AND(O12&gt;4.65,O12&lt;5.1,MIN(E12:N12)&gt;=4),"Благодарность","Нормально")))),"")</f>
        <v/>
      </c>
      <c r="S12" s="118" t="n">
        <f aca="false">COUNTIF(E12:N12,2)+COUNTIF(E12:N12,1)+COUNTIF(E12:N12,0)</f>
        <v>0</v>
      </c>
    </row>
    <row r="13" customFormat="false" ht="15" hidden="false" customHeight="true" outlineLevel="0" collapsed="false">
      <c r="A13" s="0" t="s">
        <v>77</v>
      </c>
      <c r="D13" s="94"/>
      <c r="E13" s="95" t="e">
        <f aca="false">ROUND(AVERAGE(E8:E12),1)</f>
        <v>#DIV/0!</v>
      </c>
      <c r="F13" s="95" t="e">
        <f aca="false">ROUND(AVERAGE(F8:F12),1)</f>
        <v>#DIV/0!</v>
      </c>
      <c r="G13" s="95" t="e">
        <f aca="false">ROUND(AVERAGE(G8:G12),1)</f>
        <v>#DIV/0!</v>
      </c>
      <c r="H13" s="95" t="e">
        <f aca="false">ROUND(AVERAGE(H8:H12),1)</f>
        <v>#DIV/0!</v>
      </c>
      <c r="I13" s="95" t="e">
        <f aca="false">ROUND(AVERAGE(I8:I12),1)</f>
        <v>#DIV/0!</v>
      </c>
      <c r="J13" s="95" t="e">
        <f aca="false">ROUND(AVERAGE(J8:J12),1)</f>
        <v>#DIV/0!</v>
      </c>
      <c r="K13" s="95" t="e">
        <f aca="false">ROUND(AVERAGE(K8:K12),1)</f>
        <v>#DIV/0!</v>
      </c>
      <c r="L13" s="95" t="e">
        <f aca="false">ROUND(AVERAGE(L8:L12),1)</f>
        <v>#DIV/0!</v>
      </c>
      <c r="M13" s="95" t="e">
        <f aca="false">ROUND(AVERAGE(M8:M12),1)</f>
        <v>#DIV/0!</v>
      </c>
      <c r="N13" s="95" t="e">
        <f aca="false">ROUND(AVERAGE(N8:N12),1)</f>
        <v>#DIV/0!</v>
      </c>
      <c r="O13" s="48"/>
      <c r="P13" s="48"/>
      <c r="Q13" s="48"/>
      <c r="R13" s="48"/>
    </row>
    <row r="14" customFormat="false" ht="15" hidden="false" customHeight="true" outlineLevel="0" collapsed="false">
      <c r="A14" s="0" t="s">
        <v>78</v>
      </c>
      <c r="E14" s="49" t="e">
        <f aca="false">(COUNTIF(E8:E12,5)+COUNTIF(E8:E12,4)+COUNTIF(E8:E12,3))/$R$19*100</f>
        <v>#DIV/0!</v>
      </c>
      <c r="F14" s="49" t="e">
        <f aca="false">(COUNTIF(F8:F12,5)+COUNTIF(F8:F12,4)+COUNTIF(F8:F12,3))/$R$19*100</f>
        <v>#DIV/0!</v>
      </c>
      <c r="G14" s="49" t="e">
        <f aca="false">(COUNTIF(G8:G12,5)+COUNTIF(G8:G12,4)+COUNTIF(G8:G12,3))/$R$19*100</f>
        <v>#DIV/0!</v>
      </c>
      <c r="H14" s="49" t="e">
        <f aca="false">(COUNTIF(H8:H12,5)+COUNTIF(H8:H12,4)+COUNTIF(H8:H12,3))/$R$19*100</f>
        <v>#DIV/0!</v>
      </c>
      <c r="I14" s="49" t="e">
        <f aca="false">(COUNTIF(I8:I12,5)+COUNTIF(I8:I12,4)+COUNTIF(I8:I12,3))/$R$19*100</f>
        <v>#DIV/0!</v>
      </c>
      <c r="J14" s="49" t="e">
        <f aca="false">(COUNTIF(J8:J12,5)+COUNTIF(J8:J12,4)+COUNTIF(J8:J12,3))/$R$19*100</f>
        <v>#DIV/0!</v>
      </c>
      <c r="K14" s="49" t="e">
        <f aca="false">(COUNTIF(K8:K12,5)+COUNTIF(K8:K12,4)+COUNTIF(K8:K12,3))/$R$19*100</f>
        <v>#DIV/0!</v>
      </c>
      <c r="L14" s="49" t="e">
        <f aca="false">(COUNTIF(L8:L12,5)+COUNTIF(L8:L12,4)+COUNTIF(L8:L12,3))/$R$19*100</f>
        <v>#DIV/0!</v>
      </c>
      <c r="M14" s="49" t="e">
        <f aca="false">(COUNTIF(M8:M12,5)+COUNTIF(M8:M12,4)+COUNTIF(M8:M12,3))/$R$19*100</f>
        <v>#DIV/0!</v>
      </c>
      <c r="N14" s="49" t="e">
        <f aca="false">(COUNTIF(N8:N12,5)+COUNTIF(N8:N12,4)+COUNTIF(N8:N12,3))/$R$19*100</f>
        <v>#DIV/0!</v>
      </c>
      <c r="O14" s="48"/>
      <c r="P14" s="48"/>
      <c r="Q14" s="48"/>
      <c r="R14" s="48"/>
    </row>
    <row r="15" customFormat="false" ht="15" hidden="false" customHeight="true" outlineLevel="0" collapsed="false"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</row>
    <row r="16" customFormat="false" ht="15" hidden="false" customHeight="true" outlineLevel="0" collapsed="false"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8"/>
      <c r="P16" s="48"/>
      <c r="Q16" s="48"/>
      <c r="R16" s="48"/>
      <c r="S16" s="48"/>
    </row>
    <row r="17" customFormat="false" ht="15" hidden="false" customHeight="true" outlineLevel="0" collapsed="false">
      <c r="B17" s="50"/>
      <c r="C17" s="50" t="s">
        <v>8</v>
      </c>
      <c r="D17" s="51" t="str">
        <f aca="false">IFERROR(AVERAGE(O8:O12),"")</f>
        <v/>
      </c>
      <c r="E17" s="45" t="s">
        <v>9</v>
      </c>
      <c r="F17" s="52"/>
      <c r="G17" s="52" t="str">
        <f aca="false">IFERROR(COUNTIF(O8:O12,"Успевает")/Q34*100,"")</f>
        <v/>
      </c>
      <c r="H17" s="54" t="s">
        <v>79</v>
      </c>
      <c r="I17" s="54"/>
      <c r="J17" s="55" t="str">
        <f aca="false">IFERROR(AVERAGE(Q8:Q12),"")</f>
        <v/>
      </c>
      <c r="K17" s="52"/>
      <c r="L17" s="52"/>
      <c r="M17" s="52"/>
      <c r="N17" s="52"/>
      <c r="O17" s="52"/>
      <c r="P17" s="52"/>
      <c r="Q17" s="52"/>
      <c r="R17" s="48"/>
      <c r="S17" s="48"/>
    </row>
    <row r="18" customFormat="false" ht="15" hidden="false" customHeight="true" outlineLevel="0" collapsed="false">
      <c r="B18" s="50"/>
      <c r="C18" s="50"/>
      <c r="D18" s="50"/>
      <c r="E18" s="56"/>
      <c r="F18" s="56"/>
      <c r="G18" s="56"/>
      <c r="H18" s="56"/>
      <c r="I18" s="56"/>
      <c r="J18" s="56"/>
      <c r="K18" s="56"/>
      <c r="L18" s="56"/>
      <c r="M18" s="56"/>
      <c r="R18" s="60"/>
      <c r="S18" s="48"/>
    </row>
    <row r="19" customFormat="false" ht="15" hidden="false" customHeight="true" outlineLevel="0" collapsed="false">
      <c r="A19" s="50"/>
      <c r="B19" s="61" t="s">
        <v>81</v>
      </c>
      <c r="C19" s="61"/>
      <c r="D19" s="61"/>
      <c r="E19" s="61"/>
      <c r="F19" s="61"/>
      <c r="G19" s="61"/>
      <c r="H19" s="61"/>
      <c r="I19" s="61"/>
      <c r="J19" s="61" t="s">
        <v>82</v>
      </c>
      <c r="K19" s="61"/>
      <c r="L19" s="61"/>
      <c r="M19" s="120"/>
      <c r="O19" s="57" t="s">
        <v>80</v>
      </c>
      <c r="P19" s="57"/>
      <c r="Q19" s="57"/>
      <c r="R19" s="58" t="n">
        <f aca="false">SUM(R20:R21)</f>
        <v>0</v>
      </c>
      <c r="S19" s="48"/>
    </row>
    <row r="20" customFormat="false" ht="15" hidden="false" customHeight="true" outlineLevel="0" collapsed="false">
      <c r="A20" s="50"/>
      <c r="B20" s="65" t="str">
        <f aca="false">$E$6</f>
        <v>Аналитическая геометрия и линейная алгебра</v>
      </c>
      <c r="C20" s="65"/>
      <c r="D20" s="65"/>
      <c r="E20" s="65"/>
      <c r="F20" s="65"/>
      <c r="G20" s="65"/>
      <c r="H20" s="65"/>
      <c r="I20" s="65"/>
      <c r="J20" s="121"/>
      <c r="K20" s="121"/>
      <c r="L20" s="121"/>
      <c r="M20" s="122"/>
      <c r="O20" s="57" t="s">
        <v>83</v>
      </c>
      <c r="P20" s="57"/>
      <c r="Q20" s="57"/>
      <c r="R20" s="58" t="n">
        <f aca="false">COUNTIF(P8:P12,"Успевает")</f>
        <v>0</v>
      </c>
      <c r="S20" s="48"/>
    </row>
    <row r="21" customFormat="false" ht="15" hidden="false" customHeight="true" outlineLevel="0" collapsed="false">
      <c r="A21" s="50"/>
      <c r="B21" s="65" t="str">
        <f aca="false">$F$6</f>
        <v>Информатика</v>
      </c>
      <c r="C21" s="65"/>
      <c r="D21" s="65"/>
      <c r="E21" s="65"/>
      <c r="F21" s="65"/>
      <c r="G21" s="65"/>
      <c r="H21" s="65"/>
      <c r="I21" s="65"/>
      <c r="J21" s="121"/>
      <c r="K21" s="121"/>
      <c r="L21" s="121"/>
      <c r="M21" s="122"/>
      <c r="O21" s="98" t="s">
        <v>84</v>
      </c>
      <c r="P21" s="98"/>
      <c r="Q21" s="98"/>
      <c r="R21" s="58" t="n">
        <f aca="false">COUNTIF(P8:P12,"Не успевает")</f>
        <v>0</v>
      </c>
      <c r="S21" s="48"/>
    </row>
    <row r="22" customFormat="false" ht="15" hidden="false" customHeight="true" outlineLevel="0" collapsed="false">
      <c r="A22" s="50"/>
      <c r="B22" s="65" t="str">
        <f aca="false">$G$6</f>
        <v>Математический анализ</v>
      </c>
      <c r="C22" s="65"/>
      <c r="D22" s="65"/>
      <c r="E22" s="65"/>
      <c r="F22" s="65"/>
      <c r="G22" s="65"/>
      <c r="H22" s="65"/>
      <c r="I22" s="65"/>
      <c r="J22" s="121"/>
      <c r="K22" s="121"/>
      <c r="L22" s="121"/>
      <c r="M22" s="122"/>
      <c r="O22" s="98" t="s">
        <v>85</v>
      </c>
      <c r="P22" s="98"/>
      <c r="Q22" s="98"/>
      <c r="R22" s="58" t="n">
        <f aca="false">COUNTIF(R8:R12,"Благодарность")</f>
        <v>0</v>
      </c>
      <c r="S22" s="48"/>
    </row>
    <row r="23" customFormat="false" ht="15" hidden="false" customHeight="true" outlineLevel="0" collapsed="false">
      <c r="A23" s="50"/>
      <c r="B23" s="65" t="str">
        <f aca="false">$H$6</f>
        <v>Инженерная графика</v>
      </c>
      <c r="C23" s="65"/>
      <c r="D23" s="65"/>
      <c r="E23" s="65"/>
      <c r="F23" s="65"/>
      <c r="G23" s="65"/>
      <c r="H23" s="65"/>
      <c r="I23" s="65"/>
      <c r="J23" s="121"/>
      <c r="K23" s="121"/>
      <c r="L23" s="121"/>
      <c r="M23" s="122"/>
      <c r="O23" s="98" t="s">
        <v>86</v>
      </c>
      <c r="P23" s="98"/>
      <c r="Q23" s="98"/>
      <c r="R23" s="58" t="n">
        <f aca="false">COUNTIF(R8:R12,"Нормально")</f>
        <v>0</v>
      </c>
      <c r="S23" s="48"/>
    </row>
    <row r="24" customFormat="false" ht="15" hidden="false" customHeight="true" outlineLevel="0" collapsed="false">
      <c r="A24" s="50"/>
      <c r="B24" s="65" t="str">
        <f aca="false">$I$6</f>
        <v> Иностранный язык</v>
      </c>
      <c r="C24" s="65"/>
      <c r="D24" s="65"/>
      <c r="E24" s="65"/>
      <c r="F24" s="65"/>
      <c r="G24" s="65"/>
      <c r="H24" s="65"/>
      <c r="I24" s="65"/>
      <c r="J24" s="121"/>
      <c r="K24" s="121"/>
      <c r="L24" s="121"/>
      <c r="M24" s="122"/>
      <c r="O24" s="98" t="s">
        <v>87</v>
      </c>
      <c r="P24" s="98"/>
      <c r="Q24" s="98"/>
      <c r="R24" s="58" t="n">
        <f aca="false">COUNTIF(R8:R12,"Предупреждение")</f>
        <v>0</v>
      </c>
      <c r="S24" s="48"/>
    </row>
    <row r="25" customFormat="false" ht="15" hidden="false" customHeight="true" outlineLevel="0" collapsed="false">
      <c r="A25" s="50"/>
      <c r="B25" s="65" t="str">
        <f aca="false">$J$6</f>
        <v> История России</v>
      </c>
      <c r="C25" s="65"/>
      <c r="D25" s="65"/>
      <c r="E25" s="65"/>
      <c r="F25" s="65"/>
      <c r="G25" s="65"/>
      <c r="H25" s="65"/>
      <c r="I25" s="65"/>
      <c r="J25" s="121"/>
      <c r="K25" s="121"/>
      <c r="L25" s="121"/>
      <c r="M25" s="122"/>
      <c r="O25" s="98" t="s">
        <v>88</v>
      </c>
      <c r="P25" s="98"/>
      <c r="Q25" s="98"/>
      <c r="R25" s="58" t="n">
        <f aca="false">COUNTIF(R8:R12,"Выговор")</f>
        <v>0</v>
      </c>
      <c r="S25" s="48"/>
    </row>
    <row r="26" customFormat="false" ht="15" hidden="false" customHeight="true" outlineLevel="0" collapsed="false">
      <c r="A26" s="50"/>
      <c r="B26" s="65" t="str">
        <f aca="false">$K$6</f>
        <v>Общая химия</v>
      </c>
      <c r="C26" s="65"/>
      <c r="D26" s="65"/>
      <c r="E26" s="65"/>
      <c r="F26" s="65"/>
      <c r="G26" s="65"/>
      <c r="H26" s="65"/>
      <c r="I26" s="65"/>
      <c r="J26" s="121"/>
      <c r="K26" s="121"/>
      <c r="L26" s="121"/>
      <c r="M26" s="122"/>
      <c r="N26" s="64"/>
      <c r="O26" s="70" t="s">
        <v>12</v>
      </c>
      <c r="P26" s="70"/>
      <c r="Q26" s="70"/>
      <c r="R26" s="71" t="n">
        <f aca="false">SUM(S8:S12)</f>
        <v>0</v>
      </c>
      <c r="S26" s="48"/>
    </row>
    <row r="27" customFormat="false" ht="15" hidden="false" customHeight="true" outlineLevel="0" collapsed="false">
      <c r="A27" s="50"/>
      <c r="B27" s="65" t="str">
        <f aca="false">$L$6</f>
        <v> Общевоинские уставы Вооруженных Сил
Российской Федерации</v>
      </c>
      <c r="C27" s="65"/>
      <c r="D27" s="65"/>
      <c r="E27" s="65"/>
      <c r="F27" s="65"/>
      <c r="G27" s="65"/>
      <c r="H27" s="65"/>
      <c r="I27" s="65"/>
      <c r="J27" s="121"/>
      <c r="K27" s="121"/>
      <c r="L27" s="121"/>
      <c r="M27" s="122"/>
      <c r="N27" s="99"/>
      <c r="O27" s="99"/>
      <c r="P27" s="69"/>
      <c r="Q27" s="48"/>
      <c r="R27" s="48"/>
      <c r="S27" s="48"/>
    </row>
    <row r="28" customFormat="false" ht="15" hidden="false" customHeight="true" outlineLevel="0" collapsed="false">
      <c r="A28" s="50"/>
      <c r="B28" s="65" t="str">
        <f aca="false">$M$6</f>
        <v> Радиационная, химическая и биологическая защита</v>
      </c>
      <c r="C28" s="65"/>
      <c r="D28" s="65"/>
      <c r="E28" s="65"/>
      <c r="F28" s="65"/>
      <c r="G28" s="65"/>
      <c r="H28" s="65"/>
      <c r="I28" s="65"/>
      <c r="J28" s="121"/>
      <c r="K28" s="121"/>
      <c r="L28" s="121"/>
      <c r="M28" s="122"/>
      <c r="N28" s="59"/>
      <c r="S28" s="48"/>
    </row>
    <row r="29" customFormat="false" ht="15" hidden="false" customHeight="true" outlineLevel="0" collapsed="false">
      <c r="A29" s="50"/>
      <c r="B29" s="65" t="str">
        <f aca="false">$N$6</f>
        <v>Физическая культура и спорт</v>
      </c>
      <c r="C29" s="65"/>
      <c r="D29" s="65"/>
      <c r="E29" s="65"/>
      <c r="F29" s="65"/>
      <c r="G29" s="65"/>
      <c r="H29" s="65"/>
      <c r="I29" s="65"/>
      <c r="J29" s="121"/>
      <c r="K29" s="121"/>
      <c r="L29" s="121"/>
      <c r="M29" s="122"/>
      <c r="N29" s="50"/>
      <c r="S29" s="48"/>
    </row>
    <row r="30" customFormat="false" ht="15" hidden="false" customHeight="true" outlineLevel="0" collapsed="false">
      <c r="A30" s="50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50"/>
      <c r="S30" s="48"/>
    </row>
    <row r="31" customFormat="false" ht="15" hidden="false" customHeight="true" outlineLevel="0" collapsed="false">
      <c r="A31" s="50"/>
      <c r="B31" s="100" t="s">
        <v>140</v>
      </c>
      <c r="C31" s="123" t="s">
        <v>162</v>
      </c>
      <c r="D31" s="5"/>
      <c r="E31" s="67"/>
      <c r="F31" s="67"/>
      <c r="G31" s="52" t="s">
        <v>91</v>
      </c>
      <c r="H31" s="52" t="s">
        <v>163</v>
      </c>
      <c r="I31" s="52"/>
      <c r="J31" s="52"/>
      <c r="K31" s="52"/>
      <c r="L31" s="50"/>
      <c r="M31" s="50"/>
      <c r="N31" s="50"/>
      <c r="S31" s="48"/>
    </row>
    <row r="32" customFormat="false" ht="15" hidden="false" customHeight="true" outlineLevel="0" collapsed="false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S32" s="48"/>
    </row>
    <row r="33" customFormat="false" ht="15" hidden="false" customHeight="true" outlineLevel="0" collapsed="false">
      <c r="A33" s="50"/>
      <c r="B33" s="50" t="s">
        <v>93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S33" s="48"/>
    </row>
    <row r="34" customFormat="false" ht="15" hidden="false" customHeight="true" outlineLevel="0" collapsed="false">
      <c r="A34" s="50"/>
      <c r="B34" s="50" t="s">
        <v>94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S34" s="48"/>
    </row>
    <row r="35" customFormat="false" ht="15" hidden="false" customHeight="true" outlineLevel="0" collapsed="false">
      <c r="A35" s="50"/>
      <c r="B35" s="50" t="s">
        <v>95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S35" s="48"/>
    </row>
    <row r="36" customFormat="false" ht="15" hidden="false" customHeight="true" outlineLevel="0" collapsed="false">
      <c r="A36" s="50"/>
      <c r="B36" s="50" t="s">
        <v>96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48"/>
      <c r="S36" s="48"/>
    </row>
    <row r="37" customFormat="false" ht="15" hidden="false" customHeight="true" outlineLevel="0" collapsed="false">
      <c r="A37" s="50"/>
      <c r="B37" s="50" t="s">
        <v>97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48"/>
      <c r="S37" s="48"/>
    </row>
    <row r="38" customFormat="false" ht="15" hidden="false" customHeight="true" outlineLevel="0" collapsed="false">
      <c r="B38" s="50" t="s">
        <v>98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</row>
    <row r="39" customFormat="false" ht="15" hidden="false" customHeight="true" outlineLevel="0" collapsed="false">
      <c r="B39" s="50" t="s">
        <v>99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</row>
    <row r="40" customFormat="false" ht="15" hidden="false" customHeight="true" outlineLevel="0" collapsed="false"/>
    <row r="41" customFormat="false" ht="15" hidden="false" customHeight="true" outlineLevel="0" collapsed="false"/>
  </sheetData>
  <mergeCells count="45">
    <mergeCell ref="E1:H1"/>
    <mergeCell ref="K2:N2"/>
    <mergeCell ref="A3:S3"/>
    <mergeCell ref="A5:A7"/>
    <mergeCell ref="B5:B7"/>
    <mergeCell ref="C5:C7"/>
    <mergeCell ref="D5:D7"/>
    <mergeCell ref="E5:G5"/>
    <mergeCell ref="H5:N5"/>
    <mergeCell ref="O5:O7"/>
    <mergeCell ref="P5:P7"/>
    <mergeCell ref="Q5:Q7"/>
    <mergeCell ref="R5:R7"/>
    <mergeCell ref="S5:S7"/>
    <mergeCell ref="H17:I17"/>
    <mergeCell ref="B19:I19"/>
    <mergeCell ref="J19:L19"/>
    <mergeCell ref="O19:Q19"/>
    <mergeCell ref="B20:I20"/>
    <mergeCell ref="J20:L20"/>
    <mergeCell ref="O20:Q20"/>
    <mergeCell ref="B21:I21"/>
    <mergeCell ref="J21:L21"/>
    <mergeCell ref="O21:Q21"/>
    <mergeCell ref="B22:I22"/>
    <mergeCell ref="J22:L22"/>
    <mergeCell ref="O22:Q22"/>
    <mergeCell ref="B23:I23"/>
    <mergeCell ref="J23:L23"/>
    <mergeCell ref="O23:Q23"/>
    <mergeCell ref="B24:I24"/>
    <mergeCell ref="J24:L24"/>
    <mergeCell ref="O24:Q24"/>
    <mergeCell ref="B25:I25"/>
    <mergeCell ref="J25:L25"/>
    <mergeCell ref="O25:Q25"/>
    <mergeCell ref="B26:I26"/>
    <mergeCell ref="J26:L26"/>
    <mergeCell ref="O26:Q26"/>
    <mergeCell ref="B27:I27"/>
    <mergeCell ref="J27:L27"/>
    <mergeCell ref="B28:I28"/>
    <mergeCell ref="J28:L28"/>
    <mergeCell ref="B29:I29"/>
    <mergeCell ref="J29:L29"/>
  </mergeCells>
  <conditionalFormatting sqref="O8:O12 E13:N1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N1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S60"/>
  <sheetViews>
    <sheetView showFormulas="false" showGridLines="true" showRowColHeaders="true" showZeros="true" rightToLeft="false" tabSelected="false" showOutlineSymbols="true" defaultGridColor="true" view="normal" topLeftCell="A8" colorId="64" zoomScale="140" zoomScaleNormal="140" zoomScalePageLayoutView="100" workbookViewId="0">
      <selection pane="topLeft" activeCell="C22" activeCellId="0" sqref="C22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4.71"/>
    <col collapsed="false" customWidth="true" hidden="false" outlineLevel="0" max="2" min="2" style="0" width="10.14"/>
    <col collapsed="false" customWidth="true" hidden="false" outlineLevel="0" max="3" min="3" style="0" width="15.42"/>
    <col collapsed="false" customWidth="true" hidden="false" outlineLevel="0" max="4" min="4" style="0" width="5.57"/>
    <col collapsed="false" customWidth="false" hidden="false" outlineLevel="0" max="8" min="8" style="45" width="8.71"/>
    <col collapsed="false" customWidth="true" hidden="false" outlineLevel="0" max="12" min="12" style="0" width="9.42"/>
    <col collapsed="false" customWidth="true" hidden="false" outlineLevel="0" max="15" min="15" style="0" width="10.71"/>
    <col collapsed="false" customWidth="true" hidden="false" outlineLevel="0" max="16" min="16" style="0" width="9"/>
    <col collapsed="false" customWidth="true" hidden="false" outlineLevel="0" max="17" min="17" style="0" width="10.29"/>
    <col collapsed="false" customWidth="true" hidden="false" outlineLevel="0" max="18" min="18" style="0" width="14"/>
    <col collapsed="false" customWidth="true" hidden="false" outlineLevel="0" max="19" min="19" style="0" width="10.29"/>
    <col collapsed="false" customWidth="true" hidden="false" outlineLevel="0" max="20" min="20" style="0" width="5.57"/>
    <col collapsed="false" customWidth="true" hidden="false" outlineLevel="0" max="21" min="21" style="0" width="5.86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1"/>
      <c r="J1" s="2" t="n">
        <f aca="false">set!B1</f>
        <v>2</v>
      </c>
      <c r="K1" s="3"/>
    </row>
    <row r="2" customFormat="false" ht="15" hidden="false" customHeight="false" outlineLevel="0" collapsed="false">
      <c r="I2" s="4"/>
      <c r="M2" s="5" t="s">
        <v>1</v>
      </c>
      <c r="N2" s="5"/>
      <c r="O2" s="5"/>
      <c r="P2" s="5"/>
      <c r="Q2" s="75" t="n">
        <f aca="false">set!B4</f>
        <v>45608</v>
      </c>
      <c r="R2" s="72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ИУК1-31Б факультета ИУК МГТУ им. Н.Э. Баумана"</f>
        <v>Успеваемость студентов за 1 семестр 24/25 учебного года по группе ИУК1-31Б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0"/>
      <c r="J5" s="11" t="s">
        <v>7</v>
      </c>
      <c r="K5" s="11"/>
      <c r="L5" s="11"/>
      <c r="M5" s="11"/>
      <c r="N5" s="11"/>
      <c r="O5" s="12" t="s">
        <v>8</v>
      </c>
      <c r="P5" s="13" t="s">
        <v>9</v>
      </c>
      <c r="Q5" s="13" t="s">
        <v>10</v>
      </c>
      <c r="R5" s="14" t="s">
        <v>11</v>
      </c>
      <c r="S5" s="14" t="s">
        <v>12</v>
      </c>
    </row>
    <row r="6" customFormat="false" ht="135" hidden="false" customHeight="true" outlineLevel="0" collapsed="false">
      <c r="A6" s="8"/>
      <c r="B6" s="8"/>
      <c r="C6" s="8"/>
      <c r="D6" s="9"/>
      <c r="E6" s="15" t="s">
        <v>144</v>
      </c>
      <c r="F6" s="16" t="s">
        <v>164</v>
      </c>
      <c r="G6" s="16" t="s">
        <v>165</v>
      </c>
      <c r="H6" s="17" t="s">
        <v>166</v>
      </c>
      <c r="I6" s="17" t="s">
        <v>167</v>
      </c>
      <c r="J6" s="15" t="s">
        <v>168</v>
      </c>
      <c r="K6" s="16" t="s">
        <v>18</v>
      </c>
      <c r="L6" s="16" t="s">
        <v>169</v>
      </c>
      <c r="M6" s="16" t="s">
        <v>170</v>
      </c>
      <c r="N6" s="18" t="s">
        <v>147</v>
      </c>
      <c r="O6" s="12"/>
      <c r="P6" s="13"/>
      <c r="Q6" s="13"/>
      <c r="R6" s="14"/>
      <c r="S6" s="14"/>
    </row>
    <row r="7" customFormat="false" ht="17.9" hidden="false" customHeight="false" outlineLevel="0" collapsed="false">
      <c r="A7" s="8"/>
      <c r="B7" s="8"/>
      <c r="C7" s="8"/>
      <c r="D7" s="9"/>
      <c r="E7" s="22" t="s">
        <v>149</v>
      </c>
      <c r="F7" s="23" t="s">
        <v>171</v>
      </c>
      <c r="G7" s="23" t="s">
        <v>22</v>
      </c>
      <c r="H7" s="102" t="s">
        <v>171</v>
      </c>
      <c r="I7" s="102" t="s">
        <v>172</v>
      </c>
      <c r="J7" s="22" t="s">
        <v>173</v>
      </c>
      <c r="K7" s="23" t="s">
        <v>27</v>
      </c>
      <c r="L7" s="23" t="s">
        <v>174</v>
      </c>
      <c r="M7" s="23" t="s">
        <v>175</v>
      </c>
      <c r="N7" s="24" t="s">
        <v>176</v>
      </c>
      <c r="O7" s="12"/>
      <c r="P7" s="13"/>
      <c r="Q7" s="13"/>
      <c r="R7" s="14"/>
      <c r="S7" s="14"/>
    </row>
    <row r="8" customFormat="false" ht="15" hidden="false" customHeight="true" outlineLevel="0" collapsed="false">
      <c r="A8" s="25" t="n">
        <v>1</v>
      </c>
      <c r="B8" s="25" t="s">
        <v>177</v>
      </c>
      <c r="C8" s="25" t="s">
        <v>178</v>
      </c>
      <c r="D8" s="124"/>
      <c r="E8" s="81"/>
      <c r="F8" s="82"/>
      <c r="G8" s="82"/>
      <c r="H8" s="125"/>
      <c r="I8" s="125"/>
      <c r="J8" s="81"/>
      <c r="K8" s="82"/>
      <c r="L8" s="82"/>
      <c r="M8" s="82"/>
      <c r="N8" s="126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35" t="str">
        <f aca="false">IF(D8&lt;&gt;"",(30*(set!B$5)-D8)/(30*(set!B$5))*100,"")</f>
        <v/>
      </c>
      <c r="R8" s="77" t="str">
        <f aca="false">IF(E8&lt;&gt;"",IF(O8&lt;1.85,"Выговор",IF(AND(O8&gt;1.85,O8&lt;3),"Предупреждение",IF(AND(O8&gt;3,O8&lt;=4.65),"Нормально",IF(AND(O8&gt;4.65,O8&lt;5.1,MIN(E8:N8)&gt;=4),"Благодарность","Нормально")))),"")</f>
        <v/>
      </c>
      <c r="S8" s="77" t="n">
        <f aca="false">COUNTIF(E8:N8,2)+COUNTIF(E8:N8,1)+COUNTIF(E8:N8,0)</f>
        <v>0</v>
      </c>
    </row>
    <row r="9" customFormat="false" ht="15" hidden="false" customHeight="true" outlineLevel="0" collapsed="false">
      <c r="A9" s="85" t="n">
        <v>2</v>
      </c>
      <c r="B9" s="37" t="s">
        <v>179</v>
      </c>
      <c r="C9" s="37" t="s">
        <v>180</v>
      </c>
      <c r="D9" s="43"/>
      <c r="E9" s="86"/>
      <c r="F9" s="87"/>
      <c r="G9" s="87"/>
      <c r="H9" s="88"/>
      <c r="I9" s="88"/>
      <c r="J9" s="86"/>
      <c r="K9" s="87"/>
      <c r="L9" s="87"/>
      <c r="M9" s="87"/>
      <c r="N9" s="127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35" t="str">
        <f aca="false">IF(D9&lt;&gt;"",(30*(set!B$5)-D9)/(30*(set!B$5))*100,"")</f>
        <v/>
      </c>
      <c r="R9" s="77" t="str">
        <f aca="false">IF(E9&lt;&gt;"",IF(O9&lt;1.85,"Выговор",IF(AND(O9&gt;1.85,O9&lt;3),"Предупреждение",IF(AND(O9&gt;3,O9&lt;=4.65),"Нормально",IF(AND(O9&gt;4.65,O9&lt;5.1,MIN(E9:N9)&gt;=4),"Благодарность","Нормально")))),"")</f>
        <v/>
      </c>
      <c r="S9" s="77" t="n">
        <f aca="false">COUNTIF(E9:N9,2)+COUNTIF(E9:N9,1)+COUNTIF(E9:N9,0)</f>
        <v>0</v>
      </c>
    </row>
    <row r="10" customFormat="false" ht="15" hidden="false" customHeight="true" outlineLevel="0" collapsed="false">
      <c r="A10" s="37" t="n">
        <v>3</v>
      </c>
      <c r="B10" s="37" t="s">
        <v>181</v>
      </c>
      <c r="C10" s="37" t="s">
        <v>182</v>
      </c>
      <c r="D10" s="43"/>
      <c r="E10" s="86"/>
      <c r="F10" s="87"/>
      <c r="G10" s="87"/>
      <c r="H10" s="88"/>
      <c r="I10" s="88"/>
      <c r="J10" s="86"/>
      <c r="K10" s="87"/>
      <c r="L10" s="87"/>
      <c r="M10" s="87"/>
      <c r="N10" s="127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35" t="str">
        <f aca="false">IF(D10&lt;&gt;"",(30*(set!B$5)-D10)/(30*(set!B$5))*100,"")</f>
        <v/>
      </c>
      <c r="R10" s="77" t="str">
        <f aca="false">IF(E10&lt;&gt;"",IF(O10&lt;1.85,"Выговор",IF(AND(O10&gt;1.85,O10&lt;3),"Предупреждение",IF(AND(O10&gt;3,O10&lt;=4.65),"Нормально",IF(AND(O10&gt;4.65,O10&lt;5.1,MIN(E10:N10)&gt;=4),"Благодарность","Нормально")))),"")</f>
        <v/>
      </c>
      <c r="S10" s="77" t="n">
        <f aca="false">COUNTIF(E10:N10,2)+COUNTIF(E10:N10,1)+COUNTIF(E10:N10,0)</f>
        <v>0</v>
      </c>
    </row>
    <row r="11" customFormat="false" ht="15" hidden="false" customHeight="true" outlineLevel="0" collapsed="false">
      <c r="A11" s="85" t="n">
        <v>4</v>
      </c>
      <c r="B11" s="37" t="s">
        <v>183</v>
      </c>
      <c r="C11" s="37" t="s">
        <v>184</v>
      </c>
      <c r="D11" s="43"/>
      <c r="E11" s="86"/>
      <c r="F11" s="87"/>
      <c r="G11" s="87"/>
      <c r="H11" s="88"/>
      <c r="I11" s="88"/>
      <c r="J11" s="86"/>
      <c r="K11" s="87"/>
      <c r="L11" s="87"/>
      <c r="M11" s="87"/>
      <c r="N11" s="127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35" t="str">
        <f aca="false">IF(D11&lt;&gt;"",(30*(set!B$5)-D11)/(30*(set!B$5))*100,"")</f>
        <v/>
      </c>
      <c r="R11" s="77" t="str">
        <f aca="false">IF(E11&lt;&gt;"",IF(O11&lt;1.85,"Выговор",IF(AND(O11&gt;1.85,O11&lt;3),"Предупреждение",IF(AND(O11&gt;3,O11&lt;=4.65),"Нормально",IF(AND(O11&gt;4.65,O11&lt;5.1,MIN(E11:N11)&gt;=4),"Благодарность","Нормально")))),"")</f>
        <v/>
      </c>
      <c r="S11" s="77" t="n">
        <f aca="false">COUNTIF(E11:N11,2)+COUNTIF(E11:N11,1)+COUNTIF(E11:N11,0)</f>
        <v>0</v>
      </c>
    </row>
    <row r="12" customFormat="false" ht="15" hidden="false" customHeight="true" outlineLevel="0" collapsed="false">
      <c r="A12" s="37" t="n">
        <v>5</v>
      </c>
      <c r="B12" s="37" t="s">
        <v>185</v>
      </c>
      <c r="C12" s="37" t="s">
        <v>186</v>
      </c>
      <c r="D12" s="43"/>
      <c r="E12" s="86"/>
      <c r="F12" s="87"/>
      <c r="G12" s="87"/>
      <c r="H12" s="88"/>
      <c r="I12" s="88"/>
      <c r="J12" s="86"/>
      <c r="K12" s="87"/>
      <c r="L12" s="87"/>
      <c r="M12" s="87"/>
      <c r="N12" s="127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35" t="str">
        <f aca="false">IF(D12&lt;&gt;"",(30*(set!B$5)-D12)/(30*(set!B$5))*100,"")</f>
        <v/>
      </c>
      <c r="R12" s="77" t="str">
        <f aca="false">IF(E12&lt;&gt;"",IF(O12&lt;1.85,"Выговор",IF(AND(O12&gt;1.85,O12&lt;3),"Предупреждение",IF(AND(O12&gt;3,O12&lt;=4.65),"Нормально",IF(AND(O12&gt;4.65,O12&lt;5.1,MIN(E12:N12)&gt;=4),"Благодарность","Нормально")))),"")</f>
        <v/>
      </c>
      <c r="S12" s="77" t="n">
        <f aca="false">COUNTIF(E12:N12,2)+COUNTIF(E12:N12,1)+COUNTIF(E12:N12,0)</f>
        <v>0</v>
      </c>
    </row>
    <row r="13" customFormat="false" ht="15" hidden="false" customHeight="true" outlineLevel="0" collapsed="false">
      <c r="A13" s="85" t="n">
        <v>6</v>
      </c>
      <c r="B13" s="37" t="s">
        <v>187</v>
      </c>
      <c r="C13" s="37" t="s">
        <v>188</v>
      </c>
      <c r="D13" s="43"/>
      <c r="E13" s="86"/>
      <c r="F13" s="87"/>
      <c r="G13" s="87"/>
      <c r="H13" s="88"/>
      <c r="I13" s="88"/>
      <c r="J13" s="86"/>
      <c r="K13" s="87"/>
      <c r="L13" s="87"/>
      <c r="M13" s="87"/>
      <c r="N13" s="127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35" t="str">
        <f aca="false">IF(D13&lt;&gt;"",(30*(set!B$5)-D13)/(30*(set!B$5))*100,"")</f>
        <v/>
      </c>
      <c r="R13" s="77" t="str">
        <f aca="false">IF(E13&lt;&gt;"",IF(O13&lt;1.85,"Выговор",IF(AND(O13&gt;1.85,O13&lt;3),"Предупреждение",IF(AND(O13&gt;3,O13&lt;=4.65),"Нормально",IF(AND(O13&gt;4.65,O13&lt;5.1,MIN(E13:N13)&gt;=4),"Благодарность","Нормально")))),"")</f>
        <v/>
      </c>
      <c r="S13" s="77" t="n">
        <f aca="false">COUNTIF(E13:N13,2)+COUNTIF(E13:N13,1)+COUNTIF(E13:N13,0)</f>
        <v>0</v>
      </c>
    </row>
    <row r="14" customFormat="false" ht="15" hidden="false" customHeight="true" outlineLevel="0" collapsed="false">
      <c r="A14" s="37" t="n">
        <v>7</v>
      </c>
      <c r="B14" s="37" t="s">
        <v>189</v>
      </c>
      <c r="C14" s="37" t="s">
        <v>190</v>
      </c>
      <c r="D14" s="43"/>
      <c r="E14" s="86"/>
      <c r="F14" s="87"/>
      <c r="G14" s="87"/>
      <c r="H14" s="88"/>
      <c r="I14" s="88"/>
      <c r="J14" s="86"/>
      <c r="K14" s="87"/>
      <c r="L14" s="87"/>
      <c r="M14" s="87"/>
      <c r="N14" s="127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35" t="str">
        <f aca="false">IF(D14&lt;&gt;"",(30*(set!B$5)-D14)/(30*(set!B$5))*100,"")</f>
        <v/>
      </c>
      <c r="R14" s="77" t="str">
        <f aca="false">IF(E14&lt;&gt;"",IF(O14&lt;1.85,"Выговор",IF(AND(O14&gt;1.85,O14&lt;3),"Предупреждение",IF(AND(O14&gt;3,O14&lt;=4.65),"Нормально",IF(AND(O14&gt;4.65,O14&lt;5.1,MIN(E14:N14)&gt;=4),"Благодарность","Нормально")))),"")</f>
        <v/>
      </c>
      <c r="S14" s="77" t="n">
        <f aca="false">COUNTIF(E14:N14,2)+COUNTIF(E14:N14,1)+COUNTIF(E14:N14,0)</f>
        <v>0</v>
      </c>
    </row>
    <row r="15" customFormat="false" ht="15" hidden="false" customHeight="true" outlineLevel="0" collapsed="false">
      <c r="A15" s="37" t="n">
        <v>8</v>
      </c>
      <c r="B15" s="37" t="s">
        <v>191</v>
      </c>
      <c r="C15" s="37" t="s">
        <v>192</v>
      </c>
      <c r="D15" s="43"/>
      <c r="E15" s="86"/>
      <c r="F15" s="87"/>
      <c r="G15" s="87"/>
      <c r="H15" s="88"/>
      <c r="I15" s="88"/>
      <c r="J15" s="86"/>
      <c r="K15" s="87"/>
      <c r="L15" s="87"/>
      <c r="M15" s="87"/>
      <c r="N15" s="127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35" t="str">
        <f aca="false">IF(D15&lt;&gt;"",(30*(set!B$5)-D15)/(30*(set!B$5))*100,"")</f>
        <v/>
      </c>
      <c r="R15" s="77" t="str">
        <f aca="false">IF(E15&lt;&gt;"",IF(O15&lt;1.85,"Выговор",IF(AND(O15&gt;1.85,O15&lt;3),"Предупреждение",IF(AND(O15&gt;3,O15&lt;=4.65),"Нормально",IF(AND(O15&gt;4.65,O15&lt;5.1,MIN(E15:N15)&gt;=4),"Благодарность","Нормально")))),"")</f>
        <v/>
      </c>
      <c r="S15" s="77" t="n">
        <f aca="false">COUNTIF(E15:N15,2)+COUNTIF(E15:N15,1)+COUNTIF(E15:N15,0)</f>
        <v>0</v>
      </c>
    </row>
    <row r="16" customFormat="false" ht="15" hidden="false" customHeight="true" outlineLevel="0" collapsed="false">
      <c r="A16" s="37" t="n">
        <v>9</v>
      </c>
      <c r="B16" s="37" t="s">
        <v>193</v>
      </c>
      <c r="C16" s="37" t="s">
        <v>194</v>
      </c>
      <c r="D16" s="43"/>
      <c r="E16" s="86"/>
      <c r="F16" s="87"/>
      <c r="G16" s="87"/>
      <c r="H16" s="88"/>
      <c r="I16" s="88"/>
      <c r="J16" s="86"/>
      <c r="K16" s="87"/>
      <c r="L16" s="87"/>
      <c r="M16" s="87"/>
      <c r="N16" s="127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35" t="str">
        <f aca="false">IF(D16&lt;&gt;"",(30*(set!B$5)-D16)/(30*(set!B$5))*100,"")</f>
        <v/>
      </c>
      <c r="R16" s="77" t="str">
        <f aca="false">IF(E16&lt;&gt;"",IF(O16&lt;1.85,"Выговор",IF(AND(O16&gt;1.85,O16&lt;3),"Предупреждение",IF(AND(O16&gt;3,O16&lt;=4.65),"Нормально",IF(AND(O16&gt;4.65,O16&lt;5.1,MIN(E16:N16)&gt;=4),"Благодарность","Нормально")))),"")</f>
        <v/>
      </c>
      <c r="S16" s="77" t="n">
        <f aca="false">COUNTIF(E16:N16,2)+COUNTIF(E16:N16,1)+COUNTIF(E16:N16,0)</f>
        <v>0</v>
      </c>
    </row>
    <row r="17" customFormat="false" ht="15" hidden="false" customHeight="true" outlineLevel="0" collapsed="false">
      <c r="A17" s="85" t="n">
        <v>10</v>
      </c>
      <c r="B17" s="37" t="s">
        <v>195</v>
      </c>
      <c r="C17" s="37" t="s">
        <v>196</v>
      </c>
      <c r="D17" s="43"/>
      <c r="E17" s="86"/>
      <c r="F17" s="87"/>
      <c r="G17" s="87"/>
      <c r="H17" s="88"/>
      <c r="I17" s="88"/>
      <c r="J17" s="86"/>
      <c r="K17" s="87"/>
      <c r="L17" s="87"/>
      <c r="M17" s="87"/>
      <c r="N17" s="127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35" t="str">
        <f aca="false">IF(D17&lt;&gt;"",(30*(set!B$5)-D17)/(30*(set!B$5))*100,"")</f>
        <v/>
      </c>
      <c r="R17" s="77" t="str">
        <f aca="false">IF(E17&lt;&gt;"",IF(O17&lt;1.85,"Выговор",IF(AND(O17&gt;1.85,O17&lt;3),"Предупреждение",IF(AND(O17&gt;3,O17&lt;=4.65),"Нормально",IF(AND(O17&gt;4.65,O17&lt;5.1,MIN(E17:N17)&gt;=4),"Благодарность","Нормально")))),"")</f>
        <v/>
      </c>
      <c r="S17" s="77" t="n">
        <f aca="false">COUNTIF(E17:N17,2)+COUNTIF(E17:N17,1)+COUNTIF(E17:N17,0)</f>
        <v>0</v>
      </c>
    </row>
    <row r="18" customFormat="false" ht="15" hidden="false" customHeight="true" outlineLevel="0" collapsed="false">
      <c r="A18" s="37" t="n">
        <v>11</v>
      </c>
      <c r="B18" s="37" t="s">
        <v>197</v>
      </c>
      <c r="C18" s="37" t="s">
        <v>198</v>
      </c>
      <c r="D18" s="43"/>
      <c r="E18" s="128"/>
      <c r="F18" s="92"/>
      <c r="G18" s="87"/>
      <c r="H18" s="88"/>
      <c r="I18" s="88"/>
      <c r="J18" s="86"/>
      <c r="K18" s="92"/>
      <c r="L18" s="92"/>
      <c r="M18" s="87"/>
      <c r="N18" s="127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35" t="str">
        <f aca="false">IF(D18&lt;&gt;"",(30*(set!B$5)-D18)/(30*(set!B$5))*100,"")</f>
        <v/>
      </c>
      <c r="R18" s="77" t="str">
        <f aca="false">IF(E18&lt;&gt;"",IF(O18&lt;1.85,"Выговор",IF(AND(O18&gt;1.85,O18&lt;3),"Предупреждение",IF(AND(O18&gt;3,O18&lt;=4.65),"Нормально",IF(AND(O18&gt;4.65,O18&lt;5.1,MIN(E18:N18)&gt;=4),"Благодарность","Нормально")))),"")</f>
        <v/>
      </c>
      <c r="S18" s="77" t="n">
        <f aca="false">COUNTIF(E18:N18,2)+COUNTIF(E18:N18,1)+COUNTIF(E18:N18,0)</f>
        <v>0</v>
      </c>
    </row>
    <row r="19" customFormat="false" ht="15" hidden="false" customHeight="true" outlineLevel="0" collapsed="false">
      <c r="A19" s="85" t="n">
        <v>12</v>
      </c>
      <c r="B19" s="37" t="s">
        <v>199</v>
      </c>
      <c r="C19" s="37" t="s">
        <v>200</v>
      </c>
      <c r="D19" s="43"/>
      <c r="E19" s="86"/>
      <c r="F19" s="87"/>
      <c r="G19" s="87"/>
      <c r="H19" s="88"/>
      <c r="I19" s="88"/>
      <c r="J19" s="128"/>
      <c r="K19" s="92"/>
      <c r="L19" s="92"/>
      <c r="M19" s="87"/>
      <c r="N19" s="127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35" t="str">
        <f aca="false">IF(D19&lt;&gt;"",(30*(set!B$5)-D19)/(30*(set!B$5))*100,"")</f>
        <v/>
      </c>
      <c r="R19" s="77" t="str">
        <f aca="false">IF(E19&lt;&gt;"",IF(O19&lt;1.85,"Выговор",IF(AND(O19&gt;1.85,O19&lt;3),"Предупреждение",IF(AND(O19&gt;3,O19&lt;=4.65),"Нормально",IF(AND(O19&gt;4.65,O19&lt;5.1,MIN(E19:N19)&gt;=4),"Благодарность","Нормально")))),"")</f>
        <v/>
      </c>
      <c r="S19" s="77" t="n">
        <f aca="false">COUNTIF(E19:N19,2)+COUNTIF(E19:N19,1)+COUNTIF(E19:N19,0)</f>
        <v>0</v>
      </c>
    </row>
    <row r="20" customFormat="false" ht="15" hidden="false" customHeight="true" outlineLevel="0" collapsed="false">
      <c r="A20" s="37" t="n">
        <v>13</v>
      </c>
      <c r="B20" s="37" t="s">
        <v>201</v>
      </c>
      <c r="C20" s="37" t="s">
        <v>202</v>
      </c>
      <c r="D20" s="43"/>
      <c r="E20" s="86"/>
      <c r="F20" s="87"/>
      <c r="G20" s="87"/>
      <c r="H20" s="88"/>
      <c r="I20" s="88"/>
      <c r="J20" s="86"/>
      <c r="K20" s="87"/>
      <c r="L20" s="87"/>
      <c r="M20" s="87"/>
      <c r="N20" s="127"/>
      <c r="O20" s="33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35" t="str">
        <f aca="false">IF(D20&lt;&gt;"",(30*(set!B$5)-D20)/(30*(set!B$5))*100,"")</f>
        <v/>
      </c>
      <c r="R20" s="77" t="str">
        <f aca="false">IF(E20&lt;&gt;"",IF(O20&lt;1.85,"Выговор",IF(AND(O20&gt;1.85,O20&lt;3),"Предупреждение",IF(AND(O20&gt;3,O20&lt;=4.65),"Нормально",IF(AND(O20&gt;4.65,O20&lt;5.1,MIN(E20:N20)&gt;=4),"Благодарность","Нормально")))),"")</f>
        <v/>
      </c>
      <c r="S20" s="77" t="n">
        <f aca="false">COUNTIF(E20:N20,2)+COUNTIF(E20:N20,1)+COUNTIF(E20:N20,0)</f>
        <v>0</v>
      </c>
    </row>
    <row r="21" customFormat="false" ht="15" hidden="false" customHeight="true" outlineLevel="0" collapsed="false">
      <c r="A21" s="85" t="n">
        <v>14</v>
      </c>
      <c r="B21" s="37" t="s">
        <v>203</v>
      </c>
      <c r="C21" s="37" t="s">
        <v>204</v>
      </c>
      <c r="D21" s="43"/>
      <c r="E21" s="86"/>
      <c r="F21" s="87"/>
      <c r="G21" s="87"/>
      <c r="H21" s="88"/>
      <c r="I21" s="88"/>
      <c r="J21" s="86"/>
      <c r="K21" s="87"/>
      <c r="L21" s="87"/>
      <c r="M21" s="87"/>
      <c r="N21" s="127"/>
      <c r="O21" s="33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35" t="str">
        <f aca="false">IF(D21&lt;&gt;"",(30*(set!B$5)-D21)/(30*(set!B$5))*100,"")</f>
        <v/>
      </c>
      <c r="R21" s="77" t="str">
        <f aca="false">IF(E21&lt;&gt;"",IF(O21&lt;1.85,"Выговор",IF(AND(O21&gt;1.85,O21&lt;3),"Предупреждение",IF(AND(O21&gt;3,O21&lt;=4.65),"Нормально",IF(AND(O21&gt;4.65,O21&lt;5.1,MIN(E21:N21)&gt;=4),"Благодарность","Нормально")))),"")</f>
        <v/>
      </c>
      <c r="S21" s="77" t="n">
        <f aca="false">COUNTIF(E21:N21,2)+COUNTIF(E21:N21,1)+COUNTIF(E21:N21,0)</f>
        <v>0</v>
      </c>
    </row>
    <row r="22" s="45" customFormat="true" ht="15" hidden="false" customHeight="true" outlineLevel="0" collapsed="false">
      <c r="A22" s="37" t="n">
        <v>15</v>
      </c>
      <c r="B22" s="37" t="s">
        <v>205</v>
      </c>
      <c r="C22" s="37" t="s">
        <v>206</v>
      </c>
      <c r="D22" s="129"/>
      <c r="E22" s="130"/>
      <c r="F22" s="131"/>
      <c r="G22" s="131"/>
      <c r="H22" s="132"/>
      <c r="I22" s="132"/>
      <c r="J22" s="86"/>
      <c r="K22" s="87"/>
      <c r="L22" s="87"/>
      <c r="M22" s="87"/>
      <c r="N22" s="127"/>
      <c r="O22" s="33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35" t="str">
        <f aca="false">IF(D22&lt;&gt;"",(30*(set!B$5)-D22)/(30*(set!B$5))*100,"")</f>
        <v/>
      </c>
      <c r="R22" s="77" t="str">
        <f aca="false">IF(E22&lt;&gt;"",IF(O22&lt;1.85,"Выговор",IF(AND(O22&gt;1.85,O22&lt;3),"Предупреждение",IF(AND(O22&gt;3,O22&lt;=4.65),"Нормально",IF(AND(O22&gt;4.65,O22&lt;5.1,MIN(E22:N22)&gt;=4),"Благодарность","Нормально")))),"")</f>
        <v/>
      </c>
      <c r="S22" s="77" t="n">
        <f aca="false">COUNTIF(E22:N22,2)+COUNTIF(E22:N22,1)+COUNTIF(E22:N22,0)</f>
        <v>0</v>
      </c>
    </row>
    <row r="23" s="45" customFormat="true" ht="15" hidden="false" customHeight="true" outlineLevel="0" collapsed="false">
      <c r="A23" s="37" t="n">
        <v>16</v>
      </c>
      <c r="B23" s="37" t="s">
        <v>207</v>
      </c>
      <c r="C23" s="37" t="s">
        <v>208</v>
      </c>
      <c r="D23" s="129"/>
      <c r="E23" s="130"/>
      <c r="F23" s="131"/>
      <c r="G23" s="131"/>
      <c r="H23" s="132"/>
      <c r="I23" s="132"/>
      <c r="J23" s="86"/>
      <c r="K23" s="87"/>
      <c r="L23" s="87"/>
      <c r="M23" s="87"/>
      <c r="N23" s="127"/>
      <c r="O23" s="33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35" t="str">
        <f aca="false">IF(D23&lt;&gt;"",(30*(set!B$5)-D23)/(30*(set!B$5))*100,"")</f>
        <v/>
      </c>
      <c r="R23" s="77" t="str">
        <f aca="false">IF(E23&lt;&gt;"",IF(O23&lt;1.85,"Выговор",IF(AND(O23&gt;1.85,O23&lt;3),"Предупреждение",IF(AND(O23&gt;3,O23&lt;=4.65),"Нормально",IF(AND(O23&gt;4.65,O23&lt;5.1,MIN(E23:N23)&gt;=4),"Благодарность","Нормально")))),"")</f>
        <v/>
      </c>
      <c r="S23" s="77" t="n">
        <f aca="false">COUNTIF(E23:N23,2)+COUNTIF(E23:N23,1)+COUNTIF(E23:N23,0)</f>
        <v>0</v>
      </c>
    </row>
    <row r="24" s="45" customFormat="true" ht="15" hidden="false" customHeight="true" outlineLevel="0" collapsed="false">
      <c r="A24" s="37" t="n">
        <v>17</v>
      </c>
      <c r="B24" s="37" t="s">
        <v>209</v>
      </c>
      <c r="C24" s="37" t="s">
        <v>210</v>
      </c>
      <c r="D24" s="43"/>
      <c r="E24" s="86"/>
      <c r="F24" s="87"/>
      <c r="G24" s="87"/>
      <c r="H24" s="88"/>
      <c r="I24" s="88"/>
      <c r="J24" s="128"/>
      <c r="K24" s="92"/>
      <c r="L24" s="92"/>
      <c r="M24" s="87"/>
      <c r="N24" s="127"/>
      <c r="O24" s="33" t="str">
        <f aca="false">IFERROR(AVERAGE(E24:N24),"")</f>
        <v/>
      </c>
      <c r="P24" s="84" t="str">
        <f aca="false">IF(E24&lt;&gt;"",IF(COUNTIF(E24:N24,"&lt;3"),"Не успевает","Успевает"),"")</f>
        <v/>
      </c>
      <c r="Q24" s="35" t="str">
        <f aca="false">IF(D24&lt;&gt;"",(30*(set!B$5)-D24)/(30*(set!B$5))*100,"")</f>
        <v/>
      </c>
      <c r="R24" s="77" t="str">
        <f aca="false">IF(E24&lt;&gt;"",IF(O24&lt;1.85,"Выговор",IF(AND(O24&gt;1.85,O24&lt;3),"Предупреждение",IF(AND(O24&gt;3,O24&lt;=4.65),"Нормально",IF(AND(O24&gt;4.65,O24&lt;5.1,MIN(E24:N24)&gt;=4),"Благодарность","Нормально")))),"")</f>
        <v/>
      </c>
      <c r="S24" s="77" t="n">
        <f aca="false">COUNTIF(E24:N24,2)+COUNTIF(E24:N24,1)+COUNTIF(E24:N24,0)</f>
        <v>0</v>
      </c>
    </row>
    <row r="25" s="45" customFormat="true" ht="15" hidden="false" customHeight="true" outlineLevel="0" collapsed="false">
      <c r="A25" s="37" t="n">
        <v>18</v>
      </c>
      <c r="B25" s="37" t="s">
        <v>211</v>
      </c>
      <c r="C25" s="37" t="s">
        <v>212</v>
      </c>
      <c r="D25" s="43"/>
      <c r="E25" s="86"/>
      <c r="F25" s="87"/>
      <c r="G25" s="87"/>
      <c r="H25" s="88"/>
      <c r="I25" s="88"/>
      <c r="J25" s="86"/>
      <c r="K25" s="87"/>
      <c r="L25" s="87"/>
      <c r="M25" s="87"/>
      <c r="N25" s="127"/>
      <c r="O25" s="33" t="str">
        <f aca="false">IFERROR(AVERAGE(E25:N25),"")</f>
        <v/>
      </c>
      <c r="P25" s="84" t="str">
        <f aca="false">IF(E25&lt;&gt;"",IF(COUNTIF(E25:N25,"&lt;3"),"Не успевает","Успевает"),"")</f>
        <v/>
      </c>
      <c r="Q25" s="35" t="str">
        <f aca="false">IF(D25&lt;&gt;"",(30*(set!B$5)-D25)/(30*(set!B$5))*100,"")</f>
        <v/>
      </c>
      <c r="R25" s="77" t="str">
        <f aca="false">IF(E25&lt;&gt;"",IF(O25&lt;1.85,"Выговор",IF(AND(O25&gt;1.85,O25&lt;3),"Предупреждение",IF(AND(O25&gt;3,O25&lt;=4.65),"Нормально",IF(AND(O25&gt;4.65,O25&lt;5.1,MIN(E25:N25)&gt;=4),"Благодарность","Нормально")))),"")</f>
        <v/>
      </c>
      <c r="S25" s="77" t="n">
        <f aca="false">COUNTIF(E25:N25,2)+COUNTIF(E25:N25,1)+COUNTIF(E25:N25,0)</f>
        <v>0</v>
      </c>
    </row>
    <row r="26" s="45" customFormat="true" ht="15" hidden="false" customHeight="true" outlineLevel="0" collapsed="false">
      <c r="A26" s="37" t="n">
        <v>19</v>
      </c>
      <c r="B26" s="37" t="s">
        <v>213</v>
      </c>
      <c r="C26" s="37" t="s">
        <v>214</v>
      </c>
      <c r="D26" s="43"/>
      <c r="E26" s="86"/>
      <c r="F26" s="87"/>
      <c r="G26" s="87"/>
      <c r="H26" s="88"/>
      <c r="I26" s="88"/>
      <c r="J26" s="86"/>
      <c r="K26" s="87"/>
      <c r="L26" s="87"/>
      <c r="M26" s="87"/>
      <c r="N26" s="127"/>
      <c r="O26" s="33" t="str">
        <f aca="false">IFERROR(AVERAGE(E26:N26),"")</f>
        <v/>
      </c>
      <c r="P26" s="84" t="str">
        <f aca="false">IF(E26&lt;&gt;"",IF(COUNTIF(E26:N26,"&lt;3"),"Не успевает","Успевает"),"")</f>
        <v/>
      </c>
      <c r="Q26" s="35" t="str">
        <f aca="false">IF(D26&lt;&gt;"",(30*(set!B$5)-D26)/(30*(set!B$5))*100,"")</f>
        <v/>
      </c>
      <c r="R26" s="77" t="str">
        <f aca="false">IF(E26&lt;&gt;"",IF(O26&lt;1.85,"Выговор",IF(AND(O26&gt;1.85,O26&lt;3),"Предупреждение",IF(AND(O26&gt;3,O26&lt;=4.65),"Нормально",IF(AND(O26&gt;4.65,O26&lt;5.1,MIN(E26:N26)&gt;=4),"Благодарность","Нормально")))),"")</f>
        <v/>
      </c>
      <c r="S26" s="77" t="n">
        <f aca="false">COUNTIF(E26:N26,2)+COUNTIF(E26:N26,1)+COUNTIF(E26:N26,0)</f>
        <v>0</v>
      </c>
    </row>
    <row r="27" s="45" customFormat="true" ht="15" hidden="false" customHeight="true" outlineLevel="0" collapsed="false">
      <c r="A27" s="37" t="n">
        <v>20</v>
      </c>
      <c r="B27" s="37" t="s">
        <v>215</v>
      </c>
      <c r="C27" s="37" t="s">
        <v>216</v>
      </c>
      <c r="D27" s="129"/>
      <c r="E27" s="130"/>
      <c r="F27" s="131"/>
      <c r="G27" s="131"/>
      <c r="H27" s="132"/>
      <c r="I27" s="132"/>
      <c r="J27" s="86"/>
      <c r="K27" s="87"/>
      <c r="L27" s="87"/>
      <c r="M27" s="87"/>
      <c r="N27" s="127"/>
      <c r="O27" s="33" t="str">
        <f aca="false">IFERROR(AVERAGE(E27:N27),"")</f>
        <v/>
      </c>
      <c r="P27" s="84" t="str">
        <f aca="false">IF(E27&lt;&gt;"",IF(COUNTIF(E27:N27,"&lt;3"),"Не успевает","Успевает"),"")</f>
        <v/>
      </c>
      <c r="Q27" s="35" t="str">
        <f aca="false">IF(D27&lt;&gt;"",(30*(set!B$5)-D27)/(30*(set!B$5))*100,"")</f>
        <v/>
      </c>
      <c r="R27" s="77" t="str">
        <f aca="false">IF(E27&lt;&gt;"",IF(O27&lt;1.85,"Выговор",IF(AND(O27&gt;1.85,O27&lt;3),"Предупреждение",IF(AND(O27&gt;3,O27&lt;=4.65),"Нормально",IF(AND(O27&gt;4.65,O27&lt;5.1,MIN(E27:N27)&gt;=4),"Благодарность","Нормально")))),"")</f>
        <v/>
      </c>
      <c r="S27" s="77" t="n">
        <f aca="false">COUNTIF(E27:N27,2)+COUNTIF(E27:N27,1)+COUNTIF(E27:N27,0)</f>
        <v>0</v>
      </c>
    </row>
    <row r="28" s="45" customFormat="true" ht="15" hidden="false" customHeight="true" outlineLevel="0" collapsed="false">
      <c r="A28" s="37" t="n">
        <v>21</v>
      </c>
      <c r="B28" s="37" t="s">
        <v>217</v>
      </c>
      <c r="C28" s="37" t="s">
        <v>218</v>
      </c>
      <c r="D28" s="129"/>
      <c r="E28" s="130"/>
      <c r="F28" s="131"/>
      <c r="G28" s="131"/>
      <c r="H28" s="132"/>
      <c r="I28" s="132"/>
      <c r="J28" s="86"/>
      <c r="K28" s="87"/>
      <c r="L28" s="87"/>
      <c r="M28" s="87"/>
      <c r="N28" s="127"/>
      <c r="O28" s="33" t="str">
        <f aca="false">IFERROR(AVERAGE(E28:N28),"")</f>
        <v/>
      </c>
      <c r="P28" s="84" t="str">
        <f aca="false">IF(E28&lt;&gt;"",IF(COUNTIF(E28:N28,"&lt;3"),"Не успевает","Успевает"),"")</f>
        <v/>
      </c>
      <c r="Q28" s="35" t="str">
        <f aca="false">IF(D28&lt;&gt;"",(30*(set!B$5)-D28)/(30*(set!B$5))*100,"")</f>
        <v/>
      </c>
      <c r="R28" s="77" t="str">
        <f aca="false">IF(E28&lt;&gt;"",IF(O28&lt;1.85,"Выговор",IF(AND(O28&gt;1.85,O28&lt;3),"Предупреждение",IF(AND(O28&gt;3,O28&lt;=4.65),"Нормально",IF(AND(O28&gt;4.65,O28&lt;5.1,MIN(E28:N28)&gt;=4),"Благодарность","Нормально")))),"")</f>
        <v/>
      </c>
      <c r="S28" s="77" t="n">
        <f aca="false">COUNTIF(E28:N28,2)+COUNTIF(E28:N28,1)+COUNTIF(E28:N28,0)</f>
        <v>0</v>
      </c>
    </row>
    <row r="29" s="45" customFormat="true" ht="15" hidden="false" customHeight="true" outlineLevel="0" collapsed="false">
      <c r="A29" s="37" t="n">
        <v>22</v>
      </c>
      <c r="B29" s="37" t="s">
        <v>219</v>
      </c>
      <c r="C29" s="37" t="s">
        <v>220</v>
      </c>
      <c r="D29" s="129"/>
      <c r="E29" s="130"/>
      <c r="F29" s="131"/>
      <c r="G29" s="131"/>
      <c r="H29" s="132"/>
      <c r="I29" s="132"/>
      <c r="J29" s="86"/>
      <c r="K29" s="87"/>
      <c r="L29" s="87"/>
      <c r="M29" s="87"/>
      <c r="N29" s="127"/>
      <c r="O29" s="33" t="str">
        <f aca="false">IFERROR(AVERAGE(E29:N29),"")</f>
        <v/>
      </c>
      <c r="P29" s="84" t="str">
        <f aca="false">IF(E29&lt;&gt;"",IF(COUNTIF(E29:N29,"&lt;3"),"Не успевает","Успевает"),"")</f>
        <v/>
      </c>
      <c r="Q29" s="35" t="str">
        <f aca="false">IF(D29&lt;&gt;"",(30*(set!B$5)-D29)/(30*(set!B$5))*100,"")</f>
        <v/>
      </c>
      <c r="R29" s="77" t="str">
        <f aca="false">IF(E29&lt;&gt;"",IF(O29&lt;1.85,"Выговор",IF(AND(O29&gt;1.85,O29&lt;3),"Предупреждение",IF(AND(O29&gt;3,O29&lt;=4.65),"Нормально",IF(AND(O29&gt;4.65,O29&lt;5.1,MIN(E29:N29)&gt;=4),"Благодарность","Нормально")))),"")</f>
        <v/>
      </c>
      <c r="S29" s="77" t="n">
        <f aca="false">COUNTIF(E29:N29,2)+COUNTIF(E29:N29,1)+COUNTIF(E29:N29,0)</f>
        <v>0</v>
      </c>
    </row>
    <row r="30" s="45" customFormat="true" ht="15" hidden="false" customHeight="true" outlineLevel="0" collapsed="false">
      <c r="A30" s="37" t="n">
        <v>23</v>
      </c>
      <c r="B30" s="37" t="s">
        <v>221</v>
      </c>
      <c r="C30" s="37" t="s">
        <v>222</v>
      </c>
      <c r="D30" s="129"/>
      <c r="E30" s="130"/>
      <c r="F30" s="131"/>
      <c r="G30" s="131"/>
      <c r="H30" s="132"/>
      <c r="I30" s="132"/>
      <c r="J30" s="86"/>
      <c r="K30" s="87"/>
      <c r="L30" s="87"/>
      <c r="M30" s="87"/>
      <c r="N30" s="127"/>
      <c r="O30" s="33" t="str">
        <f aca="false">IFERROR(AVERAGE(E30:N30),"")</f>
        <v/>
      </c>
      <c r="P30" s="84" t="str">
        <f aca="false">IF(E30&lt;&gt;"",IF(COUNTIF(E30:N30,"&lt;3"),"Не успевает","Успевает"),"")</f>
        <v/>
      </c>
      <c r="Q30" s="35" t="str">
        <f aca="false">IF(D30&lt;&gt;"",(30*(set!B$5)-D30)/(30*(set!B$5))*100,"")</f>
        <v/>
      </c>
      <c r="R30" s="77" t="str">
        <f aca="false">IF(E30&lt;&gt;"",IF(O30&lt;1.85,"Выговор",IF(AND(O30&gt;1.85,O30&lt;3),"Предупреждение",IF(AND(O30&gt;3,O30&lt;=4.65),"Нормально",IF(AND(O30&gt;4.65,O30&lt;5.1,MIN(E30:N30)&gt;=4),"Благодарность","Нормально")))),"")</f>
        <v/>
      </c>
      <c r="S30" s="77" t="n">
        <f aca="false">COUNTIF(E30:N30,2)+COUNTIF(E30:N30,1)+COUNTIF(E30:N30,0)</f>
        <v>0</v>
      </c>
    </row>
    <row r="31" s="45" customFormat="true" ht="15" hidden="false" customHeight="true" outlineLevel="0" collapsed="false">
      <c r="A31" s="37" t="n">
        <v>24</v>
      </c>
      <c r="B31" s="37" t="s">
        <v>223</v>
      </c>
      <c r="C31" s="37" t="s">
        <v>224</v>
      </c>
      <c r="D31" s="129"/>
      <c r="E31" s="130"/>
      <c r="F31" s="131"/>
      <c r="G31" s="131"/>
      <c r="H31" s="132"/>
      <c r="I31" s="132"/>
      <c r="J31" s="86"/>
      <c r="K31" s="87"/>
      <c r="L31" s="87"/>
      <c r="M31" s="87"/>
      <c r="N31" s="127"/>
      <c r="O31" s="33" t="str">
        <f aca="false">IFERROR(AVERAGE(E31:N31),"")</f>
        <v/>
      </c>
      <c r="P31" s="84" t="str">
        <f aca="false">IF(E31&lt;&gt;"",IF(COUNTIF(E31:N31,"&lt;3"),"Не успевает","Успевает"),"")</f>
        <v/>
      </c>
      <c r="Q31" s="35" t="str">
        <f aca="false">IF(D31&lt;&gt;"",(30*(set!B$5)-D31)/(30*(set!B$5))*100,"")</f>
        <v/>
      </c>
      <c r="R31" s="77" t="str">
        <f aca="false">IF(E31&lt;&gt;"",IF(O31&lt;1.85,"Выговор",IF(AND(O31&gt;1.85,O31&lt;3),"Предупреждение",IF(AND(O31&gt;3,O31&lt;=4.65),"Нормально",IF(AND(O31&gt;4.65,O31&lt;5.1,MIN(E31:N31)&gt;=4),"Благодарность","Нормально")))),"")</f>
        <v/>
      </c>
      <c r="S31" s="77" t="n">
        <f aca="false">COUNTIF(E31:N31,2)+COUNTIF(E31:N31,1)+COUNTIF(E31:N31,0)</f>
        <v>0</v>
      </c>
    </row>
    <row r="32" s="45" customFormat="true" ht="15" hidden="false" customHeight="true" outlineLevel="0" collapsed="false">
      <c r="A32" s="37" t="n">
        <v>25</v>
      </c>
      <c r="B32" s="37" t="s">
        <v>225</v>
      </c>
      <c r="C32" s="37" t="s">
        <v>226</v>
      </c>
      <c r="D32" s="129"/>
      <c r="E32" s="130"/>
      <c r="F32" s="131"/>
      <c r="G32" s="131"/>
      <c r="H32" s="132"/>
      <c r="I32" s="132"/>
      <c r="J32" s="86"/>
      <c r="K32" s="87"/>
      <c r="L32" s="87"/>
      <c r="M32" s="87"/>
      <c r="N32" s="127"/>
      <c r="O32" s="33" t="str">
        <f aca="false">IFERROR(AVERAGE(E32:N32),"")</f>
        <v/>
      </c>
      <c r="P32" s="84" t="str">
        <f aca="false">IF(E32&lt;&gt;"",IF(COUNTIF(E32:N32,"&lt;3"),"Не успевает","Успевает"),"")</f>
        <v/>
      </c>
      <c r="Q32" s="35" t="str">
        <f aca="false">IF(D32&lt;&gt;"",(30*(set!B$5)-D32)/(30*(set!B$5))*100,"")</f>
        <v/>
      </c>
      <c r="R32" s="77" t="str">
        <f aca="false">IF(E32&lt;&gt;"",IF(O32&lt;1.85,"Выговор",IF(AND(O32&gt;1.85,O32&lt;3),"Предупреждение",IF(AND(O32&gt;3,O32&lt;=4.65),"Нормально",IF(AND(O32&gt;4.65,O32&lt;5.1,MIN(E32:N32)&gt;=4),"Благодарность","Нормально")))),"")</f>
        <v/>
      </c>
      <c r="S32" s="77" t="n">
        <f aca="false">COUNTIF(E32:N32,2)+COUNTIF(E32:N32,1)+COUNTIF(E32:N32,0)</f>
        <v>0</v>
      </c>
    </row>
    <row r="33" customFormat="false" ht="15" hidden="false" customHeight="true" outlineLevel="0" collapsed="false">
      <c r="A33" s="37" t="n">
        <v>26</v>
      </c>
      <c r="B33" s="37" t="s">
        <v>227</v>
      </c>
      <c r="C33" s="37" t="s">
        <v>228</v>
      </c>
      <c r="D33" s="129"/>
      <c r="E33" s="130"/>
      <c r="F33" s="131"/>
      <c r="G33" s="131"/>
      <c r="H33" s="132"/>
      <c r="I33" s="132"/>
      <c r="J33" s="86"/>
      <c r="K33" s="87"/>
      <c r="L33" s="87"/>
      <c r="M33" s="87"/>
      <c r="N33" s="127"/>
      <c r="O33" s="33" t="str">
        <f aca="false">IFERROR(AVERAGE(E33:N33),"")</f>
        <v/>
      </c>
      <c r="P33" s="84" t="str">
        <f aca="false">IF(E33&lt;&gt;"",IF(COUNTIF(E33:N33,"&lt;3"),"Не успевает","Успевает"),"")</f>
        <v/>
      </c>
      <c r="Q33" s="35" t="str">
        <f aca="false">IF(D33&lt;&gt;"",(30*(set!B$5)-D33)/(30*(set!B$5))*100,"")</f>
        <v/>
      </c>
      <c r="R33" s="77" t="str">
        <f aca="false">IF(E33&lt;&gt;"",IF(O33&lt;1.85,"Выговор",IF(AND(O33&gt;1.85,O33&lt;3),"Предупреждение",IF(AND(O33&gt;3,O33&lt;=4.65),"Нормально",IF(AND(O33&gt;4.65,O33&lt;5.1,MIN(E33:N33)&gt;=4),"Благодарность","Нормально")))),"")</f>
        <v/>
      </c>
      <c r="S33" s="77" t="n">
        <f aca="false">COUNTIF(E33:N33,2)+COUNTIF(E33:N33,1)+COUNTIF(E33:N33,0)</f>
        <v>0</v>
      </c>
    </row>
    <row r="34" customFormat="false" ht="15" hidden="false" customHeight="false" outlineLevel="0" collapsed="false">
      <c r="A34" s="0" t="s">
        <v>77</v>
      </c>
      <c r="B34" s="45"/>
      <c r="D34" s="133"/>
      <c r="E34" s="134" t="e">
        <f aca="false">AVERAGE(E8:E33)</f>
        <v>#DIV/0!</v>
      </c>
      <c r="F34" s="134" t="e">
        <f aca="false">AVERAGE(F8:F33)</f>
        <v>#DIV/0!</v>
      </c>
      <c r="G34" s="134" t="e">
        <f aca="false">AVERAGE(G8:G33)</f>
        <v>#DIV/0!</v>
      </c>
      <c r="H34" s="134" t="e">
        <f aca="false">AVERAGE(H8:H33)</f>
        <v>#DIV/0!</v>
      </c>
      <c r="I34" s="134" t="e">
        <f aca="false">AVERAGE(I8:I33)</f>
        <v>#DIV/0!</v>
      </c>
      <c r="J34" s="134" t="e">
        <f aca="false">AVERAGE(J8:J33)</f>
        <v>#DIV/0!</v>
      </c>
      <c r="K34" s="134" t="e">
        <f aca="false">AVERAGE(K8:K33)</f>
        <v>#DIV/0!</v>
      </c>
      <c r="L34" s="134" t="e">
        <f aca="false">AVERAGE(L8:L33)</f>
        <v>#DIV/0!</v>
      </c>
      <c r="M34" s="134" t="e">
        <f aca="false">AVERAGE(M8:M33)</f>
        <v>#DIV/0!</v>
      </c>
      <c r="N34" s="134" t="e">
        <f aca="false">AVERAGE(N8:N33)</f>
        <v>#DIV/0!</v>
      </c>
      <c r="O34" s="135"/>
      <c r="P34" s="48"/>
      <c r="Q34" s="48"/>
    </row>
    <row r="35" customFormat="false" ht="15" hidden="false" customHeight="false" outlineLevel="0" collapsed="false">
      <c r="A35" s="0" t="s">
        <v>78</v>
      </c>
      <c r="D35" s="136"/>
      <c r="E35" s="137" t="e">
        <f aca="false">(COUNTIF(E8:E33,5)+COUNTIF(E8:E33,4)+COUNTIF(E8:E33,3))/$Q$39*100</f>
        <v>#DIV/0!</v>
      </c>
      <c r="F35" s="137" t="e">
        <f aca="false">(COUNTIF(F8:F33,5)+COUNTIF(F8:F33,4)+COUNTIF(F8:F33,3))/$Q$39*100</f>
        <v>#DIV/0!</v>
      </c>
      <c r="G35" s="137" t="e">
        <f aca="false">(COUNTIF(G8:G33,5)+COUNTIF(G8:G33,4)+COUNTIF(G8:G33,3))/$Q$39*100</f>
        <v>#DIV/0!</v>
      </c>
      <c r="H35" s="137" t="e">
        <f aca="false">(COUNTIF(H8:H33,5)+COUNTIF(H8:H33,4)+COUNTIF(H8:H33,3))/$Q$39*100</f>
        <v>#DIV/0!</v>
      </c>
      <c r="I35" s="137" t="e">
        <f aca="false">(COUNTIF(I8:I33,5)+COUNTIF(I8:I33,4)+COUNTIF(I8:I33,3))/$Q$39*100</f>
        <v>#DIV/0!</v>
      </c>
      <c r="J35" s="137" t="e">
        <f aca="false">(COUNTIF(J8:J33,5)+COUNTIF(J8:J33,4)+COUNTIF(J8:J33,3))/$Q$39*100</f>
        <v>#DIV/0!</v>
      </c>
      <c r="K35" s="137" t="e">
        <f aca="false">(COUNTIF(K8:K33,5)+COUNTIF(K8:K33,4)+COUNTIF(K8:K33,3))/$Q$39*100</f>
        <v>#DIV/0!</v>
      </c>
      <c r="L35" s="137" t="e">
        <f aca="false">(COUNTIF(L8:L33,5)+COUNTIF(L8:L33,4)+COUNTIF(L8:L33,3))/$Q$39*100</f>
        <v>#DIV/0!</v>
      </c>
      <c r="M35" s="137" t="e">
        <f aca="false">(COUNTIF(M8:M33,5)+COUNTIF(M8:M33,4)+COUNTIF(M8:M33,3))/$Q$39*100</f>
        <v>#DIV/0!</v>
      </c>
      <c r="N35" s="137" t="e">
        <f aca="false">(COUNTIF(N8:N33,5)+COUNTIF(N8:N33,4)+COUNTIF(N8:N33,3))/$Q$39*100</f>
        <v>#DIV/0!</v>
      </c>
      <c r="O35" s="48"/>
      <c r="P35" s="48"/>
      <c r="Q35" s="48"/>
    </row>
    <row r="36" customFormat="false" ht="15" hidden="false" customHeight="false" outlineLevel="0" collapsed="false"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S36" s="48"/>
    </row>
    <row r="37" customFormat="false" ht="15.75" hidden="false" customHeight="true" outlineLevel="0" collapsed="false">
      <c r="B37" s="50"/>
      <c r="C37" s="50" t="s">
        <v>8</v>
      </c>
      <c r="D37" s="51" t="str">
        <f aca="false">IFERROR(AVERAGE(O8:O33),"")</f>
        <v/>
      </c>
      <c r="E37" s="52" t="s">
        <v>9</v>
      </c>
      <c r="F37" s="52"/>
      <c r="G37" s="53" t="str">
        <f aca="false">IFERROR(COUNTIF(P8:P33,"Успевает")/Q39*100,"")</f>
        <v/>
      </c>
      <c r="H37" s="53"/>
      <c r="I37" s="54" t="s">
        <v>79</v>
      </c>
      <c r="J37" s="54"/>
      <c r="K37" s="55" t="str">
        <f aca="false">IFERROR(AVERAGE(Q8:Q33),"")</f>
        <v/>
      </c>
      <c r="L37" s="52"/>
      <c r="M37" s="52"/>
      <c r="N37" s="52"/>
      <c r="O37" s="52"/>
      <c r="P37" s="48"/>
      <c r="Q37" s="48"/>
      <c r="R37" s="48"/>
      <c r="S37" s="48"/>
    </row>
    <row r="38" customFormat="false" ht="15.75" hidden="false" customHeight="true" outlineLevel="0" collapsed="false">
      <c r="B38" s="50"/>
      <c r="C38" s="50"/>
      <c r="D38" s="50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</row>
    <row r="39" customFormat="false" ht="15.75" hidden="false" customHeight="true" outlineLevel="0" collapsed="false">
      <c r="A39" s="50"/>
      <c r="B39" s="61" t="s">
        <v>81</v>
      </c>
      <c r="C39" s="61"/>
      <c r="D39" s="61"/>
      <c r="E39" s="61"/>
      <c r="F39" s="61"/>
      <c r="G39" s="61"/>
      <c r="H39" s="61"/>
      <c r="I39" s="61"/>
      <c r="J39" s="61"/>
      <c r="K39" s="61"/>
      <c r="L39" s="61" t="s">
        <v>82</v>
      </c>
      <c r="M39" s="61"/>
      <c r="N39" s="138"/>
      <c r="O39" s="57" t="s">
        <v>80</v>
      </c>
      <c r="P39" s="57"/>
      <c r="Q39" s="58" t="n">
        <f aca="false">SUM(Q40:Q41)</f>
        <v>0</v>
      </c>
    </row>
    <row r="40" customFormat="false" ht="15" hidden="false" customHeight="true" outlineLevel="0" collapsed="false">
      <c r="A40" s="50"/>
      <c r="B40" s="65" t="str">
        <f aca="false">$E$6</f>
        <v> История России</v>
      </c>
      <c r="C40" s="65"/>
      <c r="D40" s="65"/>
      <c r="E40" s="65"/>
      <c r="F40" s="65"/>
      <c r="G40" s="65"/>
      <c r="H40" s="65"/>
      <c r="I40" s="65"/>
      <c r="J40" s="65"/>
      <c r="K40" s="65"/>
      <c r="L40" s="66"/>
      <c r="M40" s="66"/>
      <c r="N40" s="139"/>
      <c r="O40" s="57" t="s">
        <v>83</v>
      </c>
      <c r="P40" s="57"/>
      <c r="Q40" s="58" t="n">
        <f aca="false">COUNTIF(P8:P33,"Успевает")</f>
        <v>0</v>
      </c>
    </row>
    <row r="41" customFormat="false" ht="18.75" hidden="false" customHeight="true" outlineLevel="0" collapsed="false">
      <c r="A41" s="50"/>
      <c r="B41" s="140" t="str">
        <f aca="false">$F$6</f>
        <v> Основы конструирования приборов
</v>
      </c>
      <c r="C41" s="140"/>
      <c r="D41" s="140"/>
      <c r="E41" s="140"/>
      <c r="F41" s="140"/>
      <c r="G41" s="140"/>
      <c r="H41" s="140"/>
      <c r="I41" s="140"/>
      <c r="J41" s="140"/>
      <c r="K41" s="140"/>
      <c r="L41" s="66"/>
      <c r="M41" s="66"/>
      <c r="N41" s="139"/>
      <c r="O41" s="98" t="s">
        <v>84</v>
      </c>
      <c r="P41" s="98"/>
      <c r="Q41" s="58" t="n">
        <f aca="false">COUNTIF(P8:P33,"Не успевает")</f>
        <v>0</v>
      </c>
    </row>
    <row r="42" customFormat="false" ht="15" hidden="false" customHeight="true" outlineLevel="0" collapsed="false">
      <c r="A42" s="50"/>
      <c r="B42" s="141" t="str">
        <f aca="false">$G$6</f>
        <v> Физика </v>
      </c>
      <c r="C42" s="141"/>
      <c r="D42" s="141"/>
      <c r="E42" s="141"/>
      <c r="F42" s="141"/>
      <c r="G42" s="141"/>
      <c r="H42" s="141"/>
      <c r="I42" s="141"/>
      <c r="J42" s="141"/>
      <c r="K42" s="141"/>
      <c r="L42" s="66"/>
      <c r="M42" s="66"/>
      <c r="N42" s="139"/>
      <c r="O42" s="98" t="s">
        <v>85</v>
      </c>
      <c r="P42" s="98"/>
      <c r="Q42" s="58" t="n">
        <f aca="false">COUNTIF(R8:R33,"Благодарность")</f>
        <v>0</v>
      </c>
    </row>
    <row r="43" customFormat="false" ht="15.75" hidden="false" customHeight="true" outlineLevel="0" collapsed="false">
      <c r="A43" s="50"/>
      <c r="B43" s="65" t="str">
        <f aca="false">$H$6</f>
        <v> Функциональная логика и теория алгоритмов</v>
      </c>
      <c r="C43" s="65"/>
      <c r="D43" s="65"/>
      <c r="E43" s="65"/>
      <c r="F43" s="65"/>
      <c r="G43" s="65"/>
      <c r="H43" s="65"/>
      <c r="I43" s="65"/>
      <c r="J43" s="65"/>
      <c r="K43" s="65"/>
      <c r="L43" s="66"/>
      <c r="M43" s="66"/>
      <c r="N43" s="139"/>
      <c r="O43" s="98" t="s">
        <v>86</v>
      </c>
      <c r="P43" s="98"/>
      <c r="Q43" s="58" t="n">
        <f aca="false">COUNTIF(R8:R33,"Нормально")</f>
        <v>0</v>
      </c>
    </row>
    <row r="44" customFormat="false" ht="15.75" hidden="false" customHeight="true" outlineLevel="0" collapsed="false">
      <c r="A44" s="50"/>
      <c r="B44" s="65" t="str">
        <f aca="false">$I$6</f>
        <v> Электротехника</v>
      </c>
      <c r="C44" s="65"/>
      <c r="D44" s="65"/>
      <c r="E44" s="65"/>
      <c r="F44" s="65"/>
      <c r="G44" s="65"/>
      <c r="H44" s="65"/>
      <c r="I44" s="65"/>
      <c r="J44" s="65"/>
      <c r="K44" s="65"/>
      <c r="L44" s="66"/>
      <c r="M44" s="66"/>
      <c r="N44" s="139"/>
      <c r="O44" s="98" t="s">
        <v>87</v>
      </c>
      <c r="P44" s="98"/>
      <c r="Q44" s="58" t="n">
        <f aca="false">COUNTIF(R8:R33,"Предупреждение")</f>
        <v>0</v>
      </c>
    </row>
    <row r="45" customFormat="false" ht="15.75" hidden="false" customHeight="true" outlineLevel="0" collapsed="false">
      <c r="A45" s="50"/>
      <c r="B45" s="65" t="str">
        <f aca="false">$J$6</f>
        <v> Дискретная математика </v>
      </c>
      <c r="C45" s="65"/>
      <c r="D45" s="65"/>
      <c r="E45" s="65"/>
      <c r="F45" s="65"/>
      <c r="G45" s="65"/>
      <c r="H45" s="65"/>
      <c r="I45" s="65"/>
      <c r="J45" s="65"/>
      <c r="K45" s="65"/>
      <c r="L45" s="66"/>
      <c r="M45" s="66"/>
      <c r="N45" s="139"/>
      <c r="O45" s="98" t="s">
        <v>88</v>
      </c>
      <c r="P45" s="98"/>
      <c r="Q45" s="58" t="n">
        <f aca="false">COUNTIF(R8:R33,"Выговор")</f>
        <v>0</v>
      </c>
    </row>
    <row r="46" customFormat="false" ht="15.75" hidden="false" customHeight="true" outlineLevel="0" collapsed="false">
      <c r="A46" s="50"/>
      <c r="B46" s="65" t="str">
        <f aca="false">$K$6</f>
        <v>Иностранный язык</v>
      </c>
      <c r="C46" s="65"/>
      <c r="D46" s="65"/>
      <c r="E46" s="65"/>
      <c r="F46" s="65"/>
      <c r="G46" s="65"/>
      <c r="H46" s="65"/>
      <c r="I46" s="65"/>
      <c r="J46" s="65"/>
      <c r="K46" s="65"/>
      <c r="L46" s="66"/>
      <c r="M46" s="66"/>
      <c r="N46" s="139"/>
      <c r="O46" s="142" t="s">
        <v>12</v>
      </c>
      <c r="P46" s="142"/>
      <c r="Q46" s="143" t="n">
        <f aca="false">SUM(S8:S33)</f>
        <v>0</v>
      </c>
      <c r="S46" s="48"/>
    </row>
    <row r="47" customFormat="false" ht="15.75" hidden="false" customHeight="true" outlineLevel="0" collapsed="false">
      <c r="A47" s="50"/>
      <c r="B47" s="65" t="str">
        <f aca="false">$L$6</f>
        <v> Технологическая подготовка производствав</v>
      </c>
      <c r="C47" s="65"/>
      <c r="D47" s="65"/>
      <c r="E47" s="65"/>
      <c r="F47" s="65"/>
      <c r="G47" s="65"/>
      <c r="H47" s="65"/>
      <c r="I47" s="65"/>
      <c r="J47" s="65"/>
      <c r="K47" s="65"/>
      <c r="L47" s="66"/>
      <c r="M47" s="66"/>
      <c r="N47" s="139"/>
      <c r="O47" s="139"/>
      <c r="P47" s="67"/>
      <c r="Q47" s="67"/>
      <c r="R47" s="48"/>
      <c r="S47" s="48"/>
    </row>
    <row r="48" customFormat="false" ht="15.75" hidden="false" customHeight="true" outlineLevel="0" collapsed="false">
      <c r="A48" s="50"/>
      <c r="B48" s="65" t="str">
        <f aca="false">$M$6</f>
        <v> Философия</v>
      </c>
      <c r="C48" s="65"/>
      <c r="D48" s="65"/>
      <c r="E48" s="65"/>
      <c r="F48" s="65"/>
      <c r="G48" s="65"/>
      <c r="H48" s="65"/>
      <c r="I48" s="65"/>
      <c r="J48" s="65"/>
      <c r="K48" s="65"/>
      <c r="L48" s="66"/>
      <c r="M48" s="66"/>
      <c r="N48" s="139"/>
      <c r="O48" s="139"/>
      <c r="P48" s="67"/>
      <c r="Q48" s="67"/>
      <c r="R48" s="48"/>
      <c r="S48" s="48"/>
    </row>
    <row r="49" customFormat="false" ht="15.75" hidden="false" customHeight="true" outlineLevel="0" collapsed="false">
      <c r="A49" s="50"/>
      <c r="B49" s="65" t="str">
        <f aca="false">$N$6</f>
        <v>Физическая культура и спорт</v>
      </c>
      <c r="C49" s="65"/>
      <c r="D49" s="65"/>
      <c r="E49" s="65"/>
      <c r="F49" s="65"/>
      <c r="G49" s="65"/>
      <c r="H49" s="65"/>
      <c r="I49" s="65"/>
      <c r="J49" s="65"/>
      <c r="K49" s="65"/>
      <c r="L49" s="66"/>
      <c r="M49" s="66"/>
      <c r="N49" s="139"/>
      <c r="O49" s="139"/>
      <c r="P49" s="67"/>
      <c r="Q49" s="67"/>
      <c r="R49" s="48"/>
      <c r="S49" s="48"/>
    </row>
    <row r="50" customFormat="false" ht="15.75" hidden="false" customHeight="true" outlineLevel="0" collapsed="false">
      <c r="A50" s="50"/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50"/>
      <c r="P50" s="48"/>
    </row>
    <row r="51" customFormat="false" ht="15.75" hidden="false" customHeight="true" outlineLevel="0" collapsed="false">
      <c r="A51" s="50"/>
      <c r="B51" s="73" t="s">
        <v>89</v>
      </c>
      <c r="C51" s="144" t="s">
        <v>229</v>
      </c>
      <c r="D51" s="145"/>
      <c r="E51" s="67"/>
      <c r="F51" s="52" t="s">
        <v>230</v>
      </c>
      <c r="G51" s="52" t="s">
        <v>231</v>
      </c>
      <c r="H51" s="52"/>
      <c r="I51" s="52"/>
      <c r="J51" s="52"/>
      <c r="K51" s="52"/>
      <c r="L51" s="52"/>
      <c r="M51" s="50"/>
      <c r="N51" s="50"/>
      <c r="O51" s="50"/>
      <c r="P51" s="48"/>
    </row>
    <row r="52" customFormat="false" ht="15.75" hidden="false" customHeight="tru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48"/>
    </row>
    <row r="53" customFormat="false" ht="15" hidden="false" customHeight="false" outlineLevel="0" collapsed="false">
      <c r="A53" s="50"/>
      <c r="B53" s="50" t="s">
        <v>93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48"/>
    </row>
    <row r="54" customFormat="false" ht="15" hidden="false" customHeight="false" outlineLevel="0" collapsed="false">
      <c r="A54" s="50"/>
      <c r="B54" s="50" t="s">
        <v>94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48"/>
    </row>
    <row r="55" customFormat="false" ht="15" hidden="false" customHeight="false" outlineLevel="0" collapsed="false">
      <c r="A55" s="50"/>
      <c r="B55" s="50" t="s">
        <v>95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48"/>
    </row>
    <row r="56" customFormat="false" ht="15" hidden="false" customHeight="false" outlineLevel="0" collapsed="false">
      <c r="A56" s="50"/>
      <c r="B56" s="50" t="s">
        <v>96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48"/>
    </row>
    <row r="57" customFormat="false" ht="15" hidden="false" customHeight="false" outlineLevel="0" collapsed="false">
      <c r="A57" s="50"/>
      <c r="B57" s="50" t="s">
        <v>97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48"/>
    </row>
    <row r="58" customFormat="false" ht="15" hidden="false" customHeight="false" outlineLevel="0" collapsed="false">
      <c r="A58" s="50"/>
      <c r="B58" s="50" t="s">
        <v>98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48"/>
      <c r="Q58" s="48"/>
      <c r="R58" s="48"/>
      <c r="S58" s="48"/>
    </row>
    <row r="59" customFormat="false" ht="15" hidden="false" customHeight="false" outlineLevel="0" collapsed="false">
      <c r="A59" s="50"/>
      <c r="B59" s="50" t="s">
        <v>99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48"/>
      <c r="Q59" s="48"/>
      <c r="R59" s="48"/>
      <c r="S59" s="48"/>
    </row>
    <row r="60" customFormat="false" ht="15.75" hidden="false" customHeight="false" outlineLevel="0" collapsed="false">
      <c r="A60" s="50"/>
      <c r="P60" s="48"/>
      <c r="Q60" s="48"/>
      <c r="R60" s="48"/>
      <c r="S60" s="48"/>
    </row>
  </sheetData>
  <mergeCells count="44">
    <mergeCell ref="E1:I1"/>
    <mergeCell ref="M2:P2"/>
    <mergeCell ref="A5:A7"/>
    <mergeCell ref="B5:B7"/>
    <mergeCell ref="C5:C7"/>
    <mergeCell ref="D5:D7"/>
    <mergeCell ref="E5:I5"/>
    <mergeCell ref="J5:N5"/>
    <mergeCell ref="O5:O7"/>
    <mergeCell ref="P5:P7"/>
    <mergeCell ref="Q5:Q7"/>
    <mergeCell ref="R5:R7"/>
    <mergeCell ref="S5:S7"/>
    <mergeCell ref="I37:J37"/>
    <mergeCell ref="B39:K39"/>
    <mergeCell ref="L39:M39"/>
    <mergeCell ref="O39:P39"/>
    <mergeCell ref="B40:K40"/>
    <mergeCell ref="L40:M40"/>
    <mergeCell ref="O40:P40"/>
    <mergeCell ref="B41:K41"/>
    <mergeCell ref="L41:M41"/>
    <mergeCell ref="O41:P41"/>
    <mergeCell ref="B42:K42"/>
    <mergeCell ref="L42:M42"/>
    <mergeCell ref="O42:P42"/>
    <mergeCell ref="B43:K43"/>
    <mergeCell ref="L43:M43"/>
    <mergeCell ref="O43:P43"/>
    <mergeCell ref="B44:K44"/>
    <mergeCell ref="L44:M44"/>
    <mergeCell ref="O44:P44"/>
    <mergeCell ref="B45:K45"/>
    <mergeCell ref="L45:M45"/>
    <mergeCell ref="O45:P45"/>
    <mergeCell ref="B46:K46"/>
    <mergeCell ref="L46:M46"/>
    <mergeCell ref="O46:P46"/>
    <mergeCell ref="B47:K47"/>
    <mergeCell ref="L47:M47"/>
    <mergeCell ref="B48:K48"/>
    <mergeCell ref="L48:M48"/>
    <mergeCell ref="B49:K49"/>
    <mergeCell ref="L49:M49"/>
  </mergeCells>
  <conditionalFormatting sqref="E34:N3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:N33 E8:N23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33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4:N26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37" man="true" max="16383" min="0"/>
  </rowBreak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55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A25" activeCellId="0" sqref="A25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14"/>
    <col collapsed="false" customWidth="true" hidden="false" outlineLevel="0" max="2" min="2" style="0" width="10"/>
    <col collapsed="false" customWidth="true" hidden="false" outlineLevel="0" max="3" min="3" style="0" width="18.71"/>
    <col collapsed="false" customWidth="false" hidden="false" outlineLevel="0" max="8" min="8" style="45" width="9.14"/>
    <col collapsed="false" customWidth="true" hidden="false" outlineLevel="0" max="12" min="12" style="0" width="12.29"/>
    <col collapsed="false" customWidth="true" hidden="false" outlineLevel="0" max="13" min="13" style="0" width="11.29"/>
    <col collapsed="false" customWidth="true" hidden="false" outlineLevel="0" max="14" min="14" style="0" width="10.14"/>
    <col collapsed="false" customWidth="true" hidden="false" outlineLevel="0" max="15" min="15" style="0" width="9.42"/>
    <col collapsed="false" customWidth="true" hidden="false" outlineLevel="0" max="16" min="16" style="0" width="8"/>
    <col collapsed="false" customWidth="true" hidden="false" outlineLevel="0" max="17" min="17" style="0" width="10.29"/>
    <col collapsed="false" customWidth="true" hidden="false" outlineLevel="0" max="19" min="19" style="0" width="4.71"/>
    <col collapsed="false" customWidth="true" hidden="false" outlineLevel="0" max="20" min="20" style="0" width="5.57"/>
    <col collapsed="false" customWidth="true" hidden="false" outlineLevel="0" max="21" min="21" style="0" width="5.86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1"/>
      <c r="J1" s="2" t="n">
        <f aca="false">set!B1</f>
        <v>2</v>
      </c>
      <c r="K1" s="3"/>
    </row>
    <row r="2" customFormat="false" ht="15" hidden="false" customHeight="false" outlineLevel="0" collapsed="false">
      <c r="I2" s="4"/>
      <c r="M2" s="72" t="s">
        <v>1</v>
      </c>
      <c r="N2" s="146" t="n">
        <f aca="false">set!B4</f>
        <v>45608</v>
      </c>
      <c r="O2" s="72"/>
      <c r="P2" s="72"/>
      <c r="Q2" s="75"/>
      <c r="R2" s="72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ИУК1-32Б факультета ИУК МГТУ им. Н.Э. Баумана"</f>
        <v>Успеваемость студентов за 1 семестр 24/25 учебного года по группе ИУК1-32Б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/>
      <c r="J5" s="11" t="s">
        <v>7</v>
      </c>
      <c r="K5" s="11"/>
      <c r="L5" s="11"/>
      <c r="M5" s="11"/>
      <c r="N5" s="11"/>
      <c r="O5" s="12" t="s">
        <v>8</v>
      </c>
      <c r="P5" s="13" t="s">
        <v>9</v>
      </c>
      <c r="Q5" s="13" t="s">
        <v>10</v>
      </c>
      <c r="R5" s="14" t="s">
        <v>11</v>
      </c>
      <c r="S5" s="14" t="s">
        <v>12</v>
      </c>
    </row>
    <row r="6" customFormat="false" ht="135" hidden="false" customHeight="true" outlineLevel="0" collapsed="false">
      <c r="A6" s="8"/>
      <c r="B6" s="8"/>
      <c r="C6" s="8"/>
      <c r="D6" s="9"/>
      <c r="E6" s="15" t="s">
        <v>144</v>
      </c>
      <c r="F6" s="16" t="s">
        <v>164</v>
      </c>
      <c r="G6" s="16" t="s">
        <v>165</v>
      </c>
      <c r="H6" s="17" t="s">
        <v>166</v>
      </c>
      <c r="I6" s="17" t="s">
        <v>167</v>
      </c>
      <c r="J6" s="147" t="s">
        <v>168</v>
      </c>
      <c r="K6" s="16" t="s">
        <v>18</v>
      </c>
      <c r="L6" s="16" t="s">
        <v>169</v>
      </c>
      <c r="M6" s="16" t="s">
        <v>170</v>
      </c>
      <c r="N6" s="18" t="s">
        <v>147</v>
      </c>
      <c r="O6" s="12"/>
      <c r="P6" s="13"/>
      <c r="Q6" s="13"/>
      <c r="R6" s="14"/>
      <c r="S6" s="14"/>
    </row>
    <row r="7" customFormat="false" ht="17.9" hidden="false" customHeight="false" outlineLevel="0" collapsed="false">
      <c r="A7" s="8"/>
      <c r="B7" s="8"/>
      <c r="C7" s="8"/>
      <c r="D7" s="9"/>
      <c r="E7" s="22" t="s">
        <v>149</v>
      </c>
      <c r="F7" s="23" t="s">
        <v>171</v>
      </c>
      <c r="G7" s="23" t="s">
        <v>22</v>
      </c>
      <c r="H7" s="102" t="s">
        <v>171</v>
      </c>
      <c r="I7" s="102" t="s">
        <v>172</v>
      </c>
      <c r="J7" s="148" t="s">
        <v>173</v>
      </c>
      <c r="K7" s="23" t="s">
        <v>27</v>
      </c>
      <c r="L7" s="23" t="s">
        <v>174</v>
      </c>
      <c r="M7" s="23" t="s">
        <v>175</v>
      </c>
      <c r="N7" s="149" t="s">
        <v>176</v>
      </c>
      <c r="O7" s="12"/>
      <c r="P7" s="13"/>
      <c r="Q7" s="13"/>
      <c r="R7" s="14"/>
      <c r="S7" s="14"/>
    </row>
    <row r="8" customFormat="false" ht="15" hidden="false" customHeight="true" outlineLevel="0" collapsed="false">
      <c r="A8" s="103" t="n">
        <v>1</v>
      </c>
      <c r="B8" s="25" t="s">
        <v>232</v>
      </c>
      <c r="C8" s="25" t="s">
        <v>233</v>
      </c>
      <c r="D8" s="90"/>
      <c r="E8" s="150"/>
      <c r="F8" s="117"/>
      <c r="G8" s="117"/>
      <c r="H8" s="151"/>
      <c r="I8" s="152"/>
      <c r="J8" s="150"/>
      <c r="K8" s="117"/>
      <c r="L8" s="117"/>
      <c r="M8" s="117"/>
      <c r="N8" s="153"/>
      <c r="O8" s="154" t="str">
        <f aca="false">IFERROR(AVERAGE(E8:N8),"")</f>
        <v/>
      </c>
      <c r="P8" s="117" t="str">
        <f aca="false">IF(E8&lt;&gt;"",IF(COUNTIF(E8:N8,"&lt;3"),"Не успевает","Успевает"),"")</f>
        <v/>
      </c>
      <c r="Q8" s="155" t="str">
        <f aca="false">IF(D8&lt;&gt;"",(30*(set!B$5)-D8)/(30*(set!B$5))*100,"")</f>
        <v/>
      </c>
      <c r="R8" s="85" t="str">
        <f aca="false">IF(E8&lt;&gt;"",IF(O8&lt;1.85,"Выговор",IF(AND(O8&gt;1.85,O8&lt;3),"Предупреждение",IF(AND(O8&gt;3,O8&lt;=4.65),"Нормально",IF(AND(O8&gt;4.65,O8&lt;5.1,MIN(E8:N8)&gt;=4),"Благодарность","Нормально")))),"")</f>
        <v/>
      </c>
      <c r="S8" s="118" t="n">
        <f aca="false">COUNTIF(E8:N8,2)+COUNTIF(E8:N8,1)+COUNTIF(E8:N8,0)</f>
        <v>0</v>
      </c>
    </row>
    <row r="9" customFormat="false" ht="15" hidden="false" customHeight="true" outlineLevel="0" collapsed="false">
      <c r="A9" s="37" t="n">
        <v>2</v>
      </c>
      <c r="B9" s="37" t="s">
        <v>234</v>
      </c>
      <c r="C9" s="37" t="s">
        <v>235</v>
      </c>
      <c r="D9" s="90"/>
      <c r="E9" s="150"/>
      <c r="F9" s="117"/>
      <c r="G9" s="117"/>
      <c r="H9" s="151"/>
      <c r="I9" s="152"/>
      <c r="J9" s="150"/>
      <c r="K9" s="117"/>
      <c r="L9" s="117"/>
      <c r="M9" s="117"/>
      <c r="N9" s="152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35" t="str">
        <f aca="false">IF(D9&lt;&gt;"",(30*(set!B$5)-D9)/(30*(set!B$5))*100,"")</f>
        <v/>
      </c>
      <c r="R9" s="85" t="str">
        <f aca="false">IF(E9&lt;&gt;"",IF(O9&lt;1.85,"Выговор",IF(AND(O9&gt;1.85,O9&lt;3),"Предупреждение",IF(AND(O9&gt;3,O9&lt;=4.65),"Нормально",IF(AND(O9&gt;4.65,O9&lt;5.1,MIN(E9:N9)&gt;=4),"Благодарность","Нормально")))),"")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85" t="n">
        <v>3</v>
      </c>
      <c r="B10" s="37" t="s">
        <v>236</v>
      </c>
      <c r="C10" s="37" t="s">
        <v>237</v>
      </c>
      <c r="D10" s="90"/>
      <c r="E10" s="150"/>
      <c r="F10" s="117"/>
      <c r="G10" s="117"/>
      <c r="H10" s="151"/>
      <c r="I10" s="152"/>
      <c r="J10" s="150"/>
      <c r="K10" s="117"/>
      <c r="L10" s="117"/>
      <c r="M10" s="117"/>
      <c r="N10" s="152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35" t="str">
        <f aca="false">IF(D10&lt;&gt;"",(30*(set!B$5)-D10)/(30*(set!B$5))*100,"")</f>
        <v/>
      </c>
      <c r="R10" s="85" t="str">
        <f aca="false">IF(E10&lt;&gt;"",IF(O10&lt;1.85,"Выговор",IF(AND(O10&gt;1.85,O10&lt;3),"Предупреждение",IF(AND(O10&gt;3,O10&lt;=4.65),"Нормально",IF(AND(O10&gt;4.65,O10&lt;5.1,MIN(E10:N10)&gt;=4),"Благодарность","Нормально")))),"")</f>
        <v/>
      </c>
      <c r="S10" s="118" t="n">
        <f aca="false">COUNTIF(E10:N10,2)+COUNTIF(E10:N10,1)+COUNTIF(E10:N10,0)</f>
        <v>0</v>
      </c>
    </row>
    <row r="11" customFormat="false" ht="15" hidden="false" customHeight="true" outlineLevel="0" collapsed="false">
      <c r="A11" s="37" t="n">
        <v>4</v>
      </c>
      <c r="B11" s="37" t="s">
        <v>238</v>
      </c>
      <c r="C11" s="37" t="s">
        <v>239</v>
      </c>
      <c r="D11" s="90"/>
      <c r="E11" s="150"/>
      <c r="F11" s="117"/>
      <c r="G11" s="156"/>
      <c r="H11" s="157"/>
      <c r="I11" s="152"/>
      <c r="J11" s="150"/>
      <c r="K11" s="117"/>
      <c r="L11" s="117"/>
      <c r="M11" s="117"/>
      <c r="N11" s="152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35" t="str">
        <f aca="false">IF(D11&lt;&gt;"",(30*(set!B$5)-D11)/(30*(set!B$5))*100,"")</f>
        <v/>
      </c>
      <c r="R11" s="85" t="str">
        <f aca="false">IF(E11&lt;&gt;"",IF(O11&lt;1.85,"Выговор",IF(AND(O11&gt;1.85,O11&lt;3),"Предупреждение",IF(AND(O11&gt;3,O11&lt;=4.65),"Нормально",IF(AND(O11&gt;4.65,O11&lt;5.1,MIN(E11:N11)&gt;=4),"Благодарность","Нормально")))),"")</f>
        <v/>
      </c>
      <c r="S11" s="118" t="n">
        <f aca="false">COUNTIF(E11:N11,2)+COUNTIF(E11:N11,1)+COUNTIF(E11:N11,0)</f>
        <v>0</v>
      </c>
    </row>
    <row r="12" customFormat="false" ht="15" hidden="false" customHeight="true" outlineLevel="0" collapsed="false">
      <c r="A12" s="85" t="n">
        <v>5</v>
      </c>
      <c r="B12" s="37" t="s">
        <v>240</v>
      </c>
      <c r="C12" s="37" t="s">
        <v>241</v>
      </c>
      <c r="D12" s="90"/>
      <c r="E12" s="150"/>
      <c r="F12" s="117"/>
      <c r="G12" s="117"/>
      <c r="H12" s="151"/>
      <c r="I12" s="152"/>
      <c r="J12" s="150"/>
      <c r="K12" s="117"/>
      <c r="L12" s="117"/>
      <c r="M12" s="117"/>
      <c r="N12" s="152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35" t="str">
        <f aca="false">IF(D12&lt;&gt;"",(30*(set!B$5)-D12)/(30*(set!B$5))*100,"")</f>
        <v/>
      </c>
      <c r="R12" s="85" t="str">
        <f aca="false">IF(E12&lt;&gt;"",IF(O12&lt;1.85,"Выговор",IF(AND(O12&gt;1.85,O12&lt;3),"Предупреждение",IF(AND(O12&gt;3,O12&lt;=4.65),"Нормально",IF(AND(O12&gt;4.65,O12&lt;5.1,MIN(E12:N12)&gt;=4),"Благодарность","Нормально")))),"")</f>
        <v/>
      </c>
      <c r="S12" s="118" t="n">
        <f aca="false">COUNTIF(E12:N12,2)+COUNTIF(E12:N12,1)+COUNTIF(E12:N12,0)</f>
        <v>0</v>
      </c>
    </row>
    <row r="13" customFormat="false" ht="15" hidden="false" customHeight="true" outlineLevel="0" collapsed="false">
      <c r="A13" s="37" t="n">
        <v>6</v>
      </c>
      <c r="B13" s="37" t="s">
        <v>242</v>
      </c>
      <c r="C13" s="37" t="s">
        <v>243</v>
      </c>
      <c r="D13" s="90"/>
      <c r="E13" s="150"/>
      <c r="F13" s="117"/>
      <c r="G13" s="117"/>
      <c r="H13" s="151"/>
      <c r="I13" s="152"/>
      <c r="J13" s="150"/>
      <c r="K13" s="117"/>
      <c r="L13" s="117"/>
      <c r="M13" s="117"/>
      <c r="N13" s="152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35" t="str">
        <f aca="false">IF(D13&lt;&gt;"",(30*(set!B$5)-D13)/(30*(set!B$5))*100,"")</f>
        <v/>
      </c>
      <c r="R13" s="85" t="str">
        <f aca="false">IF(E13&lt;&gt;"",IF(O13&lt;1.85,"Выговор",IF(AND(O13&gt;1.85,O13&lt;3),"Предупреждение",IF(AND(O13&gt;3,O13&lt;=4.65),"Нормально",IF(AND(O13&gt;4.65,O13&lt;5.1,MIN(E13:N13)&gt;=4),"Благодарность","Нормально")))),"")</f>
        <v/>
      </c>
      <c r="S13" s="118" t="n">
        <f aca="false">COUNTIF(E13:N13,2)+COUNTIF(E13:N13,1)+COUNTIF(E13:N13,0)</f>
        <v>0</v>
      </c>
    </row>
    <row r="14" customFormat="false" ht="15" hidden="false" customHeight="true" outlineLevel="0" collapsed="false">
      <c r="A14" s="85" t="n">
        <v>7</v>
      </c>
      <c r="B14" s="37" t="s">
        <v>244</v>
      </c>
      <c r="C14" s="37" t="s">
        <v>245</v>
      </c>
      <c r="D14" s="90"/>
      <c r="E14" s="150"/>
      <c r="F14" s="117"/>
      <c r="G14" s="117"/>
      <c r="H14" s="151"/>
      <c r="I14" s="152"/>
      <c r="J14" s="150"/>
      <c r="K14" s="117"/>
      <c r="L14" s="117"/>
      <c r="M14" s="117"/>
      <c r="N14" s="152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35" t="str">
        <f aca="false">IF(D14&lt;&gt;"",(30*(set!B$5)-D14)/(30*(set!B$5))*100,"")</f>
        <v/>
      </c>
      <c r="R14" s="85" t="str">
        <f aca="false">IF(E14&lt;&gt;"",IF(O14&lt;1.85,"Выговор",IF(AND(O14&gt;1.85,O14&lt;3),"Предупреждение",IF(AND(O14&gt;3,O14&lt;=4.65),"Нормально",IF(AND(O14&gt;4.65,O14&lt;5.1,MIN(E14:N14)&gt;=4),"Благодарность","Нормально")))),"")</f>
        <v/>
      </c>
      <c r="S14" s="118" t="n">
        <f aca="false">COUNTIF(E14:N14,2)+COUNTIF(E14:N14,1)+COUNTIF(E14:N14,0)</f>
        <v>0</v>
      </c>
    </row>
    <row r="15" customFormat="false" ht="15" hidden="false" customHeight="true" outlineLevel="0" collapsed="false">
      <c r="A15" s="37" t="n">
        <v>8</v>
      </c>
      <c r="B15" s="37" t="s">
        <v>246</v>
      </c>
      <c r="C15" s="37" t="s">
        <v>247</v>
      </c>
      <c r="D15" s="90"/>
      <c r="E15" s="150"/>
      <c r="F15" s="117"/>
      <c r="G15" s="117"/>
      <c r="H15" s="151"/>
      <c r="I15" s="152"/>
      <c r="J15" s="150"/>
      <c r="K15" s="117"/>
      <c r="L15" s="117"/>
      <c r="M15" s="117"/>
      <c r="N15" s="152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35" t="str">
        <f aca="false">IF(D15&lt;&gt;"",(30*(set!B$5)-D15)/(30*(set!B$5))*100,"")</f>
        <v/>
      </c>
      <c r="R15" s="85" t="str">
        <f aca="false">IF(E15&lt;&gt;"",IF(O15&lt;1.85,"Выговор",IF(AND(O15&gt;1.85,O15&lt;3),"Предупреждение",IF(AND(O15&gt;3,O15&lt;=4.65),"Нормально",IF(AND(O15&gt;4.65,O15&lt;5.1,MIN(E15:N15)&gt;=4),"Благодарность","Нормально")))),"")</f>
        <v/>
      </c>
      <c r="S15" s="118" t="n">
        <f aca="false">COUNTIF(E15:N15,2)+COUNTIF(E15:N15,1)+COUNTIF(E15:N15,0)</f>
        <v>0</v>
      </c>
    </row>
    <row r="16" customFormat="false" ht="15" hidden="false" customHeight="true" outlineLevel="0" collapsed="false">
      <c r="A16" s="85" t="n">
        <v>9</v>
      </c>
      <c r="B16" s="37" t="s">
        <v>248</v>
      </c>
      <c r="C16" s="37" t="s">
        <v>249</v>
      </c>
      <c r="D16" s="90"/>
      <c r="E16" s="150"/>
      <c r="F16" s="117"/>
      <c r="G16" s="117"/>
      <c r="H16" s="151"/>
      <c r="I16" s="152"/>
      <c r="J16" s="150"/>
      <c r="K16" s="117"/>
      <c r="L16" s="117"/>
      <c r="M16" s="117"/>
      <c r="N16" s="152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35" t="str">
        <f aca="false">IF(D16&lt;&gt;"",(30*(set!B$5)-D16)/(30*(set!B$5))*100,"")</f>
        <v/>
      </c>
      <c r="R16" s="85" t="str">
        <f aca="false">IF(E16&lt;&gt;"",IF(O16&lt;1.85,"Выговор",IF(AND(O16&gt;1.85,O16&lt;3),"Предупреждение",IF(AND(O16&gt;3,O16&lt;=4.65),"Нормально",IF(AND(O16&gt;4.65,O16&lt;5.1,MIN(E16:N16)&gt;=4),"Благодарность","Нормально")))),"")</f>
        <v/>
      </c>
      <c r="S16" s="118" t="n">
        <f aca="false">COUNTIF(E16:N16,2)+COUNTIF(E16:N16,1)+COUNTIF(E16:N16,0)</f>
        <v>0</v>
      </c>
    </row>
    <row r="17" customFormat="false" ht="15" hidden="false" customHeight="true" outlineLevel="0" collapsed="false">
      <c r="A17" s="85" t="n">
        <v>11</v>
      </c>
      <c r="B17" s="37" t="s">
        <v>250</v>
      </c>
      <c r="C17" s="37" t="s">
        <v>251</v>
      </c>
      <c r="D17" s="90"/>
      <c r="E17" s="150"/>
      <c r="F17" s="117"/>
      <c r="G17" s="117"/>
      <c r="H17" s="151"/>
      <c r="I17" s="152"/>
      <c r="J17" s="150"/>
      <c r="K17" s="117"/>
      <c r="L17" s="117"/>
      <c r="M17" s="117"/>
      <c r="N17" s="152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35" t="str">
        <f aca="false">IF(D17&lt;&gt;"",(30*(set!B$5)-D17)/(30*(set!B$5))*100,"")</f>
        <v/>
      </c>
      <c r="R17" s="85" t="str">
        <f aca="false">IF(E17&lt;&gt;"",IF(O17&lt;1.85,"Выговор",IF(AND(O17&gt;1.85,O17&lt;3),"Предупреждение",IF(AND(O17&gt;3,O17&lt;=4.65),"Нормально",IF(AND(O17&gt;4.65,O17&lt;5.1,MIN(E17:N17)&gt;=4),"Благодарность","Нормально")))),"")</f>
        <v/>
      </c>
      <c r="S17" s="118" t="n">
        <f aca="false">COUNTIF(E17:N17,2)+COUNTIF(E17:N17,1)+COUNTIF(E17:N17,0)</f>
        <v>0</v>
      </c>
    </row>
    <row r="18" customFormat="false" ht="15" hidden="false" customHeight="true" outlineLevel="0" collapsed="false">
      <c r="A18" s="37" t="n">
        <v>12</v>
      </c>
      <c r="B18" s="37" t="s">
        <v>252</v>
      </c>
      <c r="C18" s="37" t="s">
        <v>253</v>
      </c>
      <c r="D18" s="90"/>
      <c r="E18" s="150"/>
      <c r="F18" s="117"/>
      <c r="G18" s="117"/>
      <c r="H18" s="151"/>
      <c r="I18" s="152"/>
      <c r="J18" s="150"/>
      <c r="K18" s="117"/>
      <c r="L18" s="117"/>
      <c r="M18" s="117"/>
      <c r="N18" s="152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35" t="str">
        <f aca="false">IF(D18&lt;&gt;"",(30*(set!B$5)-D18)/(30*(set!B$5))*100,"")</f>
        <v/>
      </c>
      <c r="R18" s="85" t="str">
        <f aca="false">IF(E18&lt;&gt;"",IF(O18&lt;1.85,"Выговор",IF(AND(O18&gt;1.85,O18&lt;3),"Предупреждение",IF(AND(O18&gt;3,O18&lt;=4.65),"Нормально",IF(AND(O18&gt;4.65,O18&lt;5.1,MIN(E18:N18)&gt;=4),"Благодарность","Нормально")))),"")</f>
        <v/>
      </c>
      <c r="S18" s="118" t="n">
        <f aca="false">COUNTIF(E18:N18,2)+COUNTIF(E18:N18,1)+COUNTIF(E18:N18,0)</f>
        <v>0</v>
      </c>
    </row>
    <row r="19" customFormat="false" ht="15" hidden="false" customHeight="true" outlineLevel="0" collapsed="false">
      <c r="A19" s="85" t="n">
        <v>13</v>
      </c>
      <c r="B19" s="37" t="s">
        <v>254</v>
      </c>
      <c r="C19" s="37" t="s">
        <v>255</v>
      </c>
      <c r="D19" s="90"/>
      <c r="E19" s="150"/>
      <c r="F19" s="117"/>
      <c r="G19" s="117"/>
      <c r="H19" s="151"/>
      <c r="I19" s="152"/>
      <c r="J19" s="150"/>
      <c r="K19" s="117"/>
      <c r="L19" s="117"/>
      <c r="M19" s="117"/>
      <c r="N19" s="152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35" t="str">
        <f aca="false">IF(D19&lt;&gt;"",(30*(set!B$5)-D19)/(30*(set!B$5))*100,"")</f>
        <v/>
      </c>
      <c r="R19" s="85" t="str">
        <f aca="false">IF(E19&lt;&gt;"",IF(O19&lt;1.85,"Выговор",IF(AND(O19&gt;1.85,O19&lt;3),"Предупреждение",IF(AND(O19&gt;3,O19&lt;=4.65),"Нормально",IF(AND(O19&gt;4.65,O19&lt;5.1,MIN(E19:N19)&gt;=4),"Благодарность","Нормально")))),"")</f>
        <v/>
      </c>
      <c r="S19" s="118" t="n">
        <f aca="false">COUNTIF(E19:N19,2)+COUNTIF(E19:N19,1)+COUNTIF(E19:N19,0)</f>
        <v>0</v>
      </c>
    </row>
    <row r="20" customFormat="false" ht="15" hidden="false" customHeight="true" outlineLevel="0" collapsed="false">
      <c r="A20" s="85" t="n">
        <v>14</v>
      </c>
      <c r="B20" s="37" t="s">
        <v>256</v>
      </c>
      <c r="C20" s="37" t="s">
        <v>257</v>
      </c>
      <c r="D20" s="90"/>
      <c r="E20" s="150"/>
      <c r="F20" s="117"/>
      <c r="G20" s="117"/>
      <c r="H20" s="151"/>
      <c r="I20" s="152"/>
      <c r="J20" s="150"/>
      <c r="K20" s="117"/>
      <c r="L20" s="117"/>
      <c r="M20" s="117"/>
      <c r="N20" s="152"/>
      <c r="O20" s="33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35" t="str">
        <f aca="false">IF(D20&lt;&gt;"",(30*(set!B$5)-D20)/(30*(set!B$5))*100,"")</f>
        <v/>
      </c>
      <c r="R20" s="85" t="str">
        <f aca="false">IF(E20&lt;&gt;"",IF(O20&lt;1.85,"Выговор",IF(AND(O20&gt;1.85,O20&lt;3),"Предупреждение",IF(AND(O20&gt;3,O20&lt;=4.65),"Нормально",IF(AND(O20&gt;4.65,O20&lt;5.1,MIN(E20:N20)&gt;=4),"Благодарность","Нормально")))),"")</f>
        <v/>
      </c>
      <c r="S20" s="118" t="n">
        <f aca="false">COUNTIF(E20:N20,2)+COUNTIF(E20:N20,1)+COUNTIF(E20:N20,0)</f>
        <v>0</v>
      </c>
    </row>
    <row r="21" customFormat="false" ht="15" hidden="false" customHeight="true" outlineLevel="0" collapsed="false">
      <c r="A21" s="37" t="n">
        <v>15</v>
      </c>
      <c r="B21" s="37" t="s">
        <v>258</v>
      </c>
      <c r="C21" s="37" t="s">
        <v>259</v>
      </c>
      <c r="D21" s="90"/>
      <c r="E21" s="150"/>
      <c r="F21" s="117"/>
      <c r="G21" s="117"/>
      <c r="H21" s="151"/>
      <c r="I21" s="152"/>
      <c r="J21" s="150"/>
      <c r="K21" s="117"/>
      <c r="L21" s="117"/>
      <c r="M21" s="117"/>
      <c r="N21" s="152"/>
      <c r="O21" s="33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35" t="str">
        <f aca="false">IF(D21&lt;&gt;"",(30*(set!B$5)-D21)/(30*(set!B$5))*100,"")</f>
        <v/>
      </c>
      <c r="R21" s="85" t="str">
        <f aca="false">IF(E21&lt;&gt;"",IF(O21&lt;1.85,"Выговор",IF(AND(O21&gt;1.85,O21&lt;3),"Предупреждение",IF(AND(O21&gt;3,O21&lt;=4.65),"Нормально",IF(AND(O21&gt;4.65,O21&lt;5.1,MIN(E21:N21)&gt;=4),"Благодарность","Нормально")))),"")</f>
        <v/>
      </c>
      <c r="S21" s="118" t="n">
        <f aca="false">COUNTIF(E21:N21,2)+COUNTIF(E21:N21,1)+COUNTIF(E21:N21,0)</f>
        <v>0</v>
      </c>
    </row>
    <row r="22" s="45" customFormat="true" ht="15" hidden="false" customHeight="true" outlineLevel="0" collapsed="false">
      <c r="A22" s="37" t="n">
        <v>16</v>
      </c>
      <c r="B22" s="37" t="s">
        <v>260</v>
      </c>
      <c r="C22" s="37" t="s">
        <v>261</v>
      </c>
      <c r="D22" s="90"/>
      <c r="E22" s="150"/>
      <c r="F22" s="117"/>
      <c r="G22" s="117"/>
      <c r="H22" s="151"/>
      <c r="I22" s="152"/>
      <c r="J22" s="150"/>
      <c r="K22" s="117"/>
      <c r="L22" s="117"/>
      <c r="M22" s="117"/>
      <c r="N22" s="152"/>
      <c r="O22" s="33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35" t="str">
        <f aca="false">IF(D22&lt;&gt;"",(30*(set!B$5)-D22)/(30*(set!B$5))*100,"")</f>
        <v/>
      </c>
      <c r="R22" s="85" t="str">
        <f aca="false">IF(E22&lt;&gt;"",IF(O22&lt;1.85,"Выговор",IF(AND(O22&gt;1.85,O22&lt;3),"Предупреждение",IF(AND(O22&gt;3,O22&lt;=4.65),"Нормально",IF(AND(O22&gt;4.65,O22&lt;5.1,MIN(E22:N22)&gt;=4),"Благодарность","Нормально")))),"")</f>
        <v/>
      </c>
      <c r="S22" s="118" t="n">
        <f aca="false">COUNTIF(E22:N22,2)+COUNTIF(E22:N22,1)+COUNTIF(E22:N22,0)</f>
        <v>0</v>
      </c>
    </row>
    <row r="23" s="45" customFormat="true" ht="15" hidden="false" customHeight="true" outlineLevel="0" collapsed="false">
      <c r="A23" s="37" t="n">
        <v>17</v>
      </c>
      <c r="B23" s="37" t="s">
        <v>262</v>
      </c>
      <c r="C23" s="37" t="s">
        <v>263</v>
      </c>
      <c r="D23" s="90"/>
      <c r="E23" s="150"/>
      <c r="F23" s="117"/>
      <c r="G23" s="117"/>
      <c r="H23" s="151"/>
      <c r="I23" s="152"/>
      <c r="J23" s="150"/>
      <c r="K23" s="117"/>
      <c r="L23" s="117"/>
      <c r="M23" s="117"/>
      <c r="N23" s="152"/>
      <c r="O23" s="33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35" t="str">
        <f aca="false">IF(D23&lt;&gt;"",(30*(set!B$5)-D23)/(30*(set!B$5))*100,"")</f>
        <v/>
      </c>
      <c r="R23" s="85" t="str">
        <f aca="false">IF(E23&lt;&gt;"",IF(O23&lt;1.85,"Выговор",IF(AND(O23&gt;1.85,O23&lt;3),"Предупреждение",IF(AND(O23&gt;3,O23&lt;=4.65),"Нормально",IF(AND(O23&gt;4.65,O23&lt;5.1,MIN(E23:N23)&gt;=4),"Благодарность","Нормально")))),"")</f>
        <v/>
      </c>
      <c r="S23" s="118" t="n">
        <f aca="false">COUNTIF(E23:N23,2)+COUNTIF(E23:N23,1)+COUNTIF(E23:N23,0)</f>
        <v>0</v>
      </c>
    </row>
    <row r="24" s="45" customFormat="true" ht="15" hidden="false" customHeight="true" outlineLevel="0" collapsed="false">
      <c r="A24" s="37" t="n">
        <v>19</v>
      </c>
      <c r="B24" s="37" t="s">
        <v>264</v>
      </c>
      <c r="C24" s="37" t="s">
        <v>265</v>
      </c>
      <c r="D24" s="90"/>
      <c r="E24" s="150"/>
      <c r="F24" s="117"/>
      <c r="G24" s="117"/>
      <c r="H24" s="151"/>
      <c r="I24" s="152"/>
      <c r="J24" s="150"/>
      <c r="K24" s="117"/>
      <c r="L24" s="117"/>
      <c r="M24" s="117"/>
      <c r="N24" s="152"/>
      <c r="O24" s="33" t="str">
        <f aca="false">IFERROR(AVERAGE(E24:N24),"")</f>
        <v/>
      </c>
      <c r="P24" s="84" t="str">
        <f aca="false">IF(E24&lt;&gt;"",IF(COUNTIF(E24:N24,"&lt;3"),"Не успевает","Успевает"),"")</f>
        <v/>
      </c>
      <c r="Q24" s="35" t="str">
        <f aca="false">IF(D24&lt;&gt;"",(30*(set!B$5)-D24)/(30*(set!B$5))*100,"")</f>
        <v/>
      </c>
      <c r="R24" s="85" t="str">
        <f aca="false">IF(E24&lt;&gt;"",IF(O24&lt;1.85,"Выговор",IF(AND(O24&gt;1.85,O24&lt;3),"Предупреждение",IF(AND(O24&gt;3,O24&lt;=4.65),"Нормально",IF(AND(O24&gt;4.65,O24&lt;5.1,MIN(E24:N24)&gt;=4),"Благодарность","Нормально")))),"")</f>
        <v/>
      </c>
      <c r="S24" s="118" t="n">
        <f aca="false">COUNTIF(E24:N24,2)+COUNTIF(E24:N24,1)+COUNTIF(E24:N24,0)</f>
        <v>0</v>
      </c>
    </row>
    <row r="25" s="45" customFormat="true" ht="15" hidden="false" customHeight="true" outlineLevel="0" collapsed="false">
      <c r="A25" s="37" t="n">
        <v>21</v>
      </c>
      <c r="B25" s="37" t="s">
        <v>266</v>
      </c>
      <c r="C25" s="37" t="s">
        <v>267</v>
      </c>
      <c r="D25" s="90"/>
      <c r="E25" s="150"/>
      <c r="F25" s="117"/>
      <c r="G25" s="117"/>
      <c r="H25" s="151"/>
      <c r="I25" s="152"/>
      <c r="J25" s="150"/>
      <c r="K25" s="117"/>
      <c r="L25" s="117"/>
      <c r="M25" s="117"/>
      <c r="N25" s="152"/>
      <c r="O25" s="33" t="str">
        <f aca="false">IFERROR(AVERAGE(E25:N25),"")</f>
        <v/>
      </c>
      <c r="P25" s="84" t="str">
        <f aca="false">IF(E25&lt;&gt;"",IF(COUNTIF(E25:N25,"&lt;3"),"Не успевает","Успевает"),"")</f>
        <v/>
      </c>
      <c r="Q25" s="35" t="str">
        <f aca="false">IF(D25&lt;&gt;"",(30*(set!B$5)-D25)/(30*(set!B$5))*100,"")</f>
        <v/>
      </c>
      <c r="R25" s="85" t="str">
        <f aca="false">IF(E25&lt;&gt;"",IF(O25&lt;1.85,"Выговор",IF(AND(O25&gt;1.85,O25&lt;3),"Предупреждение",IF(AND(O25&gt;3,O25&lt;=4.65),"Нормально",IF(AND(O25&gt;4.65,O25&lt;5.1,MIN(E25:N25)&gt;=4),"Благодарность","Нормально")))),"")</f>
        <v/>
      </c>
      <c r="S25" s="118" t="n">
        <f aca="false">COUNTIF(E25:N25,2)+COUNTIF(E25:N25,1)+COUNTIF(E25:N25,0)</f>
        <v>0</v>
      </c>
    </row>
    <row r="26" s="45" customFormat="true" ht="15" hidden="false" customHeight="true" outlineLevel="0" collapsed="false">
      <c r="A26" s="85" t="n">
        <v>22</v>
      </c>
      <c r="B26" s="37" t="s">
        <v>268</v>
      </c>
      <c r="C26" s="37" t="s">
        <v>269</v>
      </c>
      <c r="D26" s="90"/>
      <c r="E26" s="150"/>
      <c r="F26" s="117"/>
      <c r="G26" s="117"/>
      <c r="H26" s="151"/>
      <c r="I26" s="152"/>
      <c r="J26" s="150"/>
      <c r="K26" s="117"/>
      <c r="L26" s="117"/>
      <c r="M26" s="117"/>
      <c r="N26" s="152"/>
      <c r="O26" s="33" t="str">
        <f aca="false">IFERROR(AVERAGE(E26:N26),"")</f>
        <v/>
      </c>
      <c r="P26" s="84" t="str">
        <f aca="false">IF(E26&lt;&gt;"",IF(COUNTIF(E26:N26,"&lt;3"),"Не успевает","Успевает"),"")</f>
        <v/>
      </c>
      <c r="Q26" s="35" t="str">
        <f aca="false">IF(D26&lt;&gt;"",(30*(set!B$5)-D26)/(30*(set!B$5))*100,"")</f>
        <v/>
      </c>
      <c r="R26" s="85" t="str">
        <f aca="false">IF(E26&lt;&gt;"",IF(O26&lt;1.85,"Выговор",IF(AND(O26&gt;1.85,O26&lt;3),"Предупреждение",IF(AND(O26&gt;3,O26&lt;=4.65),"Нормально",IF(AND(O26&gt;4.65,O26&lt;5.1,MIN(E26:N26)&gt;=4),"Благодарность","Нормально")))),"")</f>
        <v/>
      </c>
      <c r="S26" s="118" t="n">
        <f aca="false">COUNTIF(E26:N26,2)+COUNTIF(E26:N26,1)+COUNTIF(E26:N26,0)</f>
        <v>0</v>
      </c>
    </row>
    <row r="27" customFormat="false" ht="15" hidden="false" customHeight="true" outlineLevel="0" collapsed="false">
      <c r="A27" s="37" t="n">
        <v>23</v>
      </c>
      <c r="B27" s="37" t="s">
        <v>270</v>
      </c>
      <c r="C27" s="37" t="s">
        <v>271</v>
      </c>
      <c r="D27" s="90"/>
      <c r="E27" s="150"/>
      <c r="F27" s="117"/>
      <c r="G27" s="117"/>
      <c r="H27" s="151"/>
      <c r="I27" s="152"/>
      <c r="J27" s="150"/>
      <c r="K27" s="117"/>
      <c r="L27" s="117"/>
      <c r="M27" s="117"/>
      <c r="N27" s="152"/>
      <c r="O27" s="33" t="str">
        <f aca="false">IFERROR(AVERAGE(E27:N27),"")</f>
        <v/>
      </c>
      <c r="P27" s="84" t="str">
        <f aca="false">IF(E27&lt;&gt;"",IF(COUNTIF(E27:N27,"&lt;3"),"Не успевает","Успевает"),"")</f>
        <v/>
      </c>
      <c r="Q27" s="35" t="str">
        <f aca="false">IF(D27&lt;&gt;"",(30*(set!B$5)-D27)/(30*(set!B$5))*100,"")</f>
        <v/>
      </c>
      <c r="R27" s="85" t="str">
        <f aca="false">IF(E27&lt;&gt;"",IF(O27&lt;1.85,"Выговор",IF(AND(O27&gt;1.85,O27&lt;3),"Предупреждение",IF(AND(O27&gt;3,O27&lt;=4.65),"Нормально",IF(AND(O27&gt;4.65,O27&lt;5.1,MIN(E27:N27)&gt;=4),"Благодарность","Нормально")))),"")</f>
        <v/>
      </c>
      <c r="S27" s="118" t="n">
        <f aca="false">COUNTIF(E27:N27,2)+COUNTIF(E27:N27,1)+COUNTIF(E27:N27,0)</f>
        <v>0</v>
      </c>
    </row>
    <row r="28" customFormat="false" ht="15" hidden="false" customHeight="true" outlineLevel="0" collapsed="false">
      <c r="A28" s="37" t="n">
        <v>24</v>
      </c>
      <c r="B28" s="37" t="s">
        <v>272</v>
      </c>
      <c r="C28" s="37" t="s">
        <v>273</v>
      </c>
      <c r="D28" s="90"/>
      <c r="E28" s="150"/>
      <c r="F28" s="117"/>
      <c r="G28" s="117"/>
      <c r="H28" s="151"/>
      <c r="I28" s="152"/>
      <c r="J28" s="150"/>
      <c r="K28" s="117"/>
      <c r="L28" s="117"/>
      <c r="M28" s="117"/>
      <c r="N28" s="152"/>
      <c r="O28" s="33" t="str">
        <f aca="false">IFERROR(AVERAGE(E28:N28),"")</f>
        <v/>
      </c>
      <c r="P28" s="84" t="str">
        <f aca="false">IF(E28&lt;&gt;"",IF(COUNTIF(E28:N28,"&lt;3"),"Не успевает","Успевает"),"")</f>
        <v/>
      </c>
      <c r="Q28" s="35" t="str">
        <f aca="false">IF(D28&lt;&gt;"",(30*(set!B$5)-D28)/(30*(set!B$5))*100,"")</f>
        <v/>
      </c>
      <c r="R28" s="85" t="str">
        <f aca="false">IF(E28&lt;&gt;"",IF(O28&lt;1.85,"Выговор",IF(AND(O28&gt;1.85,O28&lt;3),"Предупреждение",IF(AND(O28&gt;3,O28&lt;=4.65),"Нормально",IF(AND(O28&gt;4.65,O28&lt;5.1,MIN(E28:N28)&gt;=4),"Благодарность","Нормально")))),"")</f>
        <v/>
      </c>
      <c r="S28" s="118" t="n">
        <f aca="false">COUNTIF(E28:N28,2)+COUNTIF(E28:N28,1)+COUNTIF(E28:N28,0)</f>
        <v>0</v>
      </c>
    </row>
    <row r="29" customFormat="false" ht="15" hidden="false" customHeight="true" outlineLevel="0" collapsed="false">
      <c r="A29" s="0" t="s">
        <v>77</v>
      </c>
      <c r="B29" s="45"/>
      <c r="D29" s="46"/>
      <c r="E29" s="47" t="e">
        <f aca="false">AVERAGE(E8:E28)</f>
        <v>#DIV/0!</v>
      </c>
      <c r="F29" s="47" t="e">
        <f aca="false">AVERAGE(F8:F28)</f>
        <v>#DIV/0!</v>
      </c>
      <c r="G29" s="47" t="e">
        <f aca="false">AVERAGE(G8:G28)</f>
        <v>#DIV/0!</v>
      </c>
      <c r="H29" s="47" t="e">
        <f aca="false">AVERAGE(H8:H28)</f>
        <v>#DIV/0!</v>
      </c>
      <c r="I29" s="47" t="e">
        <f aca="false">AVERAGE(I8:I28)</f>
        <v>#DIV/0!</v>
      </c>
      <c r="J29" s="47" t="e">
        <f aca="false">AVERAGE(J8:J28)</f>
        <v>#DIV/0!</v>
      </c>
      <c r="K29" s="47" t="e">
        <f aca="false">AVERAGE(K8:K28)</f>
        <v>#DIV/0!</v>
      </c>
      <c r="L29" s="47" t="e">
        <f aca="false">AVERAGE(L8:L28)</f>
        <v>#DIV/0!</v>
      </c>
      <c r="M29" s="47" t="e">
        <f aca="false">AVERAGE(M8:M28)</f>
        <v>#DIV/0!</v>
      </c>
      <c r="N29" s="47" t="e">
        <f aca="false">AVERAGE(N8:N28)</f>
        <v>#DIV/0!</v>
      </c>
      <c r="O29" s="48"/>
      <c r="P29" s="48"/>
      <c r="Q29" s="48"/>
    </row>
    <row r="30" customFormat="false" ht="15" hidden="false" customHeight="true" outlineLevel="0" collapsed="false">
      <c r="A30" s="0" t="s">
        <v>78</v>
      </c>
      <c r="D30" s="46"/>
      <c r="E30" s="49" t="e">
        <f aca="false">(COUNTIF(E8:E28,5)+COUNTIF(E8:E28,4)+COUNTIF(E8:E28,3))/$Q$34*100</f>
        <v>#DIV/0!</v>
      </c>
      <c r="F30" s="49" t="e">
        <f aca="false">(COUNTIF(F8:F28,5)+COUNTIF(F8:F28,4)+COUNTIF(F8:F28,3))/$Q$34*100</f>
        <v>#DIV/0!</v>
      </c>
      <c r="G30" s="49" t="e">
        <f aca="false">(COUNTIF(G8:G28,5)+COUNTIF(G8:G28,4)+COUNTIF(G8:G28,3))/$Q$34*100</f>
        <v>#DIV/0!</v>
      </c>
      <c r="H30" s="49" t="e">
        <f aca="false">(COUNTIF(H8:H28,5)+COUNTIF(H8:H28,4)+COUNTIF(H8:H28,3))/$Q$34*100</f>
        <v>#DIV/0!</v>
      </c>
      <c r="I30" s="49" t="e">
        <f aca="false">(COUNTIF(I8:I28,5)+COUNTIF(I8:I28,4)+COUNTIF(I8:I28,3))/$Q$34*100</f>
        <v>#DIV/0!</v>
      </c>
      <c r="J30" s="49" t="e">
        <f aca="false">(COUNTIF(J8:J28,5)+COUNTIF(J8:J28,4)+COUNTIF(J8:J28,3))/$Q$34*100</f>
        <v>#DIV/0!</v>
      </c>
      <c r="K30" s="49" t="e">
        <f aca="false">(COUNTIF(K8:K28,5)+COUNTIF(K8:K28,4)+COUNTIF(K8:K28,3))/$Q$34*100</f>
        <v>#DIV/0!</v>
      </c>
      <c r="L30" s="49" t="e">
        <f aca="false">(COUNTIF(L8:L28,5)+COUNTIF(L8:L28,4)+COUNTIF(L8:L28,3))/$Q$34*100</f>
        <v>#DIV/0!</v>
      </c>
      <c r="M30" s="49" t="e">
        <f aca="false">(COUNTIF(M8:M28,5)+COUNTIF(M8:M28,4)+COUNTIF(M8:M28,3))/$Q$34*100</f>
        <v>#DIV/0!</v>
      </c>
      <c r="N30" s="49" t="e">
        <f aca="false">(COUNTIF(N8:N28,5)+COUNTIF(N8:N28,4)+COUNTIF(N8:N28,3))/$Q$34*100</f>
        <v>#DIV/0!</v>
      </c>
      <c r="O30" s="48"/>
      <c r="P30" s="48"/>
      <c r="Q30" s="48"/>
    </row>
    <row r="31" customFormat="false" ht="15" hidden="false" customHeight="true" outlineLevel="0" collapsed="false"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</row>
    <row r="32" customFormat="false" ht="15" hidden="false" customHeight="true" outlineLevel="0" collapsed="false">
      <c r="B32" s="50"/>
      <c r="C32" s="50" t="s">
        <v>8</v>
      </c>
      <c r="D32" s="51" t="str">
        <f aca="false">IFERROR(AVERAGE(O8:O28),"")</f>
        <v/>
      </c>
      <c r="E32" s="52" t="s">
        <v>9</v>
      </c>
      <c r="F32" s="52"/>
      <c r="G32" s="53" t="str">
        <f aca="false">IFERROR(COUNTIF(P8:P28,"Успевает")/Q34*100,"")</f>
        <v/>
      </c>
      <c r="H32" s="53"/>
      <c r="I32" s="54" t="s">
        <v>79</v>
      </c>
      <c r="J32" s="54"/>
      <c r="K32" s="55" t="str">
        <f aca="false">IFERROR(AVERAGE(Q8:Q28),"")</f>
        <v/>
      </c>
      <c r="L32" s="52"/>
      <c r="M32" s="52"/>
      <c r="N32" s="52"/>
      <c r="O32" s="158"/>
      <c r="P32" s="48"/>
      <c r="Q32" s="48"/>
      <c r="R32" s="48"/>
    </row>
    <row r="33" customFormat="false" ht="15" hidden="false" customHeight="true" outlineLevel="0" collapsed="false">
      <c r="B33" s="50"/>
      <c r="C33" s="50"/>
      <c r="D33" s="50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</row>
    <row r="34" customFormat="false" ht="15" hidden="false" customHeight="true" outlineLevel="0" collapsed="false">
      <c r="A34" s="50"/>
      <c r="B34" s="61" t="s">
        <v>81</v>
      </c>
      <c r="C34" s="61"/>
      <c r="D34" s="61"/>
      <c r="E34" s="61"/>
      <c r="F34" s="61"/>
      <c r="G34" s="61"/>
      <c r="H34" s="61"/>
      <c r="I34" s="61"/>
      <c r="J34" s="61"/>
      <c r="K34" s="61"/>
      <c r="L34" s="61" t="s">
        <v>82</v>
      </c>
      <c r="M34" s="61"/>
      <c r="N34" s="67"/>
      <c r="O34" s="57" t="s">
        <v>80</v>
      </c>
      <c r="P34" s="57"/>
      <c r="Q34" s="58" t="n">
        <f aca="false">SUM(Q35:Q36)</f>
        <v>0</v>
      </c>
    </row>
    <row r="35" customFormat="false" ht="15" hidden="false" customHeight="true" outlineLevel="0" collapsed="false">
      <c r="A35" s="50"/>
      <c r="B35" s="65" t="str">
        <f aca="false">$E$6</f>
        <v> История России</v>
      </c>
      <c r="C35" s="65"/>
      <c r="D35" s="65"/>
      <c r="E35" s="65"/>
      <c r="F35" s="65"/>
      <c r="G35" s="65"/>
      <c r="H35" s="65"/>
      <c r="I35" s="65"/>
      <c r="J35" s="65"/>
      <c r="K35" s="65"/>
      <c r="L35" s="66"/>
      <c r="M35" s="66"/>
      <c r="N35" s="67"/>
      <c r="O35" s="57" t="s">
        <v>83</v>
      </c>
      <c r="P35" s="57"/>
      <c r="Q35" s="58" t="n">
        <f aca="false">COUNTIF(P8:P28,"Успевает")</f>
        <v>0</v>
      </c>
    </row>
    <row r="36" customFormat="false" ht="15" hidden="false" customHeight="true" outlineLevel="0" collapsed="false">
      <c r="A36" s="50"/>
      <c r="B36" s="140" t="str">
        <f aca="false">$F$6</f>
        <v> Основы конструирования приборов
</v>
      </c>
      <c r="C36" s="140"/>
      <c r="D36" s="140"/>
      <c r="E36" s="140"/>
      <c r="F36" s="140"/>
      <c r="G36" s="140"/>
      <c r="H36" s="140"/>
      <c r="I36" s="140"/>
      <c r="J36" s="140"/>
      <c r="K36" s="140"/>
      <c r="L36" s="66"/>
      <c r="M36" s="66"/>
      <c r="N36" s="67"/>
      <c r="O36" s="98" t="s">
        <v>84</v>
      </c>
      <c r="P36" s="98"/>
      <c r="Q36" s="58" t="n">
        <f aca="false">COUNTIF(P8:P28,"Не успевает")</f>
        <v>0</v>
      </c>
    </row>
    <row r="37" customFormat="false" ht="15" hidden="false" customHeight="true" outlineLevel="0" collapsed="false">
      <c r="A37" s="50"/>
      <c r="B37" s="141" t="str">
        <f aca="false">$G$6</f>
        <v> Физика </v>
      </c>
      <c r="C37" s="141"/>
      <c r="D37" s="141"/>
      <c r="E37" s="141"/>
      <c r="F37" s="141"/>
      <c r="G37" s="141"/>
      <c r="H37" s="141"/>
      <c r="I37" s="141"/>
      <c r="J37" s="141"/>
      <c r="K37" s="141"/>
      <c r="L37" s="66"/>
      <c r="M37" s="66"/>
      <c r="N37" s="67"/>
      <c r="O37" s="98" t="s">
        <v>85</v>
      </c>
      <c r="P37" s="98"/>
      <c r="Q37" s="58" t="n">
        <f aca="false">COUNTIF(R8:R28,"Благодарность")</f>
        <v>0</v>
      </c>
    </row>
    <row r="38" customFormat="false" ht="15" hidden="false" customHeight="true" outlineLevel="0" collapsed="false">
      <c r="A38" s="50"/>
      <c r="B38" s="65" t="str">
        <f aca="false">$H$6</f>
        <v> Функциональная логика и теория алгоритмов</v>
      </c>
      <c r="C38" s="65"/>
      <c r="D38" s="65"/>
      <c r="E38" s="65"/>
      <c r="F38" s="65"/>
      <c r="G38" s="65"/>
      <c r="H38" s="65"/>
      <c r="I38" s="65"/>
      <c r="J38" s="65"/>
      <c r="K38" s="65"/>
      <c r="L38" s="66"/>
      <c r="M38" s="66"/>
      <c r="N38" s="67"/>
      <c r="O38" s="98" t="s">
        <v>86</v>
      </c>
      <c r="P38" s="98"/>
      <c r="Q38" s="58" t="n">
        <f aca="false">COUNTIF(R8:R28,"Нормально")</f>
        <v>0</v>
      </c>
    </row>
    <row r="39" customFormat="false" ht="15" hidden="false" customHeight="true" outlineLevel="0" collapsed="false">
      <c r="A39" s="50"/>
      <c r="B39" s="65" t="str">
        <f aca="false">$I$6</f>
        <v> Электротехника</v>
      </c>
      <c r="C39" s="65"/>
      <c r="D39" s="65"/>
      <c r="E39" s="65"/>
      <c r="F39" s="65"/>
      <c r="G39" s="65"/>
      <c r="H39" s="65"/>
      <c r="I39" s="65"/>
      <c r="J39" s="65"/>
      <c r="K39" s="65"/>
      <c r="L39" s="66"/>
      <c r="M39" s="66"/>
      <c r="N39" s="67"/>
      <c r="O39" s="98" t="s">
        <v>87</v>
      </c>
      <c r="P39" s="98"/>
      <c r="Q39" s="58" t="n">
        <f aca="false">COUNTIF(R8:R28,"Предупреждение")</f>
        <v>0</v>
      </c>
    </row>
    <row r="40" customFormat="false" ht="15" hidden="false" customHeight="true" outlineLevel="0" collapsed="false">
      <c r="A40" s="50"/>
      <c r="B40" s="65" t="str">
        <f aca="false">$J$6</f>
        <v> Дискретная математика </v>
      </c>
      <c r="C40" s="65"/>
      <c r="D40" s="65"/>
      <c r="E40" s="65"/>
      <c r="F40" s="65"/>
      <c r="G40" s="65"/>
      <c r="H40" s="65"/>
      <c r="I40" s="65"/>
      <c r="J40" s="65"/>
      <c r="K40" s="65"/>
      <c r="L40" s="66"/>
      <c r="M40" s="66"/>
      <c r="N40" s="67"/>
      <c r="O40" s="98" t="s">
        <v>88</v>
      </c>
      <c r="P40" s="98"/>
      <c r="Q40" s="58" t="n">
        <f aca="false">COUNTIF(R8:R28,"Выговор")</f>
        <v>0</v>
      </c>
    </row>
    <row r="41" customFormat="false" ht="15" hidden="false" customHeight="true" outlineLevel="0" collapsed="false">
      <c r="A41" s="50"/>
      <c r="B41" s="65" t="str">
        <f aca="false">$K$6</f>
        <v>Иностранный язык</v>
      </c>
      <c r="C41" s="65"/>
      <c r="D41" s="65"/>
      <c r="E41" s="65"/>
      <c r="F41" s="65"/>
      <c r="G41" s="65"/>
      <c r="H41" s="65"/>
      <c r="I41" s="65"/>
      <c r="J41" s="65"/>
      <c r="K41" s="65"/>
      <c r="L41" s="66"/>
      <c r="M41" s="66"/>
      <c r="N41" s="67"/>
      <c r="O41" s="159" t="s">
        <v>12</v>
      </c>
      <c r="P41" s="159"/>
      <c r="Q41" s="143" t="n">
        <f aca="false">SUM(S8:S28)</f>
        <v>0</v>
      </c>
      <c r="R41" s="48"/>
    </row>
    <row r="42" customFormat="false" ht="15" hidden="false" customHeight="true" outlineLevel="0" collapsed="false">
      <c r="A42" s="50"/>
      <c r="B42" s="65" t="str">
        <f aca="false">$L$6</f>
        <v> Технологическая подготовка производствав</v>
      </c>
      <c r="C42" s="65"/>
      <c r="D42" s="65"/>
      <c r="E42" s="65"/>
      <c r="F42" s="65"/>
      <c r="G42" s="65"/>
      <c r="H42" s="65"/>
      <c r="I42" s="65"/>
      <c r="J42" s="65"/>
      <c r="K42" s="65"/>
      <c r="L42" s="66"/>
      <c r="M42" s="66"/>
      <c r="N42" s="67"/>
      <c r="O42" s="67"/>
      <c r="P42" s="67"/>
      <c r="Q42" s="67"/>
      <c r="R42" s="48"/>
    </row>
    <row r="43" customFormat="false" ht="15" hidden="false" customHeight="true" outlineLevel="0" collapsed="false">
      <c r="A43" s="50"/>
      <c r="B43" s="65" t="str">
        <f aca="false">$M$6</f>
        <v> Философия</v>
      </c>
      <c r="C43" s="65"/>
      <c r="D43" s="65"/>
      <c r="E43" s="65"/>
      <c r="F43" s="65"/>
      <c r="G43" s="65"/>
      <c r="H43" s="65"/>
      <c r="I43" s="65"/>
      <c r="J43" s="65"/>
      <c r="K43" s="65"/>
      <c r="L43" s="66"/>
      <c r="M43" s="66"/>
      <c r="N43" s="67"/>
      <c r="O43" s="67"/>
      <c r="P43" s="67"/>
      <c r="Q43" s="67"/>
      <c r="R43" s="48"/>
    </row>
    <row r="44" customFormat="false" ht="15" hidden="false" customHeight="true" outlineLevel="0" collapsed="false">
      <c r="A44" s="50"/>
      <c r="B44" s="65" t="str">
        <f aca="false">$N$6</f>
        <v>Физическая культура и спорт</v>
      </c>
      <c r="C44" s="65"/>
      <c r="D44" s="65"/>
      <c r="E44" s="65"/>
      <c r="F44" s="65"/>
      <c r="G44" s="65"/>
      <c r="H44" s="65"/>
      <c r="I44" s="65"/>
      <c r="J44" s="65"/>
      <c r="K44" s="65"/>
      <c r="L44" s="66"/>
      <c r="M44" s="66"/>
      <c r="N44" s="67"/>
      <c r="O44" s="67"/>
      <c r="P44" s="67"/>
      <c r="Q44" s="67"/>
      <c r="R44" s="48"/>
    </row>
    <row r="45" customFormat="false" ht="15" hidden="false" customHeight="true" outlineLevel="0" collapsed="false">
      <c r="A45" s="50"/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48"/>
    </row>
    <row r="46" customFormat="false" ht="15" hidden="false" customHeight="true" outlineLevel="0" collapsed="false">
      <c r="A46" s="50"/>
      <c r="B46" s="73" t="s">
        <v>89</v>
      </c>
      <c r="C46" s="144" t="s">
        <v>274</v>
      </c>
      <c r="D46" s="144"/>
      <c r="E46" s="67"/>
      <c r="F46" s="52" t="s">
        <v>230</v>
      </c>
      <c r="G46" s="52" t="s">
        <v>142</v>
      </c>
      <c r="H46" s="52"/>
      <c r="I46" s="52"/>
      <c r="J46" s="52"/>
      <c r="K46" s="52"/>
      <c r="L46" s="52"/>
      <c r="M46" s="50"/>
      <c r="N46" s="50"/>
      <c r="O46" s="48"/>
    </row>
    <row r="47" customFormat="false" ht="15" hidden="false" customHeight="true" outlineLevel="0" collapsed="false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48"/>
    </row>
    <row r="48" customFormat="false" ht="15" hidden="false" customHeight="true" outlineLevel="0" collapsed="false">
      <c r="A48" s="50"/>
      <c r="B48" s="50" t="s">
        <v>93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48"/>
    </row>
    <row r="49" customFormat="false" ht="15" hidden="false" customHeight="true" outlineLevel="0" collapsed="false">
      <c r="A49" s="50"/>
      <c r="B49" s="50" t="s">
        <v>94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48"/>
    </row>
    <row r="50" customFormat="false" ht="15" hidden="false" customHeight="true" outlineLevel="0" collapsed="false">
      <c r="A50" s="50"/>
      <c r="B50" s="50" t="s">
        <v>95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48"/>
    </row>
    <row r="51" customFormat="false" ht="15" hidden="false" customHeight="true" outlineLevel="0" collapsed="false">
      <c r="A51" s="50"/>
      <c r="B51" s="50" t="s">
        <v>96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48"/>
    </row>
    <row r="52" customFormat="false" ht="15" hidden="false" customHeight="true" outlineLevel="0" collapsed="false">
      <c r="A52" s="50"/>
      <c r="B52" s="50" t="s">
        <v>97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48"/>
    </row>
    <row r="53" customFormat="false" ht="15" hidden="false" customHeight="true" outlineLevel="0" collapsed="false">
      <c r="A53" s="50"/>
      <c r="B53" s="50" t="s">
        <v>98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48"/>
      <c r="P53" s="48"/>
      <c r="Q53" s="48"/>
      <c r="R53" s="48"/>
    </row>
    <row r="54" customFormat="false" ht="15" hidden="false" customHeight="true" outlineLevel="0" collapsed="false">
      <c r="A54" s="50"/>
      <c r="B54" s="50" t="s">
        <v>99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48"/>
      <c r="P54" s="48"/>
      <c r="Q54" s="48"/>
      <c r="R54" s="48"/>
    </row>
    <row r="55" customFormat="false" ht="15.75" hidden="false" customHeight="false" outlineLevel="0" collapsed="false">
      <c r="A55" s="50"/>
      <c r="N55" s="50"/>
      <c r="O55" s="48"/>
      <c r="P55" s="48"/>
      <c r="Q55" s="48"/>
      <c r="R55" s="48"/>
    </row>
  </sheetData>
  <mergeCells count="43">
    <mergeCell ref="E1:I1"/>
    <mergeCell ref="A5:A7"/>
    <mergeCell ref="B5:B7"/>
    <mergeCell ref="C5:C7"/>
    <mergeCell ref="D5:D7"/>
    <mergeCell ref="E5:I5"/>
    <mergeCell ref="J5:N5"/>
    <mergeCell ref="O5:O7"/>
    <mergeCell ref="P5:P7"/>
    <mergeCell ref="Q5:Q7"/>
    <mergeCell ref="R5:R7"/>
    <mergeCell ref="S5:S7"/>
    <mergeCell ref="I32:J32"/>
    <mergeCell ref="B34:K34"/>
    <mergeCell ref="L34:M34"/>
    <mergeCell ref="O34:P34"/>
    <mergeCell ref="B35:K35"/>
    <mergeCell ref="L35:M35"/>
    <mergeCell ref="O35:P35"/>
    <mergeCell ref="B36:K36"/>
    <mergeCell ref="L36:M36"/>
    <mergeCell ref="O36:P36"/>
    <mergeCell ref="B37:K37"/>
    <mergeCell ref="L37:M37"/>
    <mergeCell ref="O37:P37"/>
    <mergeCell ref="B38:K38"/>
    <mergeCell ref="L38:M38"/>
    <mergeCell ref="O38:P38"/>
    <mergeCell ref="B39:K39"/>
    <mergeCell ref="L39:M39"/>
    <mergeCell ref="O39:P39"/>
    <mergeCell ref="B40:K40"/>
    <mergeCell ref="L40:M40"/>
    <mergeCell ref="O40:P40"/>
    <mergeCell ref="B41:K41"/>
    <mergeCell ref="L41:M41"/>
    <mergeCell ref="O41:P41"/>
    <mergeCell ref="B42:K42"/>
    <mergeCell ref="L42:M42"/>
    <mergeCell ref="B43:K43"/>
    <mergeCell ref="L43:M43"/>
    <mergeCell ref="B44:K44"/>
    <mergeCell ref="L44:M44"/>
  </mergeCells>
  <conditionalFormatting sqref="F2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0:F1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J1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0:I10 K8:N10 E8:E10 F8:I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N3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4:I24 E24 K24:N24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5:F28 F21:F23 F12:F19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5:N28 G21:I23 F20:I20 K17:N23 E25:E28 G25:I28 G11:I19 K11:N15 E11:E23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5:J28 K16:N16 J11:J23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28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3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27" activeCellId="0" sqref="B27"/>
    </sheetView>
  </sheetViews>
  <sheetFormatPr defaultColWidth="8.6796875" defaultRowHeight="15" zeroHeight="false" outlineLevelRow="0" outlineLevelCol="0"/>
  <cols>
    <col collapsed="false" customWidth="true" hidden="false" outlineLevel="0" max="2" min="2" style="0" width="10.85"/>
    <col collapsed="false" customWidth="true" hidden="false" outlineLevel="0" max="3" min="3" style="0" width="16"/>
    <col collapsed="false" customWidth="true" hidden="false" outlineLevel="0" max="12" min="12" style="45" width="8.86"/>
    <col collapsed="false" customWidth="true" hidden="false" outlineLevel="0" max="14" min="14" style="0" width="11.29"/>
    <col collapsed="false" customWidth="true" hidden="false" outlineLevel="0" max="15" min="15" style="0" width="10.57"/>
  </cols>
  <sheetData>
    <row r="1" customFormat="false" ht="19.7" hidden="false" customHeight="false" outlineLevel="0" collapsed="false">
      <c r="A1" s="45"/>
      <c r="B1" s="45"/>
      <c r="C1" s="45"/>
      <c r="D1" s="45"/>
      <c r="E1" s="1" t="s">
        <v>0</v>
      </c>
      <c r="F1" s="1"/>
      <c r="G1" s="1"/>
      <c r="H1" s="1"/>
      <c r="I1" s="2" t="n">
        <f aca="false">set!B1</f>
        <v>2</v>
      </c>
      <c r="J1" s="3"/>
      <c r="K1" s="45"/>
      <c r="M1" s="45"/>
      <c r="N1" s="45"/>
      <c r="O1" s="45"/>
      <c r="P1" s="45"/>
      <c r="Q1" s="45"/>
      <c r="R1" s="45"/>
      <c r="S1" s="45"/>
    </row>
    <row r="2" customFormat="false" ht="15" hidden="false" customHeight="false" outlineLevel="0" collapsed="false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M2" s="72" t="s">
        <v>1</v>
      </c>
      <c r="N2" s="146"/>
      <c r="O2" s="146" t="n">
        <f aca="false">set!B4</f>
        <v>45608</v>
      </c>
      <c r="P2" s="72"/>
      <c r="Q2" s="75"/>
      <c r="R2" s="72"/>
      <c r="S2" s="45"/>
    </row>
    <row r="3" customFormat="false" ht="15" hidden="false" customHeight="false" outlineLevel="0" collapsed="false">
      <c r="A3" s="45" t="str">
        <f aca="false">"Успеваемость студентов за "&amp;(set!B2)&amp;" "&amp;"семестр"&amp;" "&amp;(set!B3) &amp;" "&amp; "учебного года по группе ИУК1-39Б факультета ИУК МГТУ им. Н.Э. Баумана"</f>
        <v>Успеваемость студентов за 1 семестр 24/25 учебного года по группе ИУК1-39Б факультета ИУК МГТУ им. Н.Э. Баумана</v>
      </c>
      <c r="B3" s="45"/>
      <c r="C3" s="45"/>
      <c r="D3" s="45"/>
      <c r="E3" s="45"/>
      <c r="F3" s="45"/>
      <c r="G3" s="45"/>
      <c r="H3" s="45"/>
      <c r="I3" s="45"/>
      <c r="J3" s="45"/>
      <c r="K3" s="45"/>
      <c r="M3" s="45"/>
      <c r="N3" s="45"/>
      <c r="O3" s="45"/>
      <c r="P3" s="45"/>
      <c r="Q3" s="45"/>
      <c r="R3" s="45"/>
      <c r="S3" s="45"/>
    </row>
    <row r="4" customFormat="false" ht="15" hidden="false" customHeight="false" outlineLevel="0" collapsed="false">
      <c r="A4" s="45"/>
      <c r="B4" s="7"/>
      <c r="C4" s="7"/>
      <c r="D4" s="45"/>
      <c r="E4" s="45"/>
      <c r="F4" s="45"/>
      <c r="G4" s="45"/>
      <c r="H4" s="45"/>
      <c r="I4" s="45"/>
      <c r="J4" s="45"/>
      <c r="K4" s="45"/>
      <c r="M4" s="45"/>
      <c r="N4" s="45"/>
      <c r="O4" s="45"/>
      <c r="P4" s="45"/>
      <c r="Q4" s="45"/>
      <c r="R4" s="45"/>
      <c r="S4" s="45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1"/>
      <c r="O5" s="12" t="s">
        <v>8</v>
      </c>
      <c r="P5" s="13" t="s">
        <v>9</v>
      </c>
      <c r="Q5" s="13" t="s">
        <v>10</v>
      </c>
      <c r="R5" s="14" t="s">
        <v>11</v>
      </c>
      <c r="S5" s="14" t="s">
        <v>12</v>
      </c>
    </row>
    <row r="6" customFormat="false" ht="1.45" hidden="false" customHeight="false" outlineLevel="0" collapsed="false">
      <c r="A6" s="8"/>
      <c r="B6" s="8"/>
      <c r="C6" s="8"/>
      <c r="D6" s="9"/>
      <c r="E6" s="15" t="s">
        <v>164</v>
      </c>
      <c r="F6" s="16" t="s">
        <v>275</v>
      </c>
      <c r="G6" s="16" t="s">
        <v>165</v>
      </c>
      <c r="H6" s="18" t="s">
        <v>167</v>
      </c>
      <c r="I6" s="15" t="s">
        <v>18</v>
      </c>
      <c r="J6" s="16" t="s">
        <v>276</v>
      </c>
      <c r="K6" s="16" t="s">
        <v>169</v>
      </c>
      <c r="L6" s="16" t="s">
        <v>170</v>
      </c>
      <c r="M6" s="16" t="s">
        <v>277</v>
      </c>
      <c r="N6" s="18" t="s">
        <v>147</v>
      </c>
      <c r="O6" s="12"/>
      <c r="P6" s="13"/>
      <c r="Q6" s="13"/>
      <c r="R6" s="14"/>
      <c r="S6" s="14"/>
    </row>
    <row r="7" customFormat="false" ht="17.9" hidden="false" customHeight="false" outlineLevel="0" collapsed="false">
      <c r="A7" s="8"/>
      <c r="B7" s="8"/>
      <c r="C7" s="8"/>
      <c r="D7" s="9"/>
      <c r="E7" s="22" t="s">
        <v>171</v>
      </c>
      <c r="F7" s="23" t="s">
        <v>278</v>
      </c>
      <c r="G7" s="23" t="s">
        <v>22</v>
      </c>
      <c r="H7" s="24" t="s">
        <v>172</v>
      </c>
      <c r="I7" s="22" t="s">
        <v>27</v>
      </c>
      <c r="J7" s="23" t="s">
        <v>151</v>
      </c>
      <c r="K7" s="23" t="s">
        <v>174</v>
      </c>
      <c r="L7" s="23" t="s">
        <v>175</v>
      </c>
      <c r="M7" s="23" t="s">
        <v>174</v>
      </c>
      <c r="N7" s="24" t="s">
        <v>176</v>
      </c>
      <c r="O7" s="12"/>
      <c r="P7" s="13"/>
      <c r="Q7" s="13"/>
      <c r="R7" s="14"/>
      <c r="S7" s="14"/>
    </row>
    <row r="8" customFormat="false" ht="15" hidden="false" customHeight="false" outlineLevel="0" collapsed="false">
      <c r="A8" s="103" t="n">
        <v>1</v>
      </c>
      <c r="B8" s="25" t="s">
        <v>279</v>
      </c>
      <c r="C8" s="25" t="s">
        <v>280</v>
      </c>
      <c r="D8" s="160"/>
      <c r="E8" s="150"/>
      <c r="F8" s="117"/>
      <c r="G8" s="117"/>
      <c r="H8" s="152"/>
      <c r="I8" s="150"/>
      <c r="J8" s="117"/>
      <c r="K8" s="117"/>
      <c r="L8" s="117"/>
      <c r="M8" s="117"/>
      <c r="N8" s="152"/>
      <c r="O8" s="154" t="str">
        <f aca="false">IFERROR(AVERAGE(E8:N8),"")</f>
        <v/>
      </c>
      <c r="P8" s="117" t="str">
        <f aca="false">IF(E8&lt;&gt;"",IF(COUNTIF(E8:N8,"&lt;3"),"Не успевает","Успевает"),"")</f>
        <v/>
      </c>
      <c r="Q8" s="155" t="str">
        <f aca="false">IF(D8&lt;&gt;"",(30*(set!B$5)-D8)/(30*(set!B$5))*100,"")</f>
        <v/>
      </c>
      <c r="R8" s="85" t="str">
        <f aca="false">IF(E8&lt;&gt;"",IF(O8&lt;1.85,"Выговор",IF(AND(O8&gt;1.85,O8&lt;3),"Предупреждение",IF(AND(O8&gt;3,O8&lt;=4.65),"Нормально",IF(AND(O8&gt;4.65,O8&lt;5.1,MIN(E8:N8)&gt;=4),"Благодарность","Нормально")))),"")</f>
        <v/>
      </c>
      <c r="S8" s="118" t="n">
        <f aca="false">COUNTIF(E8:N8,2)+COUNTIF(E8:N8,1)+COUNTIF(E8:N8,0)</f>
        <v>0</v>
      </c>
    </row>
    <row r="9" customFormat="false" ht="15" hidden="false" customHeight="false" outlineLevel="0" collapsed="false">
      <c r="A9" s="37" t="n">
        <v>2</v>
      </c>
      <c r="B9" s="37" t="s">
        <v>281</v>
      </c>
      <c r="C9" s="37" t="s">
        <v>282</v>
      </c>
      <c r="D9" s="160"/>
      <c r="E9" s="150"/>
      <c r="F9" s="117"/>
      <c r="G9" s="117"/>
      <c r="H9" s="152"/>
      <c r="I9" s="150"/>
      <c r="J9" s="117"/>
      <c r="K9" s="117"/>
      <c r="L9" s="117"/>
      <c r="M9" s="117"/>
      <c r="N9" s="152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35" t="str">
        <f aca="false">IF(D9&lt;&gt;"",(30*(set!B$5)-D9)/(30*(set!B$5))*100,"")</f>
        <v/>
      </c>
      <c r="R9" s="85" t="str">
        <f aca="false">IF(E9&lt;&gt;"",IF(O9&lt;1.85,"Выговор",IF(AND(O9&gt;1.85,O9&lt;3),"Предупреждение",IF(AND(O9&gt;3,O9&lt;=4.65),"Нормально",IF(AND(O9&gt;4.65,O9&lt;5.1,MIN(E9:N9)&gt;=4),"Благодарность","Нормально")))),"")</f>
        <v/>
      </c>
      <c r="S9" s="118" t="n">
        <f aca="false">COUNTIF(E9:N9,2)+COUNTIF(E9:N9,1)+COUNTIF(E9:N9,0)</f>
        <v>0</v>
      </c>
    </row>
    <row r="10" customFormat="false" ht="15" hidden="false" customHeight="false" outlineLevel="0" collapsed="false">
      <c r="A10" s="37" t="n">
        <v>3</v>
      </c>
      <c r="B10" s="37" t="s">
        <v>283</v>
      </c>
      <c r="C10" s="37" t="s">
        <v>284</v>
      </c>
      <c r="D10" s="160"/>
      <c r="E10" s="150"/>
      <c r="F10" s="117"/>
      <c r="G10" s="117"/>
      <c r="H10" s="152"/>
      <c r="I10" s="150"/>
      <c r="J10" s="117"/>
      <c r="K10" s="117"/>
      <c r="L10" s="117"/>
      <c r="M10" s="117"/>
      <c r="N10" s="152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35" t="str">
        <f aca="false">IF(D10&lt;&gt;"",(30*(set!B$5)-D10)/(30*(set!B$5))*100,"")</f>
        <v/>
      </c>
      <c r="R10" s="85" t="str">
        <f aca="false">IF(E10&lt;&gt;"",IF(O10&lt;1.85,"Выговор",IF(AND(O10&gt;1.85,O10&lt;3),"Предупреждение",IF(AND(O10&gt;3,O10&lt;=4.65),"Нормально",IF(AND(O10&gt;4.65,O10&lt;5.1,MIN(E10:N10)&gt;=4),"Благодарность","Нормально")))),"")</f>
        <v/>
      </c>
      <c r="S10" s="118" t="n">
        <f aca="false">COUNTIF(E10:N10,2)+COUNTIF(E10:N10,1)+COUNTIF(E10:N10,0)</f>
        <v>0</v>
      </c>
    </row>
    <row r="11" customFormat="false" ht="15" hidden="false" customHeight="false" outlineLevel="0" collapsed="false">
      <c r="A11" s="37" t="n">
        <v>4</v>
      </c>
      <c r="B11" s="37" t="s">
        <v>285</v>
      </c>
      <c r="C11" s="37" t="s">
        <v>286</v>
      </c>
      <c r="D11" s="160"/>
      <c r="E11" s="150"/>
      <c r="F11" s="117"/>
      <c r="G11" s="117"/>
      <c r="H11" s="152"/>
      <c r="I11" s="150"/>
      <c r="J11" s="117"/>
      <c r="K11" s="117"/>
      <c r="L11" s="117"/>
      <c r="M11" s="117"/>
      <c r="N11" s="152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35" t="str">
        <f aca="false">IF(D11&lt;&gt;"",(30*(set!B$5)-D11)/(30*(set!B$5))*100,"")</f>
        <v/>
      </c>
      <c r="R11" s="85" t="str">
        <f aca="false">IF(E11&lt;&gt;"",IF(O11&lt;1.85,"Выговор",IF(AND(O11&gt;1.85,O11&lt;3),"Предупреждение",IF(AND(O11&gt;3,O11&lt;=4.65),"Нормально",IF(AND(O11&gt;4.65,O11&lt;5.1,MIN(E11:N11)&gt;=4),"Благодарность","Нормально")))),"")</f>
        <v/>
      </c>
      <c r="S11" s="118" t="n">
        <f aca="false">COUNTIF(E11:N11,2)+COUNTIF(E11:N11,1)+COUNTIF(E11:N11,0)</f>
        <v>0</v>
      </c>
    </row>
    <row r="12" customFormat="false" ht="15" hidden="false" customHeight="false" outlineLevel="0" collapsed="false">
      <c r="A12" s="45" t="s">
        <v>77</v>
      </c>
      <c r="B12" s="45"/>
      <c r="C12" s="45"/>
      <c r="D12" s="46"/>
      <c r="E12" s="47" t="e">
        <f aca="false">AVERAGE(E8:E11)</f>
        <v>#DIV/0!</v>
      </c>
      <c r="F12" s="47" t="e">
        <f aca="false">AVERAGE(F8:F11)</f>
        <v>#DIV/0!</v>
      </c>
      <c r="G12" s="47" t="e">
        <f aca="false">AVERAGE(G8:G11)</f>
        <v>#DIV/0!</v>
      </c>
      <c r="H12" s="47" t="e">
        <f aca="false">AVERAGE(H8:H11)</f>
        <v>#DIV/0!</v>
      </c>
      <c r="I12" s="47" t="e">
        <f aca="false">AVERAGE(I8:I11)</f>
        <v>#DIV/0!</v>
      </c>
      <c r="J12" s="47" t="e">
        <f aca="false">AVERAGE(J8:J11)</f>
        <v>#DIV/0!</v>
      </c>
      <c r="K12" s="47" t="e">
        <f aca="false">AVERAGE(K8:K11)</f>
        <v>#DIV/0!</v>
      </c>
      <c r="L12" s="47" t="e">
        <f aca="false">AVERAGE(L8:L11)</f>
        <v>#DIV/0!</v>
      </c>
      <c r="M12" s="47" t="e">
        <f aca="false">AVERAGE(M8:M11)</f>
        <v>#DIV/0!</v>
      </c>
      <c r="N12" s="47" t="e">
        <f aca="false">AVERAGE(N8:N11)</f>
        <v>#DIV/0!</v>
      </c>
      <c r="O12" s="48"/>
      <c r="P12" s="48"/>
      <c r="Q12" s="48"/>
      <c r="R12" s="45"/>
      <c r="S12" s="45"/>
    </row>
    <row r="13" customFormat="false" ht="15" hidden="false" customHeight="false" outlineLevel="0" collapsed="false">
      <c r="A13" s="45" t="s">
        <v>78</v>
      </c>
      <c r="B13" s="45"/>
      <c r="C13" s="45"/>
      <c r="D13" s="46"/>
      <c r="E13" s="49" t="e">
        <f aca="false">(COUNTIF(E8:E11,5)+COUNTIF(E8:E11,4)+COUNTIF(E8:E11,3))/$Q$17*100</f>
        <v>#DIV/0!</v>
      </c>
      <c r="F13" s="49" t="e">
        <f aca="false">(COUNTIF(F8:F11,5)+COUNTIF(F8:F11,4)+COUNTIF(F8:F11,3))/$Q$17*100</f>
        <v>#DIV/0!</v>
      </c>
      <c r="G13" s="49" t="e">
        <f aca="false">(COUNTIF(G8:G11,5)+COUNTIF(G8:G11,4)+COUNTIF(G8:G11,3))/$Q$17*100</f>
        <v>#DIV/0!</v>
      </c>
      <c r="H13" s="49" t="e">
        <f aca="false">(COUNTIF(H8:H11,5)+COUNTIF(H8:H11,4)+COUNTIF(H8:H11,3))/$Q$17*100</f>
        <v>#DIV/0!</v>
      </c>
      <c r="I13" s="49" t="e">
        <f aca="false">(COUNTIF(I8:I11,5)+COUNTIF(I8:I11,4)+COUNTIF(I8:I11,3))/$Q$17*100</f>
        <v>#DIV/0!</v>
      </c>
      <c r="J13" s="49" t="e">
        <f aca="false">(COUNTIF(J8:J11,5)+COUNTIF(J8:J11,4)+COUNTIF(J8:J11,3))/$Q$17*100</f>
        <v>#DIV/0!</v>
      </c>
      <c r="K13" s="49" t="e">
        <f aca="false">(COUNTIF(K8:K11,5)+COUNTIF(K8:K11,4)+COUNTIF(K8:K11,3))/$Q$17*100</f>
        <v>#DIV/0!</v>
      </c>
      <c r="L13" s="49" t="e">
        <f aca="false">(COUNTIF(L8:L11,5)+COUNTIF(L8:L11,4)+COUNTIF(L8:L11,3))/$Q$17*100</f>
        <v>#DIV/0!</v>
      </c>
      <c r="M13" s="49" t="e">
        <f aca="false">(COUNTIF(M8:M11,5)+COUNTIF(M8:M11,4)+COUNTIF(M8:M11,3))/$Q$17*100</f>
        <v>#DIV/0!</v>
      </c>
      <c r="N13" s="49" t="e">
        <f aca="false">(COUNTIF(N8:N11,5)+COUNTIF(N8:N11,4)+COUNTIF(N8:N11,3))/$Q$17*100</f>
        <v>#DIV/0!</v>
      </c>
      <c r="O13" s="48"/>
      <c r="P13" s="48"/>
      <c r="Q13" s="48"/>
      <c r="R13" s="45"/>
      <c r="S13" s="45"/>
    </row>
    <row r="14" customFormat="false" ht="15" hidden="false" customHeight="false" outlineLevel="0" collapsed="false">
      <c r="A14" s="45"/>
      <c r="B14" s="45"/>
      <c r="C14" s="45"/>
      <c r="D14" s="45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5"/>
    </row>
    <row r="15" customFormat="false" ht="15" hidden="false" customHeight="true" outlineLevel="0" collapsed="false">
      <c r="A15" s="45"/>
      <c r="B15" s="50"/>
      <c r="C15" s="50" t="s">
        <v>8</v>
      </c>
      <c r="D15" s="51" t="str">
        <f aca="false">IFERROR(AVERAGE(O8:O11),"")</f>
        <v/>
      </c>
      <c r="E15" s="52" t="s">
        <v>9</v>
      </c>
      <c r="F15" s="52"/>
      <c r="G15" s="53" t="str">
        <f aca="false">IFERROR(COUNTIF(P8:P11,"Успевает")/Q17*100,"")</f>
        <v/>
      </c>
      <c r="H15" s="53" t="s">
        <v>10</v>
      </c>
      <c r="I15" s="161"/>
      <c r="J15" s="55" t="str">
        <f aca="false">IFERROR(AVERAGE(Q8:Q11),"")</f>
        <v/>
      </c>
      <c r="K15" s="52"/>
      <c r="L15" s="52"/>
      <c r="M15" s="52"/>
      <c r="N15" s="52"/>
      <c r="O15" s="158"/>
      <c r="P15" s="48"/>
      <c r="Q15" s="48"/>
      <c r="R15" s="48"/>
      <c r="S15" s="45"/>
    </row>
    <row r="16" customFormat="false" ht="15" hidden="false" customHeight="false" outlineLevel="0" collapsed="false">
      <c r="A16" s="45"/>
      <c r="B16" s="50"/>
      <c r="C16" s="50"/>
      <c r="D16" s="50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45"/>
      <c r="Q16" s="45"/>
      <c r="R16" s="45"/>
      <c r="S16" s="45"/>
    </row>
    <row r="17" customFormat="false" ht="15" hidden="false" customHeight="true" outlineLevel="0" collapsed="false">
      <c r="A17" s="50"/>
      <c r="B17" s="61" t="s">
        <v>81</v>
      </c>
      <c r="C17" s="61"/>
      <c r="D17" s="61"/>
      <c r="E17" s="61"/>
      <c r="F17" s="61"/>
      <c r="G17" s="61"/>
      <c r="H17" s="61"/>
      <c r="I17" s="61"/>
      <c r="J17" s="61"/>
      <c r="K17" s="61" t="s">
        <v>82</v>
      </c>
      <c r="L17" s="61"/>
      <c r="M17" s="61"/>
      <c r="N17" s="67"/>
      <c r="O17" s="57" t="s">
        <v>80</v>
      </c>
      <c r="P17" s="57"/>
      <c r="Q17" s="58" t="n">
        <f aca="false">SUM(Q18:Q19)</f>
        <v>0</v>
      </c>
      <c r="R17" s="45"/>
      <c r="S17" s="45"/>
    </row>
    <row r="18" s="45" customFormat="true" ht="15" hidden="false" customHeight="true" outlineLevel="0" collapsed="false">
      <c r="A18" s="50"/>
      <c r="B18" s="65" t="str">
        <f aca="false">$E$6</f>
        <v> Основы конструирования приборов
</v>
      </c>
      <c r="C18" s="65"/>
      <c r="D18" s="65"/>
      <c r="E18" s="65"/>
      <c r="F18" s="65"/>
      <c r="G18" s="65"/>
      <c r="H18" s="65"/>
      <c r="I18" s="65"/>
      <c r="J18" s="65"/>
      <c r="K18" s="61"/>
      <c r="L18" s="61"/>
      <c r="M18" s="61"/>
      <c r="N18" s="67"/>
      <c r="O18" s="63" t="s">
        <v>83</v>
      </c>
      <c r="P18" s="63"/>
      <c r="Q18" s="58" t="n">
        <f aca="false">COUNTIF(P8:P11,"Успевает")</f>
        <v>0</v>
      </c>
    </row>
    <row r="19" customFormat="false" ht="25.35" hidden="false" customHeight="false" outlineLevel="0" collapsed="false">
      <c r="A19" s="50"/>
      <c r="B19" s="140" t="str">
        <f aca="false">$F$6</f>
        <v> Тактика
</v>
      </c>
      <c r="C19" s="140"/>
      <c r="D19" s="140"/>
      <c r="E19" s="140"/>
      <c r="F19" s="140"/>
      <c r="G19" s="140"/>
      <c r="H19" s="140"/>
      <c r="I19" s="140"/>
      <c r="J19" s="140"/>
      <c r="K19" s="66"/>
      <c r="L19" s="66"/>
      <c r="M19" s="66"/>
      <c r="N19" s="67"/>
      <c r="O19" s="98" t="s">
        <v>84</v>
      </c>
      <c r="P19" s="98"/>
      <c r="Q19" s="58" t="n">
        <f aca="false">COUNTIF(P8:P11,"Не успевает")</f>
        <v>0</v>
      </c>
      <c r="R19" s="45"/>
      <c r="S19" s="45"/>
    </row>
    <row r="20" customFormat="false" ht="15" hidden="false" customHeight="false" outlineLevel="0" collapsed="false">
      <c r="A20" s="50"/>
      <c r="B20" s="141" t="str">
        <f aca="false">$G$6</f>
        <v> Физика </v>
      </c>
      <c r="C20" s="141"/>
      <c r="D20" s="141"/>
      <c r="E20" s="141"/>
      <c r="F20" s="141"/>
      <c r="G20" s="141"/>
      <c r="H20" s="141"/>
      <c r="I20" s="141"/>
      <c r="J20" s="141"/>
      <c r="K20" s="66"/>
      <c r="L20" s="66"/>
      <c r="M20" s="66"/>
      <c r="N20" s="67"/>
      <c r="O20" s="98" t="s">
        <v>85</v>
      </c>
      <c r="P20" s="98"/>
      <c r="Q20" s="58" t="n">
        <f aca="false">COUNTIF(R8:R11,"Благодарность")</f>
        <v>0</v>
      </c>
      <c r="R20" s="45"/>
      <c r="S20" s="45"/>
    </row>
    <row r="21" customFormat="false" ht="15" hidden="false" customHeight="false" outlineLevel="0" collapsed="false">
      <c r="A21" s="50"/>
      <c r="B21" s="65" t="str">
        <f aca="false">$H$6</f>
        <v> Электротехника</v>
      </c>
      <c r="C21" s="65"/>
      <c r="D21" s="65"/>
      <c r="E21" s="65"/>
      <c r="F21" s="65"/>
      <c r="G21" s="65"/>
      <c r="H21" s="65"/>
      <c r="I21" s="65"/>
      <c r="J21" s="65"/>
      <c r="K21" s="66"/>
      <c r="L21" s="66"/>
      <c r="M21" s="66"/>
      <c r="N21" s="67"/>
      <c r="O21" s="98" t="s">
        <v>86</v>
      </c>
      <c r="P21" s="98"/>
      <c r="Q21" s="58" t="n">
        <f aca="false">COUNTIF(R8:R11,"Нормально")</f>
        <v>0</v>
      </c>
      <c r="R21" s="45"/>
      <c r="S21" s="45"/>
    </row>
    <row r="22" customFormat="false" ht="15" hidden="false" customHeight="false" outlineLevel="0" collapsed="false">
      <c r="A22" s="50"/>
      <c r="B22" s="65" t="str">
        <f aca="false">$I$6</f>
        <v>Иностранный язык</v>
      </c>
      <c r="C22" s="65"/>
      <c r="D22" s="65"/>
      <c r="E22" s="65"/>
      <c r="F22" s="65"/>
      <c r="G22" s="65"/>
      <c r="H22" s="65"/>
      <c r="I22" s="65"/>
      <c r="J22" s="65"/>
      <c r="K22" s="66"/>
      <c r="L22" s="66"/>
      <c r="M22" s="66"/>
      <c r="N22" s="67"/>
      <c r="O22" s="98" t="s">
        <v>87</v>
      </c>
      <c r="P22" s="98"/>
      <c r="Q22" s="58" t="n">
        <f aca="false">COUNTIF(R8:R11,"Предупреждение")</f>
        <v>0</v>
      </c>
      <c r="R22" s="45"/>
      <c r="S22" s="45"/>
    </row>
    <row r="23" customFormat="false" ht="15" hidden="false" customHeight="false" outlineLevel="0" collapsed="false">
      <c r="A23" s="50"/>
      <c r="B23" s="65" t="str">
        <f aca="false">$J$6</f>
        <v> Огневая подготовка из стрелкового оружия </v>
      </c>
      <c r="C23" s="65"/>
      <c r="D23" s="65"/>
      <c r="E23" s="65"/>
      <c r="F23" s="65"/>
      <c r="G23" s="65"/>
      <c r="H23" s="65"/>
      <c r="I23" s="65"/>
      <c r="J23" s="65"/>
      <c r="K23" s="66"/>
      <c r="L23" s="66"/>
      <c r="M23" s="66"/>
      <c r="N23" s="67"/>
      <c r="O23" s="98" t="s">
        <v>88</v>
      </c>
      <c r="P23" s="98"/>
      <c r="Q23" s="58" t="n">
        <f aca="false">COUNTIF(R8:R11,"Выговор")</f>
        <v>0</v>
      </c>
      <c r="R23" s="45"/>
      <c r="S23" s="45"/>
    </row>
    <row r="24" customFormat="false" ht="15" hidden="false" customHeight="false" outlineLevel="0" collapsed="false">
      <c r="A24" s="50"/>
      <c r="B24" s="65" t="str">
        <f aca="false">$K$6</f>
        <v> Технологическая подготовка производствав</v>
      </c>
      <c r="C24" s="65"/>
      <c r="D24" s="65"/>
      <c r="E24" s="65"/>
      <c r="F24" s="65"/>
      <c r="G24" s="65"/>
      <c r="H24" s="65"/>
      <c r="I24" s="65"/>
      <c r="J24" s="65"/>
      <c r="K24" s="66"/>
      <c r="L24" s="66"/>
      <c r="M24" s="66"/>
      <c r="N24" s="67"/>
      <c r="O24" s="159" t="s">
        <v>12</v>
      </c>
      <c r="P24" s="159"/>
      <c r="Q24" s="143" t="n">
        <f aca="false">SUM(S8:S11)</f>
        <v>0</v>
      </c>
      <c r="R24" s="48"/>
      <c r="S24" s="45"/>
    </row>
    <row r="25" customFormat="false" ht="15" hidden="false" customHeight="false" outlineLevel="0" collapsed="false">
      <c r="A25" s="50"/>
      <c r="B25" s="65" t="str">
        <f aca="false">$L$6</f>
        <v> Философия</v>
      </c>
      <c r="C25" s="65"/>
      <c r="D25" s="65"/>
      <c r="E25" s="65"/>
      <c r="F25" s="65"/>
      <c r="G25" s="65"/>
      <c r="H25" s="65"/>
      <c r="I25" s="65"/>
      <c r="J25" s="65"/>
      <c r="K25" s="66"/>
      <c r="L25" s="66"/>
      <c r="M25" s="66"/>
      <c r="N25" s="67"/>
      <c r="O25" s="67"/>
      <c r="P25" s="67"/>
      <c r="Q25" s="67"/>
      <c r="R25" s="48"/>
      <c r="S25" s="45"/>
    </row>
    <row r="26" customFormat="false" ht="15" hidden="false" customHeight="false" outlineLevel="0" collapsed="false">
      <c r="A26" s="50"/>
      <c r="B26" s="65" t="str">
        <f aca="false">$M$6</f>
        <v>Функциональная логика, теория алгоритмов и дискретная математика</v>
      </c>
      <c r="C26" s="65"/>
      <c r="D26" s="65"/>
      <c r="E26" s="65"/>
      <c r="F26" s="65"/>
      <c r="G26" s="65"/>
      <c r="H26" s="65"/>
      <c r="I26" s="65"/>
      <c r="J26" s="65"/>
      <c r="K26" s="66"/>
      <c r="L26" s="66"/>
      <c r="M26" s="66"/>
      <c r="N26" s="67"/>
      <c r="O26" s="67"/>
      <c r="P26" s="67"/>
      <c r="Q26" s="67"/>
      <c r="R26" s="48"/>
      <c r="S26" s="45"/>
    </row>
    <row r="27" customFormat="false" ht="15" hidden="false" customHeight="false" outlineLevel="0" collapsed="false">
      <c r="A27" s="50"/>
      <c r="B27" s="65" t="str">
        <f aca="false">$N$6</f>
        <v>Физическая культура и спорт</v>
      </c>
      <c r="C27" s="65"/>
      <c r="D27" s="65"/>
      <c r="E27" s="65"/>
      <c r="F27" s="65"/>
      <c r="G27" s="65"/>
      <c r="H27" s="65"/>
      <c r="I27" s="65"/>
      <c r="J27" s="65"/>
      <c r="K27" s="66"/>
      <c r="L27" s="66"/>
      <c r="M27" s="66"/>
      <c r="N27" s="67"/>
      <c r="O27" s="67"/>
      <c r="P27" s="67"/>
      <c r="Q27" s="67"/>
      <c r="R27" s="48"/>
      <c r="S27" s="45"/>
    </row>
    <row r="28" customFormat="false" ht="15" hidden="false" customHeight="false" outlineLevel="0" collapsed="false">
      <c r="A28" s="50"/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48"/>
      <c r="P28" s="45"/>
      <c r="Q28" s="45"/>
      <c r="R28" s="45"/>
      <c r="S28" s="45"/>
    </row>
    <row r="29" customFormat="false" ht="15" hidden="false" customHeight="false" outlineLevel="0" collapsed="false">
      <c r="A29" s="50"/>
      <c r="B29" s="73" t="s">
        <v>89</v>
      </c>
      <c r="C29" s="144" t="s">
        <v>287</v>
      </c>
      <c r="D29" s="144"/>
      <c r="E29" s="67"/>
      <c r="F29" s="52" t="s">
        <v>230</v>
      </c>
      <c r="G29" s="52" t="s">
        <v>288</v>
      </c>
      <c r="H29" s="52"/>
      <c r="I29" s="52"/>
      <c r="J29" s="52"/>
      <c r="K29" s="52"/>
      <c r="L29" s="52"/>
      <c r="M29" s="50"/>
      <c r="N29" s="50"/>
      <c r="O29" s="48"/>
      <c r="P29" s="45"/>
      <c r="Q29" s="45"/>
      <c r="R29" s="45"/>
      <c r="S29" s="45"/>
    </row>
    <row r="30" customFormat="false" ht="15" hidden="false" customHeight="false" outlineLevel="0" collapsed="false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48"/>
      <c r="P30" s="45"/>
      <c r="Q30" s="45"/>
      <c r="R30" s="45"/>
      <c r="S30" s="45"/>
    </row>
    <row r="31" customFormat="false" ht="15" hidden="false" customHeight="false" outlineLevel="0" collapsed="false">
      <c r="A31" s="50"/>
      <c r="B31" s="50" t="s">
        <v>93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48"/>
      <c r="P31" s="45"/>
      <c r="Q31" s="45"/>
      <c r="R31" s="45"/>
      <c r="S31" s="45"/>
    </row>
    <row r="32" customFormat="false" ht="15" hidden="false" customHeight="false" outlineLevel="0" collapsed="false">
      <c r="A32" s="50"/>
      <c r="B32" s="50" t="s">
        <v>94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48"/>
      <c r="P32" s="45"/>
      <c r="Q32" s="45"/>
      <c r="R32" s="45"/>
      <c r="S32" s="45"/>
    </row>
    <row r="33" customFormat="false" ht="15" hidden="false" customHeight="false" outlineLevel="0" collapsed="false">
      <c r="A33" s="50"/>
      <c r="B33" s="50" t="s">
        <v>95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48"/>
      <c r="P33" s="45"/>
      <c r="Q33" s="45"/>
      <c r="R33" s="45"/>
      <c r="S33" s="45"/>
    </row>
    <row r="34" customFormat="false" ht="15" hidden="false" customHeight="false" outlineLevel="0" collapsed="false">
      <c r="A34" s="50"/>
      <c r="B34" s="50" t="s">
        <v>96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48"/>
      <c r="P34" s="45"/>
      <c r="Q34" s="45"/>
      <c r="R34" s="45"/>
      <c r="S34" s="45"/>
    </row>
    <row r="35" customFormat="false" ht="15" hidden="false" customHeight="false" outlineLevel="0" collapsed="false">
      <c r="A35" s="50"/>
      <c r="B35" s="50" t="s">
        <v>97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48"/>
      <c r="P35" s="45"/>
      <c r="Q35" s="45"/>
      <c r="R35" s="45"/>
      <c r="S35" s="45"/>
    </row>
    <row r="36" customFormat="false" ht="15" hidden="false" customHeight="false" outlineLevel="0" collapsed="false">
      <c r="A36" s="50"/>
      <c r="B36" s="50" t="s">
        <v>98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48"/>
      <c r="P36" s="48"/>
      <c r="Q36" s="48"/>
      <c r="R36" s="48"/>
      <c r="S36" s="45"/>
    </row>
    <row r="37" customFormat="false" ht="15" hidden="false" customHeight="false" outlineLevel="0" collapsed="false">
      <c r="A37" s="50"/>
      <c r="B37" s="50" t="s">
        <v>99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48"/>
      <c r="P37" s="48"/>
      <c r="Q37" s="48"/>
      <c r="R37" s="48"/>
      <c r="S37" s="45"/>
    </row>
  </sheetData>
  <mergeCells count="42">
    <mergeCell ref="E1:H1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B17:J17"/>
    <mergeCell ref="K17:M17"/>
    <mergeCell ref="O17:P17"/>
    <mergeCell ref="B18:J18"/>
    <mergeCell ref="K18:M18"/>
    <mergeCell ref="O18:P18"/>
    <mergeCell ref="B19:J19"/>
    <mergeCell ref="K19:M19"/>
    <mergeCell ref="O19:P19"/>
    <mergeCell ref="B20:J20"/>
    <mergeCell ref="K20:M20"/>
    <mergeCell ref="O20:P20"/>
    <mergeCell ref="B21:J21"/>
    <mergeCell ref="K21:M21"/>
    <mergeCell ref="O21:P21"/>
    <mergeCell ref="B22:J22"/>
    <mergeCell ref="K22:M22"/>
    <mergeCell ref="O22:P22"/>
    <mergeCell ref="B23:J23"/>
    <mergeCell ref="K23:M23"/>
    <mergeCell ref="O23:P23"/>
    <mergeCell ref="B24:J24"/>
    <mergeCell ref="K24:M24"/>
    <mergeCell ref="O24:P24"/>
    <mergeCell ref="B25:J25"/>
    <mergeCell ref="K25:M25"/>
    <mergeCell ref="B26:J26"/>
    <mergeCell ref="K26:M26"/>
    <mergeCell ref="B27:J27"/>
    <mergeCell ref="K27:M27"/>
  </mergeCells>
  <conditionalFormatting sqref="J11:N11 E11:H1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0:N10 E10:H1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0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9:N9 E9:H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N8 E8:H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8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N13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R48"/>
  <sheetViews>
    <sheetView showFormulas="false" showGridLines="true" showRowColHeaders="true" showZeros="true" rightToLeft="false" tabSelected="false" showOutlineSymbols="true" defaultGridColor="true" view="normal" topLeftCell="A2" colorId="64" zoomScale="140" zoomScaleNormal="140" zoomScalePageLayoutView="100" workbookViewId="0">
      <selection pane="topLeft" activeCell="C21" activeCellId="0" sqref="C21"/>
    </sheetView>
  </sheetViews>
  <sheetFormatPr defaultColWidth="8.71484375" defaultRowHeight="15" zeroHeight="false" outlineLevelRow="0" outlineLevelCol="0"/>
  <cols>
    <col collapsed="false" customWidth="true" hidden="false" outlineLevel="0" max="3" min="3" style="0" width="16.43"/>
    <col collapsed="false" customWidth="true" hidden="false" outlineLevel="0" max="11" min="11" style="0" width="11.71"/>
    <col collapsed="false" customWidth="true" hidden="false" outlineLevel="0" max="12" min="12" style="0" width="12.42"/>
    <col collapsed="false" customWidth="true" hidden="false" outlineLevel="0" max="13" min="13" style="0" width="9.42"/>
    <col collapsed="false" customWidth="true" hidden="false" outlineLevel="0" max="14" min="14" style="0" width="10.42"/>
    <col collapsed="false" customWidth="true" hidden="false" outlineLevel="0" max="15" min="15" style="0" width="7.42"/>
    <col collapsed="false" customWidth="true" hidden="false" outlineLevel="0" max="16" min="16" style="0" width="8"/>
    <col collapsed="false" customWidth="true" hidden="false" outlineLevel="0" max="18" min="18" style="0" width="5.42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.75" hidden="false" customHeight="true" outlineLevel="0" collapsed="false">
      <c r="H2" s="4"/>
      <c r="K2" s="72" t="s">
        <v>289</v>
      </c>
      <c r="L2" s="72"/>
      <c r="M2" s="162"/>
      <c r="N2" s="72"/>
      <c r="O2" s="75"/>
      <c r="P2" s="72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ИУК1-51Б факультета ИУК МГТУ им. Н.Э. Баумана"</f>
        <v>Успеваемость студентов за 1 семестр 24/25 учебного года по группе ИУК1-51Б факультета ИУК МГТУ им. Н.Э. Баумана</v>
      </c>
    </row>
    <row r="5" customFormat="false" ht="15.7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14" hidden="false" customHeight="true" outlineLevel="0" collapsed="false">
      <c r="A6" s="8"/>
      <c r="B6" s="8"/>
      <c r="C6" s="8"/>
      <c r="D6" s="9"/>
      <c r="E6" s="15" t="s">
        <v>290</v>
      </c>
      <c r="F6" s="16" t="s">
        <v>291</v>
      </c>
      <c r="G6" s="16" t="s">
        <v>292</v>
      </c>
      <c r="H6" s="163" t="s">
        <v>293</v>
      </c>
      <c r="I6" s="15" t="s">
        <v>143</v>
      </c>
      <c r="J6" s="16" t="s">
        <v>294</v>
      </c>
      <c r="K6" s="16" t="s">
        <v>295</v>
      </c>
      <c r="L6" s="16" t="s">
        <v>296</v>
      </c>
      <c r="M6" s="18" t="s">
        <v>297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22" t="s">
        <v>298</v>
      </c>
      <c r="F7" s="23" t="s">
        <v>299</v>
      </c>
      <c r="G7" s="23" t="s">
        <v>171</v>
      </c>
      <c r="H7" s="164" t="s">
        <v>171</v>
      </c>
      <c r="I7" s="22" t="s">
        <v>27</v>
      </c>
      <c r="J7" s="23" t="s">
        <v>174</v>
      </c>
      <c r="K7" s="23" t="s">
        <v>175</v>
      </c>
      <c r="L7" s="23" t="s">
        <v>300</v>
      </c>
      <c r="M7" s="24" t="s">
        <v>176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301</v>
      </c>
      <c r="C8" s="25" t="s">
        <v>302</v>
      </c>
      <c r="D8" s="165"/>
      <c r="E8" s="166"/>
      <c r="F8" s="167"/>
      <c r="G8" s="167"/>
      <c r="H8" s="168"/>
      <c r="I8" s="169"/>
      <c r="J8" s="170"/>
      <c r="K8" s="170"/>
      <c r="L8" s="170"/>
      <c r="M8" s="171"/>
      <c r="N8" s="33" t="str">
        <f aca="false">IFERROR(AVERAGE(E8:M8),"")</f>
        <v/>
      </c>
      <c r="O8" s="84" t="str">
        <f aca="false">IF(D8&lt;&gt;"",IF(COUNTIF(E8:L8,"&lt;3"),"Не успевает","Успевает"),"")</f>
        <v/>
      </c>
      <c r="P8" s="35" t="str">
        <f aca="false">IF(D8&lt;&gt;"",(30*(set!B$5)-D8)/(30*(set!B$5))*100,"")</f>
        <v/>
      </c>
      <c r="Q8" s="77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303</v>
      </c>
      <c r="C9" s="37" t="s">
        <v>304</v>
      </c>
      <c r="D9" s="172"/>
      <c r="E9" s="173"/>
      <c r="F9" s="174"/>
      <c r="G9" s="174"/>
      <c r="H9" s="175"/>
      <c r="I9" s="173"/>
      <c r="J9" s="174"/>
      <c r="K9" s="174"/>
      <c r="L9" s="170"/>
      <c r="M9" s="171"/>
      <c r="N9" s="33" t="str">
        <f aca="false">IFERROR(AVERAGE(E9:M9),"")</f>
        <v/>
      </c>
      <c r="O9" s="84" t="str">
        <f aca="false">IF(D9&lt;&gt;"",IF(COUNTIF(E9:L9,"&lt;3"),"Не успевает","Успевает"),"")</f>
        <v/>
      </c>
      <c r="P9" s="35" t="str">
        <f aca="false">IF(D9&lt;&gt;"",(30*(set!B$5)-D9)/(30*(set!B$5))*100,"")</f>
        <v/>
      </c>
      <c r="Q9" s="77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305</v>
      </c>
      <c r="C10" s="37" t="s">
        <v>306</v>
      </c>
      <c r="D10" s="172"/>
      <c r="E10" s="173"/>
      <c r="F10" s="174"/>
      <c r="G10" s="174"/>
      <c r="H10" s="175"/>
      <c r="I10" s="173"/>
      <c r="J10" s="174"/>
      <c r="K10" s="174"/>
      <c r="L10" s="170"/>
      <c r="M10" s="171"/>
      <c r="N10" s="33" t="str">
        <f aca="false">IFERROR(AVERAGE(E10:M10),"")</f>
        <v/>
      </c>
      <c r="O10" s="84" t="str">
        <f aca="false">IF(D10&lt;&gt;"",IF(COUNTIF(E10:L10,"&lt;3"),"Не успевает","Успевает"),"")</f>
        <v/>
      </c>
      <c r="P10" s="35" t="str">
        <f aca="false">IF(D10&lt;&gt;"",(30*(set!B$5)-D10)/(30*(set!B$5))*100,"")</f>
        <v/>
      </c>
      <c r="Q10" s="77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307</v>
      </c>
      <c r="C11" s="37" t="s">
        <v>308</v>
      </c>
      <c r="D11" s="172"/>
      <c r="E11" s="173"/>
      <c r="F11" s="174"/>
      <c r="G11" s="174"/>
      <c r="H11" s="175"/>
      <c r="I11" s="173"/>
      <c r="J11" s="174"/>
      <c r="K11" s="174"/>
      <c r="L11" s="170"/>
      <c r="M11" s="171"/>
      <c r="N11" s="33" t="str">
        <f aca="false">IFERROR(AVERAGE(E11:M11),"")</f>
        <v/>
      </c>
      <c r="O11" s="84" t="str">
        <f aca="false">IF(D11&lt;&gt;"",IF(COUNTIF(E11:L11,"&lt;3"),"Не успевает","Успевает"),"")</f>
        <v/>
      </c>
      <c r="P11" s="35" t="str">
        <f aca="false">IF(D11&lt;&gt;"",(30*(set!B$5)-D11)/(30*(set!B$5))*100,"")</f>
        <v/>
      </c>
      <c r="Q11" s="77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309</v>
      </c>
      <c r="C12" s="37" t="s">
        <v>310</v>
      </c>
      <c r="D12" s="172"/>
      <c r="E12" s="173"/>
      <c r="F12" s="174"/>
      <c r="G12" s="174"/>
      <c r="H12" s="175"/>
      <c r="I12" s="173"/>
      <c r="J12" s="174"/>
      <c r="K12" s="174"/>
      <c r="L12" s="170"/>
      <c r="M12" s="171"/>
      <c r="N12" s="33" t="str">
        <f aca="false">IFERROR(AVERAGE(E12:M12),"")</f>
        <v/>
      </c>
      <c r="O12" s="84" t="str">
        <f aca="false">IF(D12&lt;&gt;"",IF(COUNTIF(E12:L12,"&lt;3"),"Не успевает","Успевает"),"")</f>
        <v/>
      </c>
      <c r="P12" s="35" t="str">
        <f aca="false">IF(D12&lt;&gt;"",(30*(set!B$5)-D12)/(30*(set!B$5))*100,"")</f>
        <v/>
      </c>
      <c r="Q12" s="77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311</v>
      </c>
      <c r="C13" s="37" t="s">
        <v>312</v>
      </c>
      <c r="D13" s="172"/>
      <c r="E13" s="173"/>
      <c r="F13" s="174"/>
      <c r="G13" s="174"/>
      <c r="H13" s="175"/>
      <c r="I13" s="173"/>
      <c r="J13" s="174"/>
      <c r="K13" s="174"/>
      <c r="L13" s="170"/>
      <c r="M13" s="171"/>
      <c r="N13" s="33" t="str">
        <f aca="false">IFERROR(AVERAGE(E13:M13),"")</f>
        <v/>
      </c>
      <c r="O13" s="84" t="str">
        <f aca="false">IF(D13&lt;&gt;"",IF(COUNTIF(E13:L13,"&lt;3"),"Не успевает","Успевает"),"")</f>
        <v/>
      </c>
      <c r="P13" s="35" t="str">
        <f aca="false">IF(D13&lt;&gt;"",(30*(set!B$5)-D13)/(30*(set!B$5))*100,"")</f>
        <v/>
      </c>
      <c r="Q13" s="77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313</v>
      </c>
      <c r="C14" s="37" t="s">
        <v>314</v>
      </c>
      <c r="D14" s="172"/>
      <c r="E14" s="173"/>
      <c r="F14" s="174"/>
      <c r="G14" s="174"/>
      <c r="H14" s="175"/>
      <c r="I14" s="173"/>
      <c r="J14" s="174"/>
      <c r="K14" s="174"/>
      <c r="L14" s="170"/>
      <c r="M14" s="171"/>
      <c r="N14" s="33" t="str">
        <f aca="false">IFERROR(AVERAGE(E14:M14),"")</f>
        <v/>
      </c>
      <c r="O14" s="84" t="str">
        <f aca="false">IF(D14&lt;&gt;"",IF(COUNTIF(E14:L14,"&lt;3"),"Не успевает","Успевает"),"")</f>
        <v/>
      </c>
      <c r="P14" s="35" t="str">
        <f aca="false">IF(D14&lt;&gt;"",(30*(set!B$5)-D14)/(30*(set!B$5))*100,"")</f>
        <v/>
      </c>
      <c r="Q14" s="77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315</v>
      </c>
      <c r="C15" s="37" t="s">
        <v>316</v>
      </c>
      <c r="D15" s="172"/>
      <c r="E15" s="173"/>
      <c r="F15" s="174"/>
      <c r="G15" s="174"/>
      <c r="H15" s="175"/>
      <c r="I15" s="173"/>
      <c r="J15" s="174"/>
      <c r="K15" s="174"/>
      <c r="L15" s="170"/>
      <c r="M15" s="171"/>
      <c r="N15" s="33" t="str">
        <f aca="false">IFERROR(AVERAGE(E15:M15),"")</f>
        <v/>
      </c>
      <c r="O15" s="84" t="str">
        <f aca="false">IF(D15&lt;&gt;"",IF(COUNTIF(E15:L15,"&lt;3"),"Не успевает","Успевает"),"")</f>
        <v/>
      </c>
      <c r="P15" s="35" t="str">
        <f aca="false">IF(D15&lt;&gt;"",(30*(set!B$5)-D15)/(30*(set!B$5))*100,"")</f>
        <v/>
      </c>
      <c r="Q15" s="77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317</v>
      </c>
      <c r="C16" s="37" t="s">
        <v>318</v>
      </c>
      <c r="D16" s="172"/>
      <c r="E16" s="173"/>
      <c r="F16" s="174"/>
      <c r="G16" s="174"/>
      <c r="H16" s="175"/>
      <c r="I16" s="173"/>
      <c r="J16" s="174"/>
      <c r="K16" s="174"/>
      <c r="L16" s="170"/>
      <c r="M16" s="171"/>
      <c r="N16" s="33" t="str">
        <f aca="false">IFERROR(AVERAGE(E16:M16),"")</f>
        <v/>
      </c>
      <c r="O16" s="84" t="str">
        <f aca="false">IF(D16&lt;&gt;"",IF(COUNTIF(E16:L16,"&lt;3"),"Не успевает","Успевает"),"")</f>
        <v/>
      </c>
      <c r="P16" s="35" t="str">
        <f aca="false">IF(D16&lt;&gt;"",(30*(set!B$5)-D16)/(30*(set!B$5))*100,"")</f>
        <v/>
      </c>
      <c r="Q16" s="77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319</v>
      </c>
      <c r="C17" s="37" t="s">
        <v>320</v>
      </c>
      <c r="D17" s="172"/>
      <c r="E17" s="173"/>
      <c r="F17" s="174"/>
      <c r="G17" s="174"/>
      <c r="H17" s="175"/>
      <c r="I17" s="173"/>
      <c r="J17" s="174"/>
      <c r="K17" s="174"/>
      <c r="L17" s="170"/>
      <c r="M17" s="171"/>
      <c r="N17" s="33" t="str">
        <f aca="false">IFERROR(AVERAGE(E17:M17),"")</f>
        <v/>
      </c>
      <c r="O17" s="84" t="str">
        <f aca="false">IF(D17&lt;&gt;"",IF(COUNTIF(E17:L17,"&lt;3"),"Не успевает","Успевает"),"")</f>
        <v/>
      </c>
      <c r="P17" s="35" t="str">
        <f aca="false">IF(D17&lt;&gt;"",(30*(set!B$5)-D17)/(30*(set!B$5))*100,"")</f>
        <v/>
      </c>
      <c r="Q17" s="77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321</v>
      </c>
      <c r="C18" s="37" t="s">
        <v>322</v>
      </c>
      <c r="D18" s="172"/>
      <c r="E18" s="173"/>
      <c r="F18" s="174"/>
      <c r="G18" s="174"/>
      <c r="H18" s="175"/>
      <c r="I18" s="173"/>
      <c r="J18" s="174"/>
      <c r="K18" s="174"/>
      <c r="L18" s="170"/>
      <c r="M18" s="171"/>
      <c r="N18" s="33" t="str">
        <f aca="false">IFERROR(AVERAGE(E18:M18),"")</f>
        <v/>
      </c>
      <c r="O18" s="84" t="str">
        <f aca="false">IF(D18&lt;&gt;"",IF(COUNTIF(E18:L18,"&lt;3"),"Не успевает","Успевает"),"")</f>
        <v/>
      </c>
      <c r="P18" s="35" t="str">
        <f aca="false">IF(D18&lt;&gt;"",(30*(set!B$5)-D18)/(30*(set!B$5))*100,"")</f>
        <v/>
      </c>
      <c r="Q18" s="77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323</v>
      </c>
      <c r="C19" s="37" t="s">
        <v>324</v>
      </c>
      <c r="D19" s="172"/>
      <c r="E19" s="173"/>
      <c r="F19" s="174"/>
      <c r="G19" s="174"/>
      <c r="H19" s="175"/>
      <c r="I19" s="173"/>
      <c r="J19" s="174"/>
      <c r="K19" s="174"/>
      <c r="L19" s="170"/>
      <c r="M19" s="171"/>
      <c r="N19" s="33" t="str">
        <f aca="false">IFERROR(AVERAGE(E19:M19),"")</f>
        <v/>
      </c>
      <c r="O19" s="84" t="str">
        <f aca="false">IF(D19&lt;&gt;"",IF(COUNTIF(E19:L19,"&lt;3"),"Не успевает","Успевает"),"")</f>
        <v/>
      </c>
      <c r="P19" s="35" t="str">
        <f aca="false">IF(D19&lt;&gt;"",(30*(set!B$5)-D19)/(30*(set!B$5))*100,"")</f>
        <v/>
      </c>
      <c r="Q19" s="77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325</v>
      </c>
      <c r="C20" s="37" t="s">
        <v>326</v>
      </c>
      <c r="D20" s="172"/>
      <c r="E20" s="173"/>
      <c r="F20" s="174"/>
      <c r="G20" s="174"/>
      <c r="H20" s="175"/>
      <c r="I20" s="173"/>
      <c r="J20" s="174"/>
      <c r="K20" s="174"/>
      <c r="L20" s="170"/>
      <c r="M20" s="171"/>
      <c r="N20" s="33" t="str">
        <f aca="false">IFERROR(AVERAGE(E20:M20),"")</f>
        <v/>
      </c>
      <c r="O20" s="84" t="str">
        <f aca="false">IF(D20&lt;&gt;"",IF(COUNTIF(E20:L20,"&lt;3"),"Не успевает","Успевает"),"")</f>
        <v/>
      </c>
      <c r="P20" s="35" t="str">
        <f aca="false">IF(D20&lt;&gt;"",(30*(set!B$5)-D20)/(30*(set!B$5))*100,"")</f>
        <v/>
      </c>
      <c r="Q20" s="77" t="str">
        <f aca="false">IF(E20&lt;&gt;"",IF(N20&lt;1.85,"Выговор",IF(AND(N20&gt;1.85,N20&lt;3),"Предупреждение",IF(AND(N20&gt;3,N20&lt;=4.65),"Нормально",IF(AND(N20&gt;4.65,N20&lt;5.1,MIN(E20:M20)&gt;=4),"Благодарность","Нормально")))),"")</f>
        <v/>
      </c>
      <c r="R20" s="36" t="n">
        <f aca="false">COUNTIF(E20:M20,2)+COUNTIF(E20:M20,1)+COUNTIF(E20:M20,0)</f>
        <v>0</v>
      </c>
    </row>
    <row r="21" s="45" customFormat="true" ht="15" hidden="false" customHeight="true" outlineLevel="0" collapsed="false">
      <c r="A21" s="37" t="n">
        <v>14</v>
      </c>
      <c r="B21" s="37" t="s">
        <v>327</v>
      </c>
      <c r="C21" s="37" t="s">
        <v>328</v>
      </c>
      <c r="D21" s="172"/>
      <c r="E21" s="173"/>
      <c r="F21" s="174"/>
      <c r="G21" s="174"/>
      <c r="H21" s="175"/>
      <c r="I21" s="173"/>
      <c r="J21" s="174"/>
      <c r="K21" s="174"/>
      <c r="L21" s="170"/>
      <c r="M21" s="171"/>
      <c r="N21" s="33" t="str">
        <f aca="false">IFERROR(AVERAGE(E21:M21),"")</f>
        <v/>
      </c>
      <c r="O21" s="84" t="str">
        <f aca="false">IF(D21&lt;&gt;"",IF(COUNTIF(E21:L21,"&lt;3"),"Не успевает","Успевает"),"")</f>
        <v/>
      </c>
      <c r="P21" s="35" t="str">
        <f aca="false">IF(D21&lt;&gt;"",(30*(set!B$5)-D21)/(30*(set!B$5))*100,"")</f>
        <v/>
      </c>
      <c r="Q21" s="77" t="str">
        <f aca="false">IF(E21&lt;&gt;"",IF(N21&lt;1.85,"Выговор",IF(AND(N21&gt;1.85,N21&lt;3),"Предупреждение",IF(AND(N21&gt;3,N21&lt;=4.65),"Нормально",IF(AND(N21&gt;4.65,N21&lt;5.1,MIN(E21:M21)&gt;=4),"Благодарность","Нормально")))),"")</f>
        <v/>
      </c>
      <c r="R21" s="36" t="n">
        <f aca="false">COUNTIF(E21:M21,2)+COUNTIF(E21:M21,1)+COUNTIF(E21:M21,0)</f>
        <v>0</v>
      </c>
    </row>
    <row r="22" s="45" customFormat="true" ht="15" hidden="false" customHeight="true" outlineLevel="0" collapsed="false">
      <c r="A22" s="37" t="n">
        <v>15</v>
      </c>
      <c r="B22" s="37" t="s">
        <v>329</v>
      </c>
      <c r="C22" s="37" t="s">
        <v>330</v>
      </c>
      <c r="D22" s="172"/>
      <c r="E22" s="173"/>
      <c r="F22" s="174"/>
      <c r="G22" s="174"/>
      <c r="H22" s="175"/>
      <c r="I22" s="173"/>
      <c r="J22" s="174"/>
      <c r="K22" s="174"/>
      <c r="L22" s="170"/>
      <c r="M22" s="171"/>
      <c r="N22" s="33" t="str">
        <f aca="false">IFERROR(AVERAGE(E22:M22),"")</f>
        <v/>
      </c>
      <c r="O22" s="84" t="str">
        <f aca="false">IF(D22&lt;&gt;"",IF(COUNTIF(E22:L22,"&lt;3"),"Не успевает","Успевает"),"")</f>
        <v/>
      </c>
      <c r="P22" s="35" t="str">
        <f aca="false">IF(D22&lt;&gt;"",(30*(set!B$5)-D22)/(30*(set!B$5))*100,"")</f>
        <v/>
      </c>
      <c r="Q22" s="77" t="str">
        <f aca="false">IF(E22&lt;&gt;"",IF(N22&lt;1.85,"Выговор",IF(AND(N22&gt;1.85,N22&lt;3),"Предупреждение",IF(AND(N22&gt;3,N22&lt;=4.65),"Нормально",IF(AND(N22&gt;4.65,N22&lt;5.1,MIN(E22:M22)&gt;=4),"Благодарность","Нормально")))),"")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0" t="s">
        <v>77</v>
      </c>
      <c r="D23" s="46"/>
      <c r="E23" s="47" t="e">
        <f aca="false">AVERAGE(E8:E22)</f>
        <v>#DIV/0!</v>
      </c>
      <c r="F23" s="47" t="e">
        <f aca="false">AVERAGE(F8:F22)</f>
        <v>#DIV/0!</v>
      </c>
      <c r="G23" s="47" t="e">
        <f aca="false">AVERAGE(G8:G22)</f>
        <v>#DIV/0!</v>
      </c>
      <c r="H23" s="47" t="e">
        <f aca="false">AVERAGE(H8:H22)</f>
        <v>#DIV/0!</v>
      </c>
      <c r="I23" s="47" t="e">
        <f aca="false">AVERAGE(I8:I22)</f>
        <v>#DIV/0!</v>
      </c>
      <c r="J23" s="47" t="e">
        <f aca="false">AVERAGE(J8:J22)</f>
        <v>#DIV/0!</v>
      </c>
      <c r="K23" s="47" t="e">
        <f aca="false">AVERAGE(K8:K22)</f>
        <v>#DIV/0!</v>
      </c>
      <c r="L23" s="47" t="e">
        <f aca="false">AVERAGE(L8:L22)</f>
        <v>#DIV/0!</v>
      </c>
      <c r="M23" s="47" t="e">
        <f aca="false">AVERAGE(M8:M22)</f>
        <v>#DIV/0!</v>
      </c>
      <c r="N23" s="48"/>
      <c r="O23" s="48"/>
      <c r="P23" s="48"/>
    </row>
    <row r="24" customFormat="false" ht="15" hidden="false" customHeight="true" outlineLevel="0" collapsed="false">
      <c r="A24" s="0" t="s">
        <v>78</v>
      </c>
      <c r="D24" s="46"/>
      <c r="E24" s="49" t="e">
        <f aca="false">(COUNTIF(E8:E22,5)+COUNTIF(E8:E22,4)+COUNTIF(E8:E22,3))/$P$28*100</f>
        <v>#DIV/0!</v>
      </c>
      <c r="F24" s="49" t="e">
        <f aca="false">(COUNTIF(F8:F22,5)+COUNTIF(F8:F22,4)+COUNTIF(F8:F22,3))/$P$28*100</f>
        <v>#DIV/0!</v>
      </c>
      <c r="G24" s="49" t="e">
        <f aca="false">(COUNTIF(G8:G22,5)+COUNTIF(G8:G22,4)+COUNTIF(G8:G22,3))/$P$28*100</f>
        <v>#DIV/0!</v>
      </c>
      <c r="H24" s="49" t="e">
        <f aca="false">(COUNTIF(H8:H22,5)+COUNTIF(H8:H22,4)+COUNTIF(H8:H22,3))/$P$28*100</f>
        <v>#DIV/0!</v>
      </c>
      <c r="I24" s="49" t="e">
        <f aca="false">(COUNTIF(I8:I22,5)+COUNTIF(I8:I22,4)+COUNTIF(I8:I22,3))/$P$28*100</f>
        <v>#DIV/0!</v>
      </c>
      <c r="J24" s="49" t="e">
        <f aca="false">(COUNTIF(J8:J22,5)+COUNTIF(J8:J22,4)+COUNTIF(J8:J22,3))/$P$28*100</f>
        <v>#DIV/0!</v>
      </c>
      <c r="K24" s="49" t="e">
        <f aca="false">(COUNTIF(K8:K22,5)+COUNTIF(K8:K22,4)+COUNTIF(K8:K22,3))/$P$28*100</f>
        <v>#DIV/0!</v>
      </c>
      <c r="L24" s="49" t="e">
        <f aca="false">(COUNTIF(L8:L22,5)+COUNTIF(L8:L22,4)+COUNTIF(L8:L22,3))/$P$28*100</f>
        <v>#DIV/0!</v>
      </c>
      <c r="M24" s="49" t="e">
        <f aca="false">(COUNTIF(M8:M22,5)+COUNTIF(M8:M22,4)+COUNTIF(M8:M22,3))/$P$28*100</f>
        <v>#DIV/0!</v>
      </c>
      <c r="N24" s="48"/>
      <c r="O24" s="48"/>
      <c r="P24" s="48"/>
    </row>
    <row r="25" customFormat="false" ht="15" hidden="false" customHeight="true" outlineLevel="0" collapsed="false"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</row>
    <row r="26" customFormat="false" ht="15" hidden="false" customHeight="true" outlineLevel="0" collapsed="false">
      <c r="B26" s="50"/>
      <c r="C26" s="50" t="s">
        <v>8</v>
      </c>
      <c r="D26" s="51" t="str">
        <f aca="false">IFERROR(AVERAGE(N8:N22),"")</f>
        <v/>
      </c>
      <c r="E26" s="52" t="s">
        <v>9</v>
      </c>
      <c r="F26" s="52"/>
      <c r="G26" s="53" t="str">
        <f aca="false">IFERROR(COUNTIF(O8:O22,"Успевает")/P28*100,"")</f>
        <v/>
      </c>
      <c r="H26" s="54" t="s">
        <v>79</v>
      </c>
      <c r="I26" s="54"/>
      <c r="J26" s="55" t="str">
        <f aca="false">IFERROR(AVERAGE(P8:P22),"")</f>
        <v/>
      </c>
      <c r="K26" s="52"/>
      <c r="L26" s="52"/>
      <c r="M26" s="52"/>
      <c r="N26" s="48"/>
      <c r="O26" s="48"/>
      <c r="P26" s="48"/>
      <c r="Q26" s="48"/>
    </row>
    <row r="27" customFormat="false" ht="15" hidden="false" customHeight="true" outlineLevel="0" collapsed="false">
      <c r="B27" s="50"/>
      <c r="C27" s="50"/>
      <c r="D27" s="50"/>
      <c r="E27" s="56"/>
      <c r="F27" s="56"/>
      <c r="G27" s="56"/>
      <c r="H27" s="56"/>
      <c r="I27" s="56"/>
      <c r="J27" s="56"/>
      <c r="K27" s="56"/>
      <c r="L27" s="56"/>
      <c r="M27" s="56"/>
      <c r="Q27" s="59"/>
    </row>
    <row r="28" customFormat="false" ht="15" hidden="false" customHeight="true" outlineLevel="0" collapsed="false">
      <c r="A28" s="50"/>
      <c r="B28" s="61" t="s">
        <v>81</v>
      </c>
      <c r="C28" s="61"/>
      <c r="D28" s="61"/>
      <c r="E28" s="61"/>
      <c r="F28" s="61"/>
      <c r="G28" s="61"/>
      <c r="H28" s="61"/>
      <c r="I28" s="61"/>
      <c r="J28" s="61"/>
      <c r="K28" s="61" t="s">
        <v>82</v>
      </c>
      <c r="L28" s="61"/>
      <c r="M28" s="62"/>
      <c r="N28" s="57" t="s">
        <v>80</v>
      </c>
      <c r="O28" s="57"/>
      <c r="P28" s="58" t="n">
        <f aca="false">SUM(P29:P30)</f>
        <v>0</v>
      </c>
      <c r="Q28" s="64"/>
    </row>
    <row r="29" customFormat="false" ht="15" hidden="false" customHeight="true" outlineLevel="0" collapsed="false">
      <c r="A29" s="50"/>
      <c r="B29" s="65" t="str">
        <f aca="false">$E$6</f>
        <v> Общая теория автоматического управления </v>
      </c>
      <c r="C29" s="65"/>
      <c r="D29" s="65"/>
      <c r="E29" s="65"/>
      <c r="F29" s="65"/>
      <c r="G29" s="65"/>
      <c r="H29" s="65"/>
      <c r="I29" s="65"/>
      <c r="J29" s="65"/>
      <c r="K29" s="176"/>
      <c r="L29" s="176"/>
      <c r="M29" s="67"/>
      <c r="N29" s="57" t="s">
        <v>83</v>
      </c>
      <c r="O29" s="57"/>
      <c r="P29" s="58" t="n">
        <f aca="false">COUNTIF(O8:O22,"Успевает")</f>
        <v>0</v>
      </c>
      <c r="Q29" s="99"/>
    </row>
    <row r="30" customFormat="false" ht="15" hidden="false" customHeight="true" outlineLevel="0" collapsed="false">
      <c r="A30" s="50"/>
      <c r="B30" s="65" t="str">
        <f aca="false">$F$6</f>
        <v> Сети и телекоммуникации</v>
      </c>
      <c r="C30" s="65"/>
      <c r="D30" s="65"/>
      <c r="E30" s="65"/>
      <c r="F30" s="65"/>
      <c r="G30" s="65"/>
      <c r="H30" s="65"/>
      <c r="I30" s="65"/>
      <c r="J30" s="65"/>
      <c r="K30" s="176"/>
      <c r="L30" s="176"/>
      <c r="M30" s="67"/>
      <c r="N30" s="98" t="s">
        <v>84</v>
      </c>
      <c r="O30" s="98"/>
      <c r="P30" s="58" t="n">
        <f aca="false">COUNTIF(O8:O22,"Не успевает")</f>
        <v>0</v>
      </c>
      <c r="Q30" s="64"/>
    </row>
    <row r="31" customFormat="false" ht="15" hidden="false" customHeight="true" outlineLevel="0" collapsed="false">
      <c r="A31" s="50"/>
      <c r="B31" s="65" t="str">
        <f aca="false">$G$6</f>
        <v> Технология электронных средств</v>
      </c>
      <c r="C31" s="65"/>
      <c r="D31" s="65"/>
      <c r="E31" s="65"/>
      <c r="F31" s="65"/>
      <c r="G31" s="65"/>
      <c r="H31" s="65"/>
      <c r="I31" s="65"/>
      <c r="J31" s="65"/>
      <c r="K31" s="176"/>
      <c r="L31" s="176"/>
      <c r="M31" s="67"/>
      <c r="N31" s="98" t="s">
        <v>85</v>
      </c>
      <c r="O31" s="98"/>
      <c r="P31" s="58" t="n">
        <f aca="false">COUNTIF(Q8:Q22,"Благодарность")</f>
        <v>0</v>
      </c>
      <c r="Q31" s="48"/>
    </row>
    <row r="32" customFormat="false" ht="15" hidden="false" customHeight="true" outlineLevel="0" collapsed="false">
      <c r="A32" s="50"/>
      <c r="B32" s="65" t="str">
        <f aca="false">$H$6</f>
        <v> Электроника и микроэлектроника</v>
      </c>
      <c r="C32" s="65"/>
      <c r="D32" s="65"/>
      <c r="E32" s="65"/>
      <c r="F32" s="65"/>
      <c r="G32" s="65"/>
      <c r="H32" s="65"/>
      <c r="I32" s="65"/>
      <c r="J32" s="65"/>
      <c r="K32" s="176"/>
      <c r="L32" s="176"/>
      <c r="M32" s="67"/>
      <c r="N32" s="98" t="s">
        <v>86</v>
      </c>
      <c r="O32" s="98"/>
      <c r="P32" s="58" t="n">
        <f aca="false">COUNTIF(Q8:Q22,"Нормально")</f>
        <v>0</v>
      </c>
      <c r="Q32" s="48"/>
    </row>
    <row r="33" customFormat="false" ht="15" hidden="false" customHeight="true" outlineLevel="0" collapsed="false">
      <c r="A33" s="50"/>
      <c r="B33" s="65" t="str">
        <f aca="false">$I$6</f>
        <v> Иностранный язык</v>
      </c>
      <c r="C33" s="65"/>
      <c r="D33" s="65"/>
      <c r="E33" s="65"/>
      <c r="F33" s="65"/>
      <c r="G33" s="65"/>
      <c r="H33" s="65"/>
      <c r="I33" s="65"/>
      <c r="J33" s="65"/>
      <c r="K33" s="176"/>
      <c r="L33" s="176"/>
      <c r="M33" s="67"/>
      <c r="N33" s="98" t="s">
        <v>87</v>
      </c>
      <c r="O33" s="98"/>
      <c r="P33" s="58" t="n">
        <f aca="false">COUNTIF(Q8:Q22,"Предупреждение")</f>
        <v>0</v>
      </c>
      <c r="Q33" s="48"/>
    </row>
    <row r="34" customFormat="false" ht="15" hidden="false" customHeight="true" outlineLevel="0" collapsed="false">
      <c r="A34" s="50"/>
      <c r="B34" s="65" t="str">
        <f aca="false">$J$6</f>
        <v> Конструирование приборов (к.п.)</v>
      </c>
      <c r="C34" s="65"/>
      <c r="D34" s="65"/>
      <c r="E34" s="65"/>
      <c r="F34" s="65"/>
      <c r="G34" s="65"/>
      <c r="H34" s="65"/>
      <c r="I34" s="65"/>
      <c r="J34" s="65"/>
      <c r="K34" s="176"/>
      <c r="L34" s="176"/>
      <c r="M34" s="67"/>
      <c r="N34" s="98" t="s">
        <v>88</v>
      </c>
      <c r="O34" s="98"/>
      <c r="P34" s="58" t="n">
        <f aca="false">COUNTIF(Q8:Q22,"Выговор")</f>
        <v>0</v>
      </c>
      <c r="Q34" s="48"/>
    </row>
    <row r="35" customFormat="false" ht="15" hidden="false" customHeight="true" outlineLevel="0" collapsed="false">
      <c r="A35" s="50"/>
      <c r="B35" s="65" t="str">
        <f aca="false">$K$6</f>
        <v> Социология</v>
      </c>
      <c r="C35" s="65"/>
      <c r="D35" s="65"/>
      <c r="E35" s="65"/>
      <c r="F35" s="65"/>
      <c r="G35" s="65"/>
      <c r="H35" s="65"/>
      <c r="I35" s="65"/>
      <c r="J35" s="65"/>
      <c r="K35" s="176"/>
      <c r="L35" s="176"/>
      <c r="M35" s="67"/>
      <c r="N35" s="159" t="s">
        <v>12</v>
      </c>
      <c r="O35" s="159"/>
      <c r="P35" s="143" t="n">
        <f aca="false">SUM(R8:R22)</f>
        <v>0</v>
      </c>
      <c r="Q35" s="48"/>
    </row>
    <row r="36" customFormat="false" ht="15" hidden="false" customHeight="true" outlineLevel="0" collapsed="false">
      <c r="A36" s="50"/>
      <c r="B36" s="65" t="str">
        <f aca="false">$L$6</f>
        <v> Экология</v>
      </c>
      <c r="C36" s="65"/>
      <c r="D36" s="65"/>
      <c r="E36" s="65"/>
      <c r="F36" s="65"/>
      <c r="G36" s="65"/>
      <c r="H36" s="65"/>
      <c r="I36" s="65"/>
      <c r="J36" s="65"/>
      <c r="K36" s="176"/>
      <c r="L36" s="176"/>
      <c r="M36" s="67"/>
      <c r="N36" s="67"/>
      <c r="O36" s="67"/>
      <c r="P36" s="48"/>
      <c r="Q36" s="48"/>
    </row>
    <row r="37" customFormat="false" ht="15" hidden="false" customHeight="true" outlineLevel="0" collapsed="false">
      <c r="A37" s="50"/>
      <c r="B37" s="65" t="str">
        <f aca="false">$M$6</f>
        <v>Физическая культура и спорт </v>
      </c>
      <c r="C37" s="65"/>
      <c r="D37" s="65"/>
      <c r="E37" s="65"/>
      <c r="F37" s="65"/>
      <c r="G37" s="65"/>
      <c r="H37" s="65"/>
      <c r="I37" s="65"/>
      <c r="J37" s="65"/>
      <c r="K37" s="176"/>
      <c r="L37" s="176"/>
      <c r="M37" s="67"/>
      <c r="N37" s="67"/>
      <c r="O37" s="67"/>
      <c r="P37" s="48"/>
      <c r="Q37" s="48"/>
    </row>
    <row r="38" customFormat="false" ht="15" hidden="false" customHeight="true" outlineLevel="0" collapsed="false">
      <c r="A38" s="50"/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67"/>
      <c r="M38" s="50"/>
      <c r="Q38" s="48"/>
    </row>
    <row r="39" customFormat="false" ht="15" hidden="false" customHeight="true" outlineLevel="0" collapsed="false">
      <c r="A39" s="50"/>
      <c r="B39" s="177" t="s">
        <v>89</v>
      </c>
      <c r="C39" s="178" t="s">
        <v>331</v>
      </c>
      <c r="D39" s="178"/>
      <c r="E39" s="67"/>
      <c r="F39" s="52" t="s">
        <v>230</v>
      </c>
      <c r="G39" s="52" t="s">
        <v>332</v>
      </c>
      <c r="H39" s="52"/>
      <c r="I39" s="52"/>
      <c r="J39" s="52"/>
      <c r="K39" s="52"/>
      <c r="L39" s="50"/>
      <c r="M39" s="50"/>
      <c r="Q39" s="48"/>
    </row>
    <row r="40" customFormat="false" ht="15" hidden="false" customHeight="true" outlineLevel="0" collapsed="false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Q40" s="48"/>
    </row>
    <row r="41" customFormat="false" ht="15" hidden="false" customHeight="true" outlineLevel="0" collapsed="false">
      <c r="A41" s="50"/>
      <c r="B41" s="50" t="s">
        <v>93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Q41" s="48"/>
    </row>
    <row r="42" customFormat="false" ht="15" hidden="false" customHeight="true" outlineLevel="0" collapsed="false">
      <c r="A42" s="50"/>
      <c r="B42" s="50" t="s">
        <v>94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Q42" s="48"/>
    </row>
    <row r="43" customFormat="false" ht="15" hidden="false" customHeight="true" outlineLevel="0" collapsed="false">
      <c r="A43" s="50"/>
      <c r="B43" s="50" t="s">
        <v>95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Q43" s="48"/>
    </row>
    <row r="44" customFormat="false" ht="15" hidden="false" customHeight="true" outlineLevel="0" collapsed="false">
      <c r="A44" s="50"/>
      <c r="B44" s="50" t="s">
        <v>96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Q44" s="48"/>
    </row>
    <row r="45" customFormat="false" ht="15" hidden="false" customHeight="true" outlineLevel="0" collapsed="false">
      <c r="A45" s="50"/>
      <c r="B45" s="50" t="s">
        <v>97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Q45" s="48"/>
    </row>
    <row r="46" customFormat="false" ht="15" hidden="false" customHeight="true" outlineLevel="0" collapsed="false">
      <c r="A46" s="50"/>
      <c r="B46" s="50" t="s">
        <v>98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48"/>
      <c r="O46" s="48"/>
      <c r="P46" s="48"/>
      <c r="Q46" s="48"/>
    </row>
    <row r="47" customFormat="false" ht="15" hidden="false" customHeight="true" outlineLevel="0" collapsed="false">
      <c r="A47" s="50"/>
      <c r="B47" s="50" t="s">
        <v>99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48"/>
      <c r="O47" s="48"/>
      <c r="P47" s="48"/>
      <c r="Q47" s="48"/>
    </row>
    <row r="48" customFormat="false" ht="15.75" hidden="false" customHeight="false" outlineLevel="0" collapsed="false">
      <c r="A48" s="50"/>
      <c r="N48" s="48"/>
      <c r="O48" s="48"/>
      <c r="P48" s="48"/>
      <c r="Q48" s="48"/>
    </row>
  </sheetData>
  <mergeCells count="42">
    <mergeCell ref="E1:H1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26:I26"/>
    <mergeCell ref="B28:J28"/>
    <mergeCell ref="K28:L28"/>
    <mergeCell ref="N28:O28"/>
    <mergeCell ref="B29:J29"/>
    <mergeCell ref="K29:L29"/>
    <mergeCell ref="N29:O29"/>
    <mergeCell ref="B30:J30"/>
    <mergeCell ref="K30:L30"/>
    <mergeCell ref="N30:O30"/>
    <mergeCell ref="B31:J31"/>
    <mergeCell ref="K31:L31"/>
    <mergeCell ref="N31:O31"/>
    <mergeCell ref="B32:J32"/>
    <mergeCell ref="K32:L32"/>
    <mergeCell ref="N32:O32"/>
    <mergeCell ref="B33:J33"/>
    <mergeCell ref="K33:L33"/>
    <mergeCell ref="N33:O33"/>
    <mergeCell ref="B34:J34"/>
    <mergeCell ref="K34:L34"/>
    <mergeCell ref="N34:O34"/>
    <mergeCell ref="B35:J35"/>
    <mergeCell ref="K35:L35"/>
    <mergeCell ref="N35:O35"/>
    <mergeCell ref="B36:J36"/>
    <mergeCell ref="K36:L36"/>
    <mergeCell ref="B37:J37"/>
    <mergeCell ref="K37:L37"/>
    <mergeCell ref="C39:D39"/>
  </mergeCells>
  <conditionalFormatting sqref="E23:M2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2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26" man="true" max="16383" min="0"/>
  </rowBreak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1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B8" activeCellId="0" sqref="B8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5.42"/>
    <col collapsed="false" customWidth="true" hidden="false" outlineLevel="0" max="2" min="2" style="0" width="10.85"/>
    <col collapsed="false" customWidth="true" hidden="false" outlineLevel="0" max="3" min="3" style="0" width="18.86"/>
    <col collapsed="false" customWidth="true" hidden="false" outlineLevel="0" max="6" min="6" style="0" width="9.57"/>
    <col collapsed="false" customWidth="true" hidden="false" outlineLevel="0" max="7" min="7" style="0" width="8.86"/>
    <col collapsed="false" customWidth="true" hidden="false" outlineLevel="0" max="14" min="12" style="0" width="9.14"/>
    <col collapsed="false" customWidth="true" hidden="false" outlineLevel="0" max="17" min="17" style="0" width="11.85"/>
    <col collapsed="false" customWidth="true" hidden="false" outlineLevel="0" max="18" min="18" style="0" width="10"/>
    <col collapsed="false" customWidth="true" hidden="false" outlineLevel="0" max="19" min="19" style="0" width="13.29"/>
    <col collapsed="false" customWidth="true" hidden="false" outlineLevel="0" max="20" min="20" style="0" width="10"/>
    <col collapsed="false" customWidth="true" hidden="false" outlineLevel="0" max="21" min="21" style="0" width="5.57"/>
    <col collapsed="false" customWidth="true" hidden="false" outlineLevel="0" max="22" min="22" style="0" width="3"/>
    <col collapsed="false" customWidth="true" hidden="false" outlineLevel="0" max="23" min="23" style="0" width="4.29"/>
    <col collapsed="false" customWidth="true" hidden="false" outlineLevel="0" max="24" min="24" style="0" width="4.57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1"/>
      <c r="J1" s="2" t="n">
        <f aca="false">set!B1</f>
        <v>2</v>
      </c>
      <c r="K1" s="3"/>
    </row>
    <row r="2" customFormat="false" ht="15" hidden="false" customHeight="false" outlineLevel="0" collapsed="false">
      <c r="I2" s="4"/>
      <c r="O2" s="5" t="s">
        <v>1</v>
      </c>
      <c r="P2" s="5"/>
      <c r="Q2" s="5"/>
      <c r="R2" s="75" t="n">
        <f aca="false">set!B4</f>
        <v>45608</v>
      </c>
      <c r="S2" s="75"/>
      <c r="T2" s="72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ИУК1-52Б факультета ИУК МГТУ им. Н.Э. Баумана"</f>
        <v>Успеваемость студентов за 1 семестр 24/25 учебного года по группе ИУК1-52Б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10.25" hidden="false" customHeight="true" outlineLevel="0" collapsed="false">
      <c r="A6" s="8"/>
      <c r="B6" s="8"/>
      <c r="C6" s="8"/>
      <c r="D6" s="9"/>
      <c r="E6" s="15" t="s">
        <v>290</v>
      </c>
      <c r="F6" s="16" t="s">
        <v>291</v>
      </c>
      <c r="G6" s="16" t="s">
        <v>292</v>
      </c>
      <c r="H6" s="163" t="s">
        <v>293</v>
      </c>
      <c r="I6" s="15" t="s">
        <v>143</v>
      </c>
      <c r="J6" s="16" t="s">
        <v>294</v>
      </c>
      <c r="K6" s="16" t="s">
        <v>295</v>
      </c>
      <c r="L6" s="16" t="s">
        <v>296</v>
      </c>
      <c r="M6" s="18" t="s">
        <v>297</v>
      </c>
      <c r="N6" s="12"/>
      <c r="O6" s="13"/>
      <c r="P6" s="13"/>
      <c r="Q6" s="14"/>
      <c r="R6" s="14"/>
    </row>
    <row r="7" customFormat="false" ht="24" hidden="false" customHeight="true" outlineLevel="0" collapsed="false">
      <c r="A7" s="8"/>
      <c r="B7" s="8"/>
      <c r="C7" s="8"/>
      <c r="D7" s="9"/>
      <c r="E7" s="22" t="s">
        <v>298</v>
      </c>
      <c r="F7" s="23" t="s">
        <v>299</v>
      </c>
      <c r="G7" s="23" t="s">
        <v>171</v>
      </c>
      <c r="H7" s="164" t="s">
        <v>171</v>
      </c>
      <c r="I7" s="22" t="s">
        <v>27</v>
      </c>
      <c r="J7" s="23" t="s">
        <v>174</v>
      </c>
      <c r="K7" s="23" t="s">
        <v>175</v>
      </c>
      <c r="L7" s="23" t="s">
        <v>300</v>
      </c>
      <c r="M7" s="24" t="s">
        <v>176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333</v>
      </c>
      <c r="C8" s="25" t="s">
        <v>334</v>
      </c>
      <c r="D8" s="179"/>
      <c r="E8" s="180"/>
      <c r="F8" s="84"/>
      <c r="G8" s="84"/>
      <c r="H8" s="181"/>
      <c r="I8" s="180"/>
      <c r="J8" s="84"/>
      <c r="K8" s="84"/>
      <c r="L8" s="84"/>
      <c r="M8" s="153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35" t="str">
        <f aca="false">IF(D8&lt;&gt;"",(30*(set!B$5)-D8)/(30*(set!B$5))*100,"")</f>
        <v/>
      </c>
      <c r="Q8" s="77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335</v>
      </c>
      <c r="C9" s="37" t="s">
        <v>336</v>
      </c>
      <c r="D9" s="160"/>
      <c r="E9" s="150"/>
      <c r="F9" s="117"/>
      <c r="G9" s="117"/>
      <c r="H9" s="152"/>
      <c r="I9" s="150"/>
      <c r="J9" s="117"/>
      <c r="K9" s="117"/>
      <c r="L9" s="84"/>
      <c r="M9" s="152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35" t="str">
        <f aca="false">IF(D9&lt;&gt;"",(30*(set!B$5)-D9)/(30*(set!B$5))*100,"")</f>
        <v/>
      </c>
      <c r="Q9" s="77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337</v>
      </c>
      <c r="C10" s="37" t="s">
        <v>338</v>
      </c>
      <c r="D10" s="160"/>
      <c r="E10" s="150"/>
      <c r="F10" s="117"/>
      <c r="G10" s="117"/>
      <c r="H10" s="152"/>
      <c r="I10" s="150"/>
      <c r="J10" s="117"/>
      <c r="K10" s="117"/>
      <c r="L10" s="84"/>
      <c r="M10" s="152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35" t="str">
        <f aca="false">IF(D10&lt;&gt;"",(30*(set!B$5)-D10)/(30*(set!B$5))*100,"")</f>
        <v/>
      </c>
      <c r="Q10" s="77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339</v>
      </c>
      <c r="C11" s="37" t="s">
        <v>340</v>
      </c>
      <c r="D11" s="160"/>
      <c r="E11" s="150"/>
      <c r="F11" s="117"/>
      <c r="G11" s="117"/>
      <c r="H11" s="152"/>
      <c r="I11" s="150"/>
      <c r="J11" s="117"/>
      <c r="K11" s="117"/>
      <c r="L11" s="84"/>
      <c r="M11" s="152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35" t="str">
        <f aca="false">IF(D11&lt;&gt;"",(30*(set!B$5)-D11)/(30*(set!B$5))*100,"")</f>
        <v/>
      </c>
      <c r="Q11" s="77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341</v>
      </c>
      <c r="C12" s="37" t="s">
        <v>342</v>
      </c>
      <c r="D12" s="160"/>
      <c r="E12" s="150"/>
      <c r="F12" s="117"/>
      <c r="G12" s="117"/>
      <c r="H12" s="152"/>
      <c r="I12" s="150"/>
      <c r="J12" s="117"/>
      <c r="K12" s="117"/>
      <c r="L12" s="84"/>
      <c r="M12" s="152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35" t="str">
        <f aca="false">IF(D12&lt;&gt;"",(30*(set!B$5)-D12)/(30*(set!B$5))*100,"")</f>
        <v/>
      </c>
      <c r="Q12" s="77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343</v>
      </c>
      <c r="C13" s="37" t="s">
        <v>344</v>
      </c>
      <c r="D13" s="160"/>
      <c r="E13" s="150"/>
      <c r="F13" s="117"/>
      <c r="G13" s="117"/>
      <c r="H13" s="152"/>
      <c r="I13" s="150"/>
      <c r="J13" s="117"/>
      <c r="K13" s="117"/>
      <c r="L13" s="84"/>
      <c r="M13" s="152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35" t="str">
        <f aca="false">IF(D13&lt;&gt;"",(30*(set!B$5)-D13)/(30*(set!B$5))*100,"")</f>
        <v/>
      </c>
      <c r="Q13" s="77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345</v>
      </c>
      <c r="C14" s="37" t="s">
        <v>346</v>
      </c>
      <c r="D14" s="160"/>
      <c r="E14" s="150"/>
      <c r="F14" s="117"/>
      <c r="G14" s="117"/>
      <c r="H14" s="152"/>
      <c r="I14" s="150"/>
      <c r="J14" s="117"/>
      <c r="K14" s="117"/>
      <c r="L14" s="84"/>
      <c r="M14" s="152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35" t="str">
        <f aca="false">IF(D14&lt;&gt;"",(30*(set!B$5)-D14)/(30*(set!B$5))*100,"")</f>
        <v/>
      </c>
      <c r="Q14" s="77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347</v>
      </c>
      <c r="C15" s="37" t="s">
        <v>348</v>
      </c>
      <c r="D15" s="160"/>
      <c r="E15" s="150"/>
      <c r="F15" s="117"/>
      <c r="G15" s="117"/>
      <c r="H15" s="152"/>
      <c r="I15" s="150"/>
      <c r="J15" s="117"/>
      <c r="K15" s="117"/>
      <c r="L15" s="84"/>
      <c r="M15" s="152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35" t="str">
        <f aca="false">IF(D15&lt;&gt;"",(30*(set!B$5)-D15)/(30*(set!B$5))*100,"")</f>
        <v/>
      </c>
      <c r="Q15" s="77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349</v>
      </c>
      <c r="C16" s="37" t="s">
        <v>350</v>
      </c>
      <c r="D16" s="160"/>
      <c r="E16" s="150"/>
      <c r="F16" s="182"/>
      <c r="G16" s="182"/>
      <c r="H16" s="152"/>
      <c r="I16" s="150"/>
      <c r="J16" s="117"/>
      <c r="K16" s="117"/>
      <c r="L16" s="84"/>
      <c r="M16" s="152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35" t="str">
        <f aca="false">IF(D16&lt;&gt;"",(30*(set!B$5)-D16)/(30*(set!B$5))*100,"")</f>
        <v/>
      </c>
      <c r="Q16" s="77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351</v>
      </c>
      <c r="C17" s="37" t="s">
        <v>352</v>
      </c>
      <c r="D17" s="160"/>
      <c r="E17" s="150"/>
      <c r="F17" s="117"/>
      <c r="G17" s="117"/>
      <c r="H17" s="152"/>
      <c r="I17" s="150"/>
      <c r="J17" s="117"/>
      <c r="K17" s="117"/>
      <c r="L17" s="84"/>
      <c r="M17" s="152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35" t="str">
        <f aca="false">IF(D17&lt;&gt;"",(30*(set!B$5)-D17)/(30*(set!B$5))*100,"")</f>
        <v/>
      </c>
      <c r="Q17" s="77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353</v>
      </c>
      <c r="C18" s="37" t="s">
        <v>354</v>
      </c>
      <c r="D18" s="160"/>
      <c r="E18" s="150"/>
      <c r="F18" s="117"/>
      <c r="G18" s="117"/>
      <c r="H18" s="152"/>
      <c r="I18" s="150"/>
      <c r="J18" s="117"/>
      <c r="K18" s="117"/>
      <c r="L18" s="84"/>
      <c r="M18" s="152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35" t="str">
        <f aca="false">IF(D18&lt;&gt;"",(30*(set!B$5)-D18)/(30*(set!B$5))*100,"")</f>
        <v/>
      </c>
      <c r="Q18" s="77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36" t="n">
        <f aca="false">COUNTIF(E18:M18,2)+COUNTIF(E18:M18,1)+COUNTIF(E18:M18,0)</f>
        <v>0</v>
      </c>
    </row>
    <row r="19" s="45" customFormat="true" ht="15" hidden="false" customHeight="true" outlineLevel="0" collapsed="false">
      <c r="A19" s="37" t="n">
        <v>12</v>
      </c>
      <c r="B19" s="37" t="s">
        <v>355</v>
      </c>
      <c r="C19" s="37" t="s">
        <v>356</v>
      </c>
      <c r="D19" s="160"/>
      <c r="E19" s="150"/>
      <c r="F19" s="117"/>
      <c r="G19" s="117"/>
      <c r="H19" s="152"/>
      <c r="I19" s="150"/>
      <c r="J19" s="117"/>
      <c r="K19" s="117"/>
      <c r="L19" s="84"/>
      <c r="M19" s="152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35" t="str">
        <f aca="false">IF(D19&lt;&gt;"",(30*(set!B$5)-D19)/(30*(set!B$5))*100,"")</f>
        <v/>
      </c>
      <c r="Q19" s="77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36" t="n">
        <f aca="false">COUNTIF(E19:M19,2)+COUNTIF(E19:M19,1)+COUNTIF(E19:M19,0)</f>
        <v>0</v>
      </c>
    </row>
    <row r="20" s="45" customFormat="true" ht="15" hidden="false" customHeight="true" outlineLevel="0" collapsed="false">
      <c r="A20" s="37" t="n">
        <v>13</v>
      </c>
      <c r="B20" s="37" t="s">
        <v>357</v>
      </c>
      <c r="C20" s="37" t="s">
        <v>358</v>
      </c>
      <c r="D20" s="160"/>
      <c r="E20" s="150"/>
      <c r="F20" s="117"/>
      <c r="G20" s="117"/>
      <c r="H20" s="152"/>
      <c r="I20" s="150"/>
      <c r="J20" s="117"/>
      <c r="K20" s="117"/>
      <c r="L20" s="84"/>
      <c r="M20" s="152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35" t="str">
        <f aca="false">IF(D20&lt;&gt;"",(30*(set!B$5)-D20)/(30*(set!B$5))*100,"")</f>
        <v/>
      </c>
      <c r="Q20" s="77" t="str">
        <f aca="false">IF(E20&lt;&gt;"",IF(N20&lt;1.85,"Выговор",IF(AND(N20&gt;1.85,N20&lt;3),"Предупреждение",IF(AND(N20&gt;3,N20&lt;=4.65),"Нормально",IF(AND(N20&gt;4.65,N20&lt;5.1,MIN(E20:M20)&gt;=4),"Благодарность","Нормально")))),"")</f>
        <v/>
      </c>
      <c r="R20" s="36" t="n">
        <f aca="false">COUNTIF(E20:M20,2)+COUNTIF(E20:M20,1)+COUNTIF(E20:M20,0)</f>
        <v>0</v>
      </c>
    </row>
    <row r="21" s="45" customFormat="true" ht="15" hidden="false" customHeight="true" outlineLevel="0" collapsed="false">
      <c r="A21" s="37" t="n">
        <v>14</v>
      </c>
      <c r="B21" s="37" t="s">
        <v>359</v>
      </c>
      <c r="C21" s="37" t="s">
        <v>360</v>
      </c>
      <c r="D21" s="160"/>
      <c r="E21" s="150"/>
      <c r="F21" s="117"/>
      <c r="G21" s="117"/>
      <c r="H21" s="152"/>
      <c r="I21" s="150"/>
      <c r="J21" s="117"/>
      <c r="K21" s="117"/>
      <c r="L21" s="84"/>
      <c r="M21" s="152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35" t="str">
        <f aca="false">IF(D21&lt;&gt;"",(30*(set!B$5)-D21)/(30*(set!B$5))*100,"")</f>
        <v/>
      </c>
      <c r="Q21" s="77" t="str">
        <f aca="false">IF(E21&lt;&gt;"",IF(N21&lt;1.85,"Выговор",IF(AND(N21&gt;1.85,N21&lt;3),"Предупреждение",IF(AND(N21&gt;3,N21&lt;=4.65),"Нормально",IF(AND(N21&gt;4.65,N21&lt;5.1,MIN(E21:M21)&gt;=4),"Благодарность","Нормально")))),"")</f>
        <v/>
      </c>
      <c r="R21" s="36" t="n">
        <f aca="false">COUNTIF(E21:M21,2)+COUNTIF(E21:M21,1)+COUNTIF(E21:M21,0)</f>
        <v>0</v>
      </c>
    </row>
    <row r="22" s="45" customFormat="true" ht="15" hidden="false" customHeight="true" outlineLevel="0" collapsed="false">
      <c r="A22" s="37" t="n">
        <v>15</v>
      </c>
      <c r="B22" s="37" t="s">
        <v>361</v>
      </c>
      <c r="C22" s="37" t="s">
        <v>362</v>
      </c>
      <c r="D22" s="160"/>
      <c r="E22" s="150"/>
      <c r="F22" s="117"/>
      <c r="G22" s="117"/>
      <c r="H22" s="152"/>
      <c r="I22" s="150"/>
      <c r="J22" s="117"/>
      <c r="K22" s="117"/>
      <c r="L22" s="84"/>
      <c r="M22" s="152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35" t="str">
        <f aca="false">IF(D22&lt;&gt;"",(30*(set!B$5)-D22)/(30*(set!B$5))*100,"")</f>
        <v/>
      </c>
      <c r="Q22" s="77" t="str">
        <f aca="false">IF(E22&lt;&gt;"",IF(N22&lt;1.85,"Выговор",IF(AND(N22&gt;1.85,N22&lt;3),"Предупреждение",IF(AND(N22&gt;3,N22&lt;=4.65),"Нормально",IF(AND(N22&gt;4.65,N22&lt;5.1,MIN(E22:M22)&gt;=4),"Благодарность","Нормально")))),"")</f>
        <v/>
      </c>
      <c r="R22" s="36" t="n">
        <f aca="false">COUNTIF(E22:M22,2)+COUNTIF(E22:M22,1)+COUNTIF(E22:M22,0)</f>
        <v>0</v>
      </c>
    </row>
    <row r="23" s="45" customFormat="true" ht="15" hidden="false" customHeight="true" outlineLevel="0" collapsed="false">
      <c r="A23" s="37" t="n">
        <v>16</v>
      </c>
      <c r="B23" s="37" t="s">
        <v>363</v>
      </c>
      <c r="C23" s="37" t="s">
        <v>364</v>
      </c>
      <c r="D23" s="160"/>
      <c r="E23" s="150"/>
      <c r="F23" s="117"/>
      <c r="G23" s="117"/>
      <c r="H23" s="152"/>
      <c r="I23" s="150"/>
      <c r="J23" s="117"/>
      <c r="K23" s="117"/>
      <c r="L23" s="84"/>
      <c r="M23" s="152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35" t="str">
        <f aca="false">IF(D23&lt;&gt;"",(30*(set!B$5)-D23)/(30*(set!B$5))*100,"")</f>
        <v/>
      </c>
      <c r="Q23" s="77" t="str">
        <f aca="false">IF(E23&lt;&gt;"",IF(N23&lt;1.85,"Выговор",IF(AND(N23&gt;1.85,N23&lt;3),"Предупреждение",IF(AND(N23&gt;3,N23&lt;=4.65),"Нормально",IF(AND(N23&gt;4.65,N23&lt;5.1,MIN(E23:M23)&gt;=4),"Благодарность","Нормально")))),"")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365</v>
      </c>
      <c r="C24" s="37" t="s">
        <v>366</v>
      </c>
      <c r="D24" s="160"/>
      <c r="E24" s="150"/>
      <c r="F24" s="117"/>
      <c r="G24" s="117"/>
      <c r="H24" s="152"/>
      <c r="I24" s="150"/>
      <c r="J24" s="117"/>
      <c r="K24" s="117"/>
      <c r="L24" s="84"/>
      <c r="M24" s="152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35" t="str">
        <f aca="false">IF(D24&lt;&gt;"",(30*(set!B$5)-D24)/(30*(set!B$5))*100,"")</f>
        <v/>
      </c>
      <c r="Q24" s="77" t="str">
        <f aca="false">IF(E24&lt;&gt;"",IF(N24&lt;1.85,"Выговор",IF(AND(N24&gt;1.85,N24&lt;3),"Предупреждение",IF(AND(N24&gt;3,N24&lt;=4.65),"Нормально",IF(AND(N24&gt;4.65,N24&lt;5.1,MIN(E24:M24)&gt;=4),"Благодарность","Нормально")))),"")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0" t="s">
        <v>77</v>
      </c>
      <c r="D25" s="46"/>
      <c r="E25" s="47" t="e">
        <f aca="false">AVERAGE(E8:E24)</f>
        <v>#DIV/0!</v>
      </c>
      <c r="F25" s="47" t="e">
        <f aca="false">AVERAGE(F8:F24)</f>
        <v>#DIV/0!</v>
      </c>
      <c r="G25" s="47" t="e">
        <f aca="false">AVERAGE(G8:G24)</f>
        <v>#DIV/0!</v>
      </c>
      <c r="H25" s="47" t="e">
        <f aca="false">AVERAGE(H8:H24)</f>
        <v>#DIV/0!</v>
      </c>
      <c r="I25" s="47" t="e">
        <f aca="false">AVERAGE(I8:I24)</f>
        <v>#DIV/0!</v>
      </c>
      <c r="J25" s="47" t="e">
        <f aca="false">AVERAGE(J8:J24)</f>
        <v>#DIV/0!</v>
      </c>
      <c r="K25" s="47" t="e">
        <f aca="false">AVERAGE(K8:K24)</f>
        <v>#DIV/0!</v>
      </c>
      <c r="L25" s="47" t="e">
        <f aca="false">AVERAGE(L8:L24)</f>
        <v>#DIV/0!</v>
      </c>
      <c r="M25" s="47" t="e">
        <f aca="false">AVERAGE(M8:M24)</f>
        <v>#DIV/0!</v>
      </c>
      <c r="N25" s="48"/>
      <c r="O25" s="48"/>
      <c r="P25" s="48"/>
    </row>
    <row r="26" customFormat="false" ht="15" hidden="false" customHeight="true" outlineLevel="0" collapsed="false">
      <c r="A26" s="0" t="s">
        <v>78</v>
      </c>
      <c r="D26" s="46"/>
      <c r="E26" s="49" t="e">
        <f aca="false">(COUNTIF(E8:E24,5)+COUNTIF(E8:E24,4)+COUNTIF(E8:E24,3))/$P$30*100</f>
        <v>#DIV/0!</v>
      </c>
      <c r="F26" s="49" t="e">
        <f aca="false">(COUNTIF(F8:F24,5)+COUNTIF(F8:F24,4)+COUNTIF(F8:F24,3))/$P$30*100</f>
        <v>#DIV/0!</v>
      </c>
      <c r="G26" s="49" t="e">
        <f aca="false">(COUNTIF(G8:G24,5)+COUNTIF(G8:G24,4)+COUNTIF(G8:G24,3))/$P$30*100</f>
        <v>#DIV/0!</v>
      </c>
      <c r="H26" s="49" t="e">
        <f aca="false">(COUNTIF(H8:H24,5)+COUNTIF(H8:H24,4)+COUNTIF(H8:H24,3))/$P$30*100</f>
        <v>#DIV/0!</v>
      </c>
      <c r="I26" s="49" t="e">
        <f aca="false">(COUNTIF(I8:I24,5)+COUNTIF(I8:I24,4)+COUNTIF(I8:I24,3))/$P$30*100</f>
        <v>#DIV/0!</v>
      </c>
      <c r="J26" s="49" t="e">
        <f aca="false">(COUNTIF(J8:J24,5)+COUNTIF(J8:J24,4)+COUNTIF(J8:J24,3))/$P$30*100</f>
        <v>#DIV/0!</v>
      </c>
      <c r="K26" s="49" t="e">
        <f aca="false">(COUNTIF(K8:K24,5)+COUNTIF(K8:K24,4)+COUNTIF(K8:K24,3))/$P$30*100</f>
        <v>#DIV/0!</v>
      </c>
      <c r="L26" s="49" t="e">
        <f aca="false">(COUNTIF(L8:L24,5)+COUNTIF(L8:L24,4)+COUNTIF(L8:L24,3))/$P$30*100</f>
        <v>#DIV/0!</v>
      </c>
      <c r="M26" s="49" t="e">
        <f aca="false">(COUNTIF(M8:M24,5)+COUNTIF(M8:M24,4)+COUNTIF(M8:M24,3))/$P$30*100</f>
        <v>#DIV/0!</v>
      </c>
      <c r="N26" s="48"/>
      <c r="O26" s="48"/>
      <c r="P26" s="48"/>
    </row>
    <row r="27" customFormat="false" ht="15" hidden="false" customHeight="true" outlineLevel="0" collapsed="false"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</row>
    <row r="28" customFormat="false" ht="15" hidden="false" customHeight="true" outlineLevel="0" collapsed="false">
      <c r="B28" s="50"/>
      <c r="C28" s="50" t="s">
        <v>8</v>
      </c>
      <c r="D28" s="51" t="str">
        <f aca="false">IFERROR(AVERAGE(N8:N24),"")</f>
        <v/>
      </c>
      <c r="E28" s="52" t="s">
        <v>9</v>
      </c>
      <c r="F28" s="52"/>
      <c r="G28" s="52"/>
      <c r="H28" s="53" t="str">
        <f aca="false">IFERROR(COUNTIF(O8:O24,"Успевает")/P30*100,"")</f>
        <v/>
      </c>
      <c r="I28" s="54" t="s">
        <v>79</v>
      </c>
      <c r="J28" s="54"/>
      <c r="K28" s="55" t="str">
        <f aca="false">IFERROR(AVERAGE(P8:P24),"")</f>
        <v/>
      </c>
      <c r="L28" s="52"/>
      <c r="M28" s="52"/>
      <c r="N28" s="52"/>
      <c r="O28" s="52"/>
      <c r="P28" s="158"/>
      <c r="Q28" s="48"/>
      <c r="R28" s="48"/>
      <c r="S28" s="48"/>
      <c r="T28" s="48"/>
    </row>
    <row r="29" customFormat="false" ht="15" hidden="false" customHeight="true" outlineLevel="0" collapsed="false">
      <c r="B29" s="50"/>
      <c r="C29" s="50"/>
      <c r="D29" s="50"/>
      <c r="E29" s="56"/>
      <c r="F29" s="56"/>
      <c r="G29" s="56"/>
      <c r="H29" s="56"/>
      <c r="I29" s="56"/>
      <c r="J29" s="56"/>
      <c r="K29" s="56"/>
      <c r="L29" s="56"/>
      <c r="M29" s="56"/>
      <c r="Q29" s="183"/>
      <c r="R29" s="183"/>
      <c r="S29" s="48"/>
    </row>
    <row r="30" customFormat="false" ht="15" hidden="false" customHeight="true" outlineLevel="0" collapsed="false">
      <c r="A30" s="50"/>
      <c r="B30" s="61" t="s">
        <v>81</v>
      </c>
      <c r="C30" s="61"/>
      <c r="D30" s="61"/>
      <c r="E30" s="61"/>
      <c r="F30" s="61"/>
      <c r="G30" s="61"/>
      <c r="H30" s="61"/>
      <c r="I30" s="61"/>
      <c r="J30" s="61"/>
      <c r="K30" s="61" t="s">
        <v>82</v>
      </c>
      <c r="L30" s="61"/>
      <c r="M30" s="61"/>
      <c r="N30" s="57" t="s">
        <v>80</v>
      </c>
      <c r="O30" s="57"/>
      <c r="P30" s="58" t="n">
        <f aca="false">SUM(P31:P32)</f>
        <v>0</v>
      </c>
      <c r="Q30" s="64"/>
      <c r="R30" s="64"/>
      <c r="S30" s="48"/>
    </row>
    <row r="31" customFormat="false" ht="15" hidden="false" customHeight="true" outlineLevel="0" collapsed="false">
      <c r="A31" s="50"/>
      <c r="B31" s="65" t="str">
        <f aca="false">$E$6</f>
        <v> Общая теория автоматического управления </v>
      </c>
      <c r="C31" s="65"/>
      <c r="D31" s="65"/>
      <c r="E31" s="65"/>
      <c r="F31" s="65"/>
      <c r="G31" s="65"/>
      <c r="H31" s="65"/>
      <c r="I31" s="65"/>
      <c r="J31" s="65"/>
      <c r="K31" s="66"/>
      <c r="L31" s="66"/>
      <c r="M31" s="66"/>
      <c r="N31" s="57" t="s">
        <v>83</v>
      </c>
      <c r="O31" s="57"/>
      <c r="P31" s="58" t="n">
        <f aca="false">COUNTIF(O8:O24,"Успевает")</f>
        <v>0</v>
      </c>
      <c r="Q31" s="99"/>
      <c r="R31" s="69"/>
      <c r="S31" s="48"/>
    </row>
    <row r="32" customFormat="false" ht="15" hidden="false" customHeight="true" outlineLevel="0" collapsed="false">
      <c r="A32" s="50"/>
      <c r="B32" s="65" t="str">
        <f aca="false">$F$6</f>
        <v> Сети и телекоммуникации</v>
      </c>
      <c r="C32" s="65"/>
      <c r="D32" s="65"/>
      <c r="E32" s="65"/>
      <c r="F32" s="65"/>
      <c r="G32" s="65"/>
      <c r="H32" s="65"/>
      <c r="I32" s="65"/>
      <c r="J32" s="65"/>
      <c r="K32" s="66"/>
      <c r="L32" s="66"/>
      <c r="M32" s="66"/>
      <c r="N32" s="98" t="s">
        <v>84</v>
      </c>
      <c r="O32" s="98"/>
      <c r="P32" s="58" t="n">
        <f aca="false">COUNTIF(O8:O24,"Не успевает")</f>
        <v>0</v>
      </c>
      <c r="Q32" s="64"/>
      <c r="R32" s="64"/>
      <c r="S32" s="48"/>
    </row>
    <row r="33" customFormat="false" ht="15" hidden="false" customHeight="true" outlineLevel="0" collapsed="false">
      <c r="A33" s="50"/>
      <c r="B33" s="65" t="str">
        <f aca="false">$G$6</f>
        <v> Технология электронных средств</v>
      </c>
      <c r="C33" s="65"/>
      <c r="D33" s="65"/>
      <c r="E33" s="65"/>
      <c r="F33" s="65"/>
      <c r="G33" s="65"/>
      <c r="H33" s="65"/>
      <c r="I33" s="65"/>
      <c r="J33" s="65"/>
      <c r="K33" s="66"/>
      <c r="L33" s="66"/>
      <c r="M33" s="66"/>
      <c r="N33" s="184" t="s">
        <v>85</v>
      </c>
      <c r="O33" s="184"/>
      <c r="P33" s="58" t="n">
        <f aca="false">COUNTIF(Q8:Q24,"Благодарность")</f>
        <v>0</v>
      </c>
      <c r="Q33" s="48"/>
      <c r="R33" s="48"/>
      <c r="S33" s="48"/>
    </row>
    <row r="34" customFormat="false" ht="15" hidden="false" customHeight="true" outlineLevel="0" collapsed="false">
      <c r="A34" s="50"/>
      <c r="B34" s="65" t="str">
        <f aca="false">$H$6</f>
        <v> Электроника и микроэлектроника</v>
      </c>
      <c r="C34" s="65"/>
      <c r="D34" s="65"/>
      <c r="E34" s="65"/>
      <c r="F34" s="65"/>
      <c r="G34" s="65"/>
      <c r="H34" s="65"/>
      <c r="I34" s="65"/>
      <c r="J34" s="65"/>
      <c r="K34" s="66"/>
      <c r="L34" s="66"/>
      <c r="M34" s="66"/>
      <c r="N34" s="98" t="s">
        <v>86</v>
      </c>
      <c r="O34" s="98"/>
      <c r="P34" s="58" t="n">
        <f aca="false">COUNTIF(Q8:Q24,"Нормально")</f>
        <v>0</v>
      </c>
      <c r="Q34" s="48"/>
      <c r="R34" s="48"/>
      <c r="S34" s="48"/>
    </row>
    <row r="35" customFormat="false" ht="15" hidden="false" customHeight="true" outlineLevel="0" collapsed="false">
      <c r="A35" s="50"/>
      <c r="B35" s="65" t="str">
        <f aca="false">$I$6</f>
        <v> Иностранный язык</v>
      </c>
      <c r="C35" s="65"/>
      <c r="D35" s="65"/>
      <c r="E35" s="65"/>
      <c r="F35" s="65"/>
      <c r="G35" s="65"/>
      <c r="H35" s="65"/>
      <c r="I35" s="65"/>
      <c r="J35" s="65"/>
      <c r="K35" s="66"/>
      <c r="L35" s="66"/>
      <c r="M35" s="66"/>
      <c r="N35" s="98" t="s">
        <v>87</v>
      </c>
      <c r="O35" s="98"/>
      <c r="P35" s="58" t="n">
        <f aca="false">COUNTIF(Q8:Q24,"Предупреждение")</f>
        <v>0</v>
      </c>
      <c r="Q35" s="48"/>
      <c r="R35" s="48"/>
      <c r="S35" s="48"/>
    </row>
    <row r="36" customFormat="false" ht="15" hidden="false" customHeight="true" outlineLevel="0" collapsed="false">
      <c r="A36" s="50"/>
      <c r="B36" s="65" t="str">
        <f aca="false">$J$6</f>
        <v> Конструирование приборов (к.п.)</v>
      </c>
      <c r="C36" s="65"/>
      <c r="D36" s="65"/>
      <c r="E36" s="65"/>
      <c r="F36" s="65"/>
      <c r="G36" s="65"/>
      <c r="H36" s="65"/>
      <c r="I36" s="65"/>
      <c r="J36" s="65"/>
      <c r="K36" s="66"/>
      <c r="L36" s="66"/>
      <c r="M36" s="66"/>
      <c r="N36" s="98" t="s">
        <v>88</v>
      </c>
      <c r="O36" s="98"/>
      <c r="P36" s="58" t="n">
        <f aca="false">COUNTIF(Q8:Q24,"Выговор")</f>
        <v>0</v>
      </c>
      <c r="Q36" s="48"/>
      <c r="R36" s="48"/>
      <c r="S36" s="48"/>
    </row>
    <row r="37" customFormat="false" ht="15" hidden="false" customHeight="true" outlineLevel="0" collapsed="false">
      <c r="A37" s="50"/>
      <c r="B37" s="65" t="str">
        <f aca="false">$K$6</f>
        <v> Социология</v>
      </c>
      <c r="C37" s="65"/>
      <c r="D37" s="65"/>
      <c r="E37" s="65"/>
      <c r="F37" s="65"/>
      <c r="G37" s="65"/>
      <c r="H37" s="65"/>
      <c r="I37" s="65"/>
      <c r="J37" s="65"/>
      <c r="K37" s="66"/>
      <c r="L37" s="66"/>
      <c r="M37" s="66"/>
      <c r="N37" s="185" t="s">
        <v>12</v>
      </c>
      <c r="O37" s="186"/>
      <c r="P37" s="143" t="n">
        <f aca="false">SUM(R8:R24)</f>
        <v>0</v>
      </c>
      <c r="Q37" s="48"/>
      <c r="R37" s="48"/>
      <c r="S37" s="48"/>
    </row>
    <row r="38" customFormat="false" ht="15" hidden="false" customHeight="true" outlineLevel="0" collapsed="false">
      <c r="A38" s="50"/>
      <c r="B38" s="65" t="str">
        <f aca="false">$L$6</f>
        <v> Экология</v>
      </c>
      <c r="C38" s="65"/>
      <c r="D38" s="65"/>
      <c r="E38" s="65"/>
      <c r="F38" s="65"/>
      <c r="G38" s="65"/>
      <c r="H38" s="65"/>
      <c r="I38" s="65"/>
      <c r="J38" s="65"/>
      <c r="K38" s="66"/>
      <c r="L38" s="66"/>
      <c r="M38" s="66"/>
      <c r="Q38" s="48"/>
      <c r="R38" s="48"/>
      <c r="S38" s="48"/>
    </row>
    <row r="39" customFormat="false" ht="15" hidden="false" customHeight="true" outlineLevel="0" collapsed="false">
      <c r="A39" s="50"/>
      <c r="B39" s="65" t="str">
        <f aca="false">$M$6</f>
        <v>Физическая культура и спорт </v>
      </c>
      <c r="C39" s="65"/>
      <c r="D39" s="65"/>
      <c r="E39" s="65"/>
      <c r="F39" s="65"/>
      <c r="G39" s="65"/>
      <c r="H39" s="65"/>
      <c r="I39" s="65"/>
      <c r="J39" s="65"/>
      <c r="K39" s="66"/>
      <c r="L39" s="66"/>
      <c r="M39" s="66"/>
      <c r="Q39" s="48"/>
      <c r="R39" s="48"/>
      <c r="S39" s="48"/>
    </row>
    <row r="40" customFormat="false" ht="15" hidden="false" customHeight="true" outlineLevel="0" collapsed="false">
      <c r="A40" s="50"/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67"/>
      <c r="M40" s="67"/>
      <c r="N40" s="48"/>
      <c r="O40" s="48"/>
      <c r="P40" s="48"/>
      <c r="Q40" s="48"/>
      <c r="R40" s="48"/>
      <c r="S40" s="48"/>
    </row>
    <row r="41" customFormat="false" ht="15" hidden="false" customHeight="true" outlineLevel="0" collapsed="false">
      <c r="A41" s="50"/>
      <c r="B41" s="73" t="s">
        <v>367</v>
      </c>
      <c r="C41" s="187" t="s">
        <v>368</v>
      </c>
      <c r="D41" s="187"/>
      <c r="E41" s="67"/>
      <c r="F41" s="52" t="s">
        <v>369</v>
      </c>
      <c r="G41" s="52" t="s">
        <v>332</v>
      </c>
      <c r="H41" s="52"/>
      <c r="I41" s="52"/>
      <c r="J41" s="52"/>
      <c r="K41" s="52"/>
      <c r="L41" s="52"/>
      <c r="M41" s="52"/>
      <c r="N41" s="48"/>
      <c r="O41" s="48"/>
      <c r="P41" s="48"/>
      <c r="Q41" s="48"/>
      <c r="R41" s="48"/>
      <c r="S41" s="48"/>
    </row>
    <row r="42" customFormat="false" ht="15" hidden="false" customHeight="true" outlineLevel="0" collapsed="false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S42" s="48"/>
      <c r="T42" s="48"/>
    </row>
    <row r="43" customFormat="false" ht="15" hidden="false" customHeight="true" outlineLevel="0" collapsed="false">
      <c r="B43" s="50" t="s">
        <v>93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2"/>
    </row>
    <row r="44" customFormat="false" ht="15" hidden="false" customHeight="true" outlineLevel="0" collapsed="false">
      <c r="B44" s="50" t="s">
        <v>94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customFormat="false" ht="15" hidden="false" customHeight="true" outlineLevel="0" collapsed="false">
      <c r="B45" s="50" t="s">
        <v>95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customFormat="false" ht="15" hidden="false" customHeight="true" outlineLevel="0" collapsed="false">
      <c r="B46" s="50" t="s">
        <v>96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customFormat="false" ht="15" hidden="false" customHeight="true" outlineLevel="0" collapsed="false">
      <c r="B47" s="50" t="s">
        <v>97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customFormat="false" ht="15" hidden="false" customHeight="true" outlineLevel="0" collapsed="false">
      <c r="B48" s="50" t="s">
        <v>98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customFormat="false" ht="15" hidden="false" customHeight="true" outlineLevel="0" collapsed="false">
      <c r="B49" s="50" t="s">
        <v>99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customFormat="false" ht="15" hidden="false" customHeight="true" outlineLevel="0" collapsed="false">
      <c r="N50" s="50"/>
      <c r="O50" s="50"/>
    </row>
    <row r="51" customFormat="false" ht="15" hidden="false" customHeight="true" outlineLevel="0" collapsed="false">
      <c r="N51" s="50"/>
      <c r="O51" s="50"/>
    </row>
  </sheetData>
  <mergeCells count="42">
    <mergeCell ref="E1:I1"/>
    <mergeCell ref="O2:Q2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I28:J28"/>
    <mergeCell ref="Q29:R29"/>
    <mergeCell ref="B30:J30"/>
    <mergeCell ref="K30:M30"/>
    <mergeCell ref="N30:O30"/>
    <mergeCell ref="B31:J31"/>
    <mergeCell ref="K31:M31"/>
    <mergeCell ref="N31:O31"/>
    <mergeCell ref="B32:J32"/>
    <mergeCell ref="K32:M32"/>
    <mergeCell ref="N32:O32"/>
    <mergeCell ref="B33:J33"/>
    <mergeCell ref="K33:M33"/>
    <mergeCell ref="B34:J34"/>
    <mergeCell ref="K34:M34"/>
    <mergeCell ref="N34:O34"/>
    <mergeCell ref="B35:J35"/>
    <mergeCell ref="K35:M35"/>
    <mergeCell ref="N35:O35"/>
    <mergeCell ref="B36:J36"/>
    <mergeCell ref="K36:M36"/>
    <mergeCell ref="N36:O36"/>
    <mergeCell ref="B37:J37"/>
    <mergeCell ref="K37:M37"/>
    <mergeCell ref="B38:J38"/>
    <mergeCell ref="K38:M38"/>
    <mergeCell ref="B39:J39"/>
    <mergeCell ref="K39:M39"/>
    <mergeCell ref="C41:D41"/>
  </mergeCells>
  <conditionalFormatting sqref="E25:M26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24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28" man="true" max="16383" min="0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X45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B22" activeCellId="0" sqref="B22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6.85"/>
    <col collapsed="false" customWidth="true" hidden="false" outlineLevel="0" max="2" min="2" style="0" width="11.29"/>
    <col collapsed="false" customWidth="true" hidden="false" outlineLevel="0" max="3" min="3" style="0" width="20"/>
    <col collapsed="false" customWidth="true" hidden="false" outlineLevel="0" max="5" min="5" style="0" width="10.71"/>
    <col collapsed="false" customWidth="true" hidden="false" outlineLevel="0" max="7" min="6" style="45" width="10.71"/>
    <col collapsed="false" customWidth="false" hidden="false" outlineLevel="0" max="9" min="9" style="45" width="8.71"/>
    <col collapsed="false" customWidth="true" hidden="false" outlineLevel="0" max="13" min="13" style="0" width="9"/>
    <col collapsed="false" customWidth="true" hidden="false" outlineLevel="0" max="15" min="15" style="0" width="10.42"/>
    <col collapsed="false" customWidth="true" hidden="false" outlineLevel="0" max="16" min="16" style="0" width="10"/>
    <col collapsed="false" customWidth="true" hidden="false" outlineLevel="0" max="17" min="17" style="0" width="15.71"/>
    <col collapsed="false" customWidth="true" hidden="false" outlineLevel="0" max="18" min="18" style="0" width="7.42"/>
    <col collapsed="false" customWidth="true" hidden="false" outlineLevel="0" max="20" min="20" style="0" width="11.71"/>
    <col collapsed="false" customWidth="true" hidden="false" outlineLevel="0" max="22" min="21" style="0" width="8.57"/>
    <col collapsed="false" customWidth="true" hidden="false" outlineLevel="0" max="23" min="23" style="0" width="9.42"/>
    <col collapsed="false" customWidth="true" hidden="false" outlineLevel="0" max="24" min="24" style="0" width="5.29"/>
    <col collapsed="false" customWidth="true" hidden="false" outlineLevel="0" max="25" min="25" style="0" width="3.71"/>
    <col collapsed="false" customWidth="true" hidden="false" outlineLevel="0" max="27" min="26" style="0" width="4.29"/>
  </cols>
  <sheetData>
    <row r="1" customFormat="false" ht="19.7" hidden="false" customHeight="false" outlineLevel="0" collapsed="false">
      <c r="C1" s="1" t="s">
        <v>0</v>
      </c>
      <c r="D1" s="1"/>
      <c r="E1" s="1"/>
      <c r="F1" s="1"/>
      <c r="G1" s="1"/>
      <c r="H1" s="1"/>
      <c r="I1" s="1"/>
      <c r="J1" s="1"/>
      <c r="K1" s="1"/>
      <c r="L1" s="1"/>
      <c r="M1" s="2" t="n">
        <f aca="false">set!B1</f>
        <v>2</v>
      </c>
      <c r="N1" s="3"/>
    </row>
    <row r="2" customFormat="false" ht="15" hidden="false" customHeight="false" outlineLevel="0" collapsed="false">
      <c r="L2" s="4"/>
      <c r="P2" s="5" t="s">
        <v>1</v>
      </c>
      <c r="Q2" s="5"/>
      <c r="R2" s="5"/>
      <c r="S2" s="5"/>
      <c r="T2" s="6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ИУК1-71Б факультета ИУК МГТУ им. Н.Э. Баумана"</f>
        <v>Успеваемость студентов за 1 семестр 24/25 учебного года по группе ИУК1-71Б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188" t="s">
        <v>2</v>
      </c>
      <c r="B5" s="188" t="s">
        <v>3</v>
      </c>
      <c r="C5" s="188" t="s">
        <v>4</v>
      </c>
      <c r="D5" s="189" t="s">
        <v>5</v>
      </c>
      <c r="E5" s="190" t="s">
        <v>370</v>
      </c>
      <c r="F5" s="190"/>
      <c r="G5" s="190"/>
      <c r="H5" s="190"/>
      <c r="I5" s="191" t="s">
        <v>7</v>
      </c>
      <c r="J5" s="191"/>
      <c r="K5" s="191"/>
      <c r="L5" s="191"/>
      <c r="M5" s="19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34.25" hidden="false" customHeight="true" outlineLevel="0" collapsed="false">
      <c r="A6" s="188"/>
      <c r="B6" s="188"/>
      <c r="C6" s="188"/>
      <c r="D6" s="189"/>
      <c r="E6" s="15" t="s">
        <v>371</v>
      </c>
      <c r="F6" s="16" t="s">
        <v>372</v>
      </c>
      <c r="G6" s="16" t="s">
        <v>373</v>
      </c>
      <c r="H6" s="18" t="s">
        <v>374</v>
      </c>
      <c r="I6" s="15" t="s">
        <v>375</v>
      </c>
      <c r="J6" s="16" t="s">
        <v>376</v>
      </c>
      <c r="K6" s="16" t="s">
        <v>377</v>
      </c>
      <c r="L6" s="16" t="s">
        <v>378</v>
      </c>
      <c r="M6" s="18" t="s">
        <v>379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188"/>
      <c r="B7" s="188"/>
      <c r="C7" s="188"/>
      <c r="D7" s="189"/>
      <c r="E7" s="19" t="s">
        <v>171</v>
      </c>
      <c r="F7" s="20" t="s">
        <v>171</v>
      </c>
      <c r="G7" s="20" t="s">
        <v>171</v>
      </c>
      <c r="H7" s="192" t="s">
        <v>171</v>
      </c>
      <c r="I7" s="19" t="s">
        <v>171</v>
      </c>
      <c r="J7" s="20" t="s">
        <v>174</v>
      </c>
      <c r="K7" s="20" t="s">
        <v>29</v>
      </c>
      <c r="L7" s="20" t="s">
        <v>174</v>
      </c>
      <c r="M7" s="192" t="s">
        <v>380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77" t="n">
        <v>1</v>
      </c>
      <c r="B8" s="77" t="s">
        <v>381</v>
      </c>
      <c r="C8" s="77" t="s">
        <v>382</v>
      </c>
      <c r="D8" s="160"/>
      <c r="E8" s="78"/>
      <c r="F8" s="79"/>
      <c r="G8" s="79"/>
      <c r="H8" s="80"/>
      <c r="I8" s="78"/>
      <c r="J8" s="79"/>
      <c r="K8" s="79"/>
      <c r="L8" s="79"/>
      <c r="M8" s="80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35" t="str">
        <f aca="false">IF(D8&lt;&gt;"",(30*(set!B$5)-D8)/(30*(set!B$5))*100,"")</f>
        <v/>
      </c>
      <c r="Q8" s="84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77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383</v>
      </c>
      <c r="C9" s="37" t="s">
        <v>384</v>
      </c>
      <c r="D9" s="160"/>
      <c r="E9" s="86"/>
      <c r="F9" s="87"/>
      <c r="G9" s="87"/>
      <c r="H9" s="89"/>
      <c r="I9" s="86"/>
      <c r="J9" s="87"/>
      <c r="K9" s="87"/>
      <c r="L9" s="87"/>
      <c r="M9" s="89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35" t="str">
        <f aca="false">IF(D9&lt;&gt;"",(30*(set!B$5)-D9)/(30*(set!B$5))*100,"")</f>
        <v/>
      </c>
      <c r="Q9" s="84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77" t="n">
        <f aca="false">COUNTIF(E9:M9,2)+COUNTIF(E9:M9,1)+COUNTIF(E9:M9,0)</f>
        <v>0</v>
      </c>
    </row>
    <row r="10" customFormat="false" ht="15" hidden="false" customHeight="true" outlineLevel="0" collapsed="false">
      <c r="A10" s="77" t="n">
        <v>3</v>
      </c>
      <c r="B10" s="37" t="s">
        <v>385</v>
      </c>
      <c r="C10" s="37" t="s">
        <v>386</v>
      </c>
      <c r="D10" s="160"/>
      <c r="E10" s="86"/>
      <c r="F10" s="87"/>
      <c r="G10" s="87"/>
      <c r="H10" s="89"/>
      <c r="I10" s="86"/>
      <c r="J10" s="87"/>
      <c r="K10" s="87"/>
      <c r="L10" s="87"/>
      <c r="M10" s="89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35" t="str">
        <f aca="false">IF(D10&lt;&gt;"",(30*(set!B$5)-D10)/(30*(set!B$5))*100,"")</f>
        <v/>
      </c>
      <c r="Q10" s="84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77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387</v>
      </c>
      <c r="C11" s="37" t="s">
        <v>388</v>
      </c>
      <c r="D11" s="160"/>
      <c r="E11" s="86"/>
      <c r="F11" s="87"/>
      <c r="G11" s="87"/>
      <c r="H11" s="89"/>
      <c r="I11" s="86"/>
      <c r="J11" s="87"/>
      <c r="K11" s="87"/>
      <c r="L11" s="87"/>
      <c r="M11" s="89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35" t="str">
        <f aca="false">IF(D11&lt;&gt;"",(30*(set!B$5)-D11)/(30*(set!B$5))*100,"")</f>
        <v/>
      </c>
      <c r="Q11" s="84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77" t="n">
        <f aca="false">COUNTIF(E11:M11,2)+COUNTIF(E11:M11,1)+COUNTIF(E11:M11,0)</f>
        <v>0</v>
      </c>
    </row>
    <row r="12" customFormat="false" ht="15" hidden="false" customHeight="true" outlineLevel="0" collapsed="false">
      <c r="A12" s="77" t="n">
        <v>5</v>
      </c>
      <c r="B12" s="37" t="s">
        <v>389</v>
      </c>
      <c r="C12" s="37" t="s">
        <v>390</v>
      </c>
      <c r="D12" s="160"/>
      <c r="E12" s="86"/>
      <c r="F12" s="87"/>
      <c r="G12" s="87"/>
      <c r="H12" s="89"/>
      <c r="I12" s="86"/>
      <c r="J12" s="87"/>
      <c r="K12" s="87"/>
      <c r="L12" s="87"/>
      <c r="M12" s="89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35" t="str">
        <f aca="false">IF(D12&lt;&gt;"",(30*(set!B$5)-D12)/(30*(set!B$5))*100,"")</f>
        <v/>
      </c>
      <c r="Q12" s="84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77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391</v>
      </c>
      <c r="C13" s="37" t="s">
        <v>392</v>
      </c>
      <c r="D13" s="160"/>
      <c r="E13" s="86"/>
      <c r="F13" s="87"/>
      <c r="G13" s="87"/>
      <c r="H13" s="89"/>
      <c r="I13" s="86"/>
      <c r="J13" s="87"/>
      <c r="K13" s="87"/>
      <c r="L13" s="87"/>
      <c r="M13" s="89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35" t="str">
        <f aca="false">IF(D13&lt;&gt;"",(30*(set!B$5)-D13)/(30*(set!B$5))*100,"")</f>
        <v/>
      </c>
      <c r="Q13" s="84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77" t="n">
        <f aca="false">COUNTIF(E13:M13,2)+COUNTIF(E13:M13,1)+COUNTIF(E13:M13,0)</f>
        <v>0</v>
      </c>
    </row>
    <row r="14" customFormat="false" ht="15" hidden="false" customHeight="true" outlineLevel="0" collapsed="false">
      <c r="A14" s="77" t="n">
        <v>7</v>
      </c>
      <c r="B14" s="37" t="s">
        <v>393</v>
      </c>
      <c r="C14" s="37" t="s">
        <v>394</v>
      </c>
      <c r="D14" s="160"/>
      <c r="E14" s="86"/>
      <c r="F14" s="87"/>
      <c r="G14" s="87"/>
      <c r="H14" s="89"/>
      <c r="I14" s="86"/>
      <c r="J14" s="87"/>
      <c r="K14" s="87"/>
      <c r="L14" s="87"/>
      <c r="M14" s="89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35" t="str">
        <f aca="false">IF(D14&lt;&gt;"",(30*(set!B$5)-D14)/(30*(set!B$5))*100,"")</f>
        <v/>
      </c>
      <c r="Q14" s="84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77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395</v>
      </c>
      <c r="C15" s="37" t="s">
        <v>396</v>
      </c>
      <c r="D15" s="160"/>
      <c r="E15" s="86"/>
      <c r="F15" s="87"/>
      <c r="G15" s="87"/>
      <c r="H15" s="89"/>
      <c r="I15" s="86"/>
      <c r="J15" s="87"/>
      <c r="K15" s="87"/>
      <c r="L15" s="87"/>
      <c r="M15" s="89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35" t="str">
        <f aca="false">IF(D15&lt;&gt;"",(30*(set!B$5)-D15)/(30*(set!B$5))*100,"")</f>
        <v/>
      </c>
      <c r="Q15" s="84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77" t="n">
        <f aca="false">COUNTIF(E15:M15,2)+COUNTIF(E15:M15,1)+COUNTIF(E15:M15,0)</f>
        <v>0</v>
      </c>
    </row>
    <row r="16" customFormat="false" ht="15" hidden="false" customHeight="true" outlineLevel="0" collapsed="false">
      <c r="A16" s="77" t="n">
        <v>9</v>
      </c>
      <c r="B16" s="37" t="s">
        <v>397</v>
      </c>
      <c r="C16" s="37" t="s">
        <v>398</v>
      </c>
      <c r="D16" s="160"/>
      <c r="E16" s="86"/>
      <c r="F16" s="87"/>
      <c r="G16" s="87"/>
      <c r="H16" s="89"/>
      <c r="I16" s="86"/>
      <c r="J16" s="87"/>
      <c r="K16" s="87"/>
      <c r="L16" s="87"/>
      <c r="M16" s="89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35" t="str">
        <f aca="false">IF(D16&lt;&gt;"",(30*(set!B$5)-D16)/(30*(set!B$5))*100,"")</f>
        <v/>
      </c>
      <c r="Q16" s="84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77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399</v>
      </c>
      <c r="C17" s="37" t="s">
        <v>400</v>
      </c>
      <c r="D17" s="160"/>
      <c r="E17" s="86"/>
      <c r="F17" s="87"/>
      <c r="G17" s="87"/>
      <c r="H17" s="89"/>
      <c r="I17" s="86"/>
      <c r="J17" s="87"/>
      <c r="K17" s="87"/>
      <c r="L17" s="87"/>
      <c r="M17" s="89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35" t="str">
        <f aca="false">IF(D17&lt;&gt;"",(30*(set!B$5)-D17)/(30*(set!B$5))*100,"")</f>
        <v/>
      </c>
      <c r="Q17" s="84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77" t="n">
        <f aca="false">COUNTIF(E17:M17,2)+COUNTIF(E17:M17,1)+COUNTIF(E17:M17,0)</f>
        <v>0</v>
      </c>
    </row>
    <row r="18" customFormat="false" ht="15" hidden="false" customHeight="true" outlineLevel="0" collapsed="false">
      <c r="A18" s="77" t="n">
        <v>11</v>
      </c>
      <c r="B18" s="37" t="s">
        <v>401</v>
      </c>
      <c r="C18" s="37" t="s">
        <v>402</v>
      </c>
      <c r="D18" s="160"/>
      <c r="E18" s="86"/>
      <c r="F18" s="87"/>
      <c r="G18" s="87"/>
      <c r="H18" s="89"/>
      <c r="I18" s="86"/>
      <c r="J18" s="87"/>
      <c r="K18" s="87"/>
      <c r="L18" s="87"/>
      <c r="M18" s="89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35" t="str">
        <f aca="false">IF(D18&lt;&gt;"",(30*(set!B$5)-D18)/(30*(set!B$5))*100,"")</f>
        <v/>
      </c>
      <c r="Q18" s="84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77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403</v>
      </c>
      <c r="C19" s="37" t="s">
        <v>404</v>
      </c>
      <c r="D19" s="160"/>
      <c r="E19" s="86"/>
      <c r="F19" s="87"/>
      <c r="G19" s="87"/>
      <c r="H19" s="89"/>
      <c r="I19" s="86"/>
      <c r="J19" s="87"/>
      <c r="K19" s="87"/>
      <c r="L19" s="87"/>
      <c r="M19" s="89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35" t="str">
        <f aca="false">IF(D19&lt;&gt;"",(30*(set!B$5)-D19)/(30*(set!B$5))*100,"")</f>
        <v/>
      </c>
      <c r="Q19" s="84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77" t="n">
        <f aca="false">COUNTIF(E19:M19,2)+COUNTIF(E19:M19,1)+COUNTIF(E19:M19,0)</f>
        <v>0</v>
      </c>
    </row>
    <row r="20" customFormat="false" ht="15" hidden="false" customHeight="true" outlineLevel="0" collapsed="false">
      <c r="B20" s="0" t="s">
        <v>77</v>
      </c>
      <c r="D20" s="46"/>
      <c r="E20" s="47" t="e">
        <f aca="false">AVERAGE(E8:E19)</f>
        <v>#DIV/0!</v>
      </c>
      <c r="F20" s="47" t="e">
        <f aca="false">AVERAGE(F8:F19)</f>
        <v>#DIV/0!</v>
      </c>
      <c r="G20" s="47" t="e">
        <f aca="false">AVERAGE(G8:G19)</f>
        <v>#DIV/0!</v>
      </c>
      <c r="H20" s="47" t="e">
        <f aca="false">AVERAGE(H8:H19)</f>
        <v>#DIV/0!</v>
      </c>
      <c r="I20" s="47" t="e">
        <f aca="false">AVERAGE(I8:I19)</f>
        <v>#DIV/0!</v>
      </c>
      <c r="J20" s="47" t="e">
        <f aca="false">AVERAGE(J8:J19)</f>
        <v>#DIV/0!</v>
      </c>
      <c r="K20" s="47" t="e">
        <f aca="false">AVERAGE(K8:K19)</f>
        <v>#DIV/0!</v>
      </c>
      <c r="L20" s="47" t="e">
        <f aca="false">AVERAGE(L8:L19)</f>
        <v>#DIV/0!</v>
      </c>
      <c r="M20" s="47" t="e">
        <f aca="false">AVERAGE(M8:M19)</f>
        <v>#DIV/0!</v>
      </c>
      <c r="N20" s="47"/>
      <c r="O20" s="47"/>
      <c r="P20" s="47"/>
      <c r="Q20" s="47"/>
      <c r="R20" s="47"/>
      <c r="S20" s="48"/>
      <c r="T20" s="48"/>
    </row>
    <row r="21" customFormat="false" ht="15" hidden="false" customHeight="true" outlineLevel="0" collapsed="false">
      <c r="B21" s="0" t="s">
        <v>78</v>
      </c>
      <c r="D21" s="46"/>
      <c r="E21" s="47" t="e">
        <f aca="false">(COUNTIF(E8:E19,5)+COUNTIF(E8:E19,4)+COUNTIF(E8:E19,3))/$V$25*100</f>
        <v>#DIV/0!</v>
      </c>
      <c r="F21" s="47" t="e">
        <f aca="false">(COUNTIF(F8:F19,5)+COUNTIF(F8:F19,4)+COUNTIF(F8:F19,3))/$V$25*100</f>
        <v>#DIV/0!</v>
      </c>
      <c r="G21" s="47" t="e">
        <f aca="false">(COUNTIF(G8:G19,5)+COUNTIF(G8:G19,4)+COUNTIF(G8:G19,3))/$V$25*100</f>
        <v>#DIV/0!</v>
      </c>
      <c r="H21" s="47" t="e">
        <f aca="false">(COUNTIF(H8:H19,5)+COUNTIF(H8:H19,4)+COUNTIF(H8:H19,3))/$V$25*100</f>
        <v>#DIV/0!</v>
      </c>
      <c r="I21" s="47" t="e">
        <f aca="false">(COUNTIF(I8:I19,5)+COUNTIF(I8:I19,4)+COUNTIF(I8:I19,3))/$V$25*100</f>
        <v>#DIV/0!</v>
      </c>
      <c r="J21" s="47" t="e">
        <f aca="false">(COUNTIF(J8:J19,5)+COUNTIF(J8:J19,4)+COUNTIF(J8:J19,3))/$V$25*100</f>
        <v>#DIV/0!</v>
      </c>
      <c r="K21" s="47" t="e">
        <f aca="false">(COUNTIF(K8:K19,5)+COUNTIF(K8:K19,4)+COUNTIF(K8:K19,3))/$V$25*100</f>
        <v>#DIV/0!</v>
      </c>
      <c r="L21" s="47" t="e">
        <f aca="false">(COUNTIF(L8:L19,5)+COUNTIF(L8:L19,4)+COUNTIF(L8:L19,3))/$V$25*100</f>
        <v>#DIV/0!</v>
      </c>
      <c r="M21" s="47" t="e">
        <f aca="false">(COUNTIF(M8:M19,5)+COUNTIF(M8:M19,4)+COUNTIF(M8:M19,3))/$V$25*100</f>
        <v>#DIV/0!</v>
      </c>
      <c r="N21" s="47"/>
      <c r="O21" s="47"/>
      <c r="P21" s="47"/>
      <c r="Q21" s="47"/>
      <c r="R21" s="47"/>
      <c r="S21" s="48"/>
      <c r="T21" s="48"/>
    </row>
    <row r="22" customFormat="false" ht="15" hidden="false" customHeight="true" outlineLevel="0" collapsed="false"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</row>
    <row r="23" customFormat="false" ht="15.75" hidden="false" customHeight="true" outlineLevel="0" collapsed="false">
      <c r="B23" s="50"/>
      <c r="C23" s="50" t="s">
        <v>8</v>
      </c>
      <c r="D23" s="51" t="str">
        <f aca="false">IFERROR(AVERAGE(N8:N19),"")</f>
        <v/>
      </c>
      <c r="E23" s="51"/>
      <c r="F23" s="51"/>
      <c r="G23" s="51"/>
      <c r="H23" s="51"/>
      <c r="I23" s="51"/>
      <c r="J23" s="51"/>
      <c r="K23" s="52" t="s">
        <v>9</v>
      </c>
      <c r="L23" s="52"/>
      <c r="M23" s="53" t="str">
        <f aca="false">IFERROR(COUNTIF(O8:O19,"Успевает")/V25*100,"")</f>
        <v/>
      </c>
      <c r="N23" s="54" t="s">
        <v>79</v>
      </c>
      <c r="O23" s="54"/>
      <c r="P23" s="55" t="str">
        <f aca="false">IFERROR(AVERAGE(P8:P19),"")</f>
        <v/>
      </c>
      <c r="Q23" s="55"/>
      <c r="R23" s="55"/>
      <c r="S23" s="55"/>
      <c r="T23" s="52"/>
      <c r="U23" s="52"/>
      <c r="V23" s="52"/>
      <c r="W23" s="158"/>
    </row>
    <row r="24" customFormat="false" ht="15" hidden="false" customHeight="false" outlineLevel="0" collapsed="false">
      <c r="B24" s="50"/>
      <c r="C24" s="50"/>
      <c r="D24" s="50"/>
      <c r="E24" s="50"/>
      <c r="F24" s="50"/>
      <c r="G24" s="50"/>
      <c r="H24" s="50"/>
      <c r="I24" s="50"/>
      <c r="J24" s="50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193"/>
    </row>
    <row r="25" customFormat="false" ht="15.75" hidden="false" customHeight="true" outlineLevel="0" collapsed="false">
      <c r="A25" s="66" t="s">
        <v>81</v>
      </c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 t="s">
        <v>82</v>
      </c>
      <c r="Q25" s="66"/>
      <c r="R25" s="66"/>
      <c r="S25" s="194"/>
      <c r="T25" s="57" t="s">
        <v>80</v>
      </c>
      <c r="U25" s="57"/>
      <c r="V25" s="58" t="n">
        <f aca="false">SUM(V26:V27)</f>
        <v>0</v>
      </c>
      <c r="W25" s="59"/>
    </row>
    <row r="26" customFormat="false" ht="16.5" hidden="false" customHeight="true" outlineLevel="0" collapsed="false">
      <c r="A26" s="66" t="str">
        <f aca="false">E$6</f>
        <v> Конструкторское проектирование электронных
средств, систем и сетей</v>
      </c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194"/>
      <c r="T26" s="57" t="s">
        <v>83</v>
      </c>
      <c r="U26" s="57"/>
      <c r="V26" s="58" t="n">
        <f aca="false">COUNTIF(O8:O19,"Успевает")</f>
        <v>0</v>
      </c>
      <c r="W26" s="64"/>
    </row>
    <row r="27" customFormat="false" ht="15.75" hidden="false" customHeight="true" outlineLevel="0" collapsed="false">
      <c r="A27" s="140" t="str">
        <f aca="false">F$6</f>
        <v> Основы радиотехники</v>
      </c>
      <c r="B27" s="140"/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66"/>
      <c r="Q27" s="66"/>
      <c r="R27" s="66"/>
      <c r="S27" s="194"/>
      <c r="T27" s="98" t="s">
        <v>84</v>
      </c>
      <c r="U27" s="98"/>
      <c r="V27" s="58" t="n">
        <f aca="false">COUNTIF(O8:O19,"Не успевает")</f>
        <v>0</v>
      </c>
      <c r="W27" s="99"/>
    </row>
    <row r="28" customFormat="false" ht="15.75" hidden="false" customHeight="true" outlineLevel="0" collapsed="false">
      <c r="A28" s="140" t="str">
        <f aca="false">G$6</f>
        <v>Системы автоматизированного проектирования
электронных средств</v>
      </c>
      <c r="B28" s="140"/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66"/>
      <c r="Q28" s="66"/>
      <c r="R28" s="66"/>
      <c r="S28" s="194"/>
      <c r="T28" s="98" t="s">
        <v>85</v>
      </c>
      <c r="U28" s="98"/>
      <c r="V28" s="58" t="n">
        <f aca="false">COUNTIF(Q8:Q19,"Благодарность")</f>
        <v>0</v>
      </c>
    </row>
    <row r="29" customFormat="false" ht="15.75" hidden="false" customHeight="true" outlineLevel="0" collapsed="false">
      <c r="A29" s="65" t="str">
        <f aca="false">$H$6</f>
        <v> Технологические процессы микроэлектроники </v>
      </c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195"/>
      <c r="Q29" s="195"/>
      <c r="R29" s="195"/>
      <c r="S29" s="194"/>
      <c r="T29" s="98" t="s">
        <v>86</v>
      </c>
      <c r="U29" s="98"/>
      <c r="V29" s="58" t="n">
        <f aca="false">COUNTIF(Q8:Q19,"Нормально")</f>
        <v>0</v>
      </c>
    </row>
    <row r="30" customFormat="false" ht="15.75" hidden="false" customHeight="true" outlineLevel="0" collapsed="false">
      <c r="A30" s="65" t="str">
        <f aca="false">I$6</f>
        <v> Автоматизация и системы автоматизированного
проектирования электронных средств</v>
      </c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6"/>
      <c r="Q30" s="66"/>
      <c r="R30" s="66"/>
      <c r="S30" s="194"/>
      <c r="T30" s="98" t="s">
        <v>87</v>
      </c>
      <c r="U30" s="98"/>
      <c r="V30" s="58" t="n">
        <f aca="false">COUNTIF(Q8:Q19,"Предупреждение")</f>
        <v>0</v>
      </c>
    </row>
    <row r="31" customFormat="false" ht="15.75" hidden="false" customHeight="true" outlineLevel="0" collapsed="false">
      <c r="A31" s="65" t="str">
        <f aca="false">$J$6</f>
        <v> Автоматизация производства электронных средств (к.п.)</v>
      </c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  <c r="N31" s="65"/>
      <c r="O31" s="65"/>
      <c r="P31" s="66"/>
      <c r="Q31" s="66"/>
      <c r="R31" s="66"/>
      <c r="S31" s="194"/>
      <c r="T31" s="98" t="s">
        <v>88</v>
      </c>
      <c r="U31" s="98"/>
      <c r="V31" s="58" t="n">
        <f aca="false">COUNTIF(Q8:Q19,"Выговор")</f>
        <v>0</v>
      </c>
    </row>
    <row r="32" customFormat="false" ht="15.75" hidden="false" customHeight="true" outlineLevel="0" collapsed="false">
      <c r="A32" s="65" t="str">
        <f aca="false">$K$6</f>
        <v> Научно-исследовательская работа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6"/>
      <c r="Q32" s="66"/>
      <c r="R32" s="66"/>
      <c r="S32" s="194"/>
      <c r="T32" s="196" t="s">
        <v>12</v>
      </c>
      <c r="U32" s="196"/>
      <c r="V32" s="196" t="n">
        <f aca="false">SUM(R8:R19)</f>
        <v>0</v>
      </c>
      <c r="W32" s="50"/>
    </row>
    <row r="33" customFormat="false" ht="15.75" hidden="false" customHeight="true" outlineLevel="0" collapsed="false">
      <c r="A33" s="65" t="str">
        <f aca="false">$L$6</f>
        <v> Основы аналого-цифровой схемотехники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6"/>
      <c r="Q33" s="66"/>
      <c r="R33" s="66"/>
      <c r="S33" s="194"/>
      <c r="T33" s="50"/>
      <c r="U33" s="50"/>
      <c r="V33" s="50"/>
      <c r="W33" s="50"/>
    </row>
    <row r="34" customFormat="false" ht="15.75" hidden="false" customHeight="true" outlineLevel="0" collapsed="false">
      <c r="A34" s="65" t="str">
        <f aca="false">$M$6</f>
        <v>Экономика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6"/>
      <c r="Q34" s="66"/>
      <c r="R34" s="66"/>
      <c r="S34" s="194"/>
      <c r="T34" s="52"/>
      <c r="U34" s="52"/>
      <c r="V34" s="50"/>
      <c r="W34" s="50"/>
    </row>
    <row r="35" customFormat="false" ht="15" hidden="false" customHeight="false" outlineLevel="0" collapsed="false">
      <c r="A35" s="197"/>
      <c r="B35" s="197"/>
      <c r="C35" s="197"/>
      <c r="D35" s="197"/>
      <c r="E35" s="197"/>
      <c r="F35" s="197"/>
      <c r="G35" s="197"/>
      <c r="H35" s="197"/>
      <c r="I35" s="197"/>
      <c r="J35" s="197"/>
      <c r="K35" s="197"/>
      <c r="L35" s="197"/>
      <c r="M35" s="197"/>
      <c r="N35" s="197"/>
      <c r="O35" s="197"/>
      <c r="P35" s="197"/>
      <c r="Q35" s="197"/>
      <c r="R35" s="197"/>
      <c r="S35" s="197"/>
      <c r="T35" s="50"/>
      <c r="U35" s="50"/>
      <c r="V35" s="50"/>
      <c r="W35" s="50"/>
    </row>
    <row r="36" customFormat="false" ht="15" hidden="false" customHeight="false" outlineLevel="0" collapsed="false">
      <c r="A36" s="139"/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139"/>
      <c r="N36" s="139"/>
      <c r="O36" s="139"/>
      <c r="P36" s="139"/>
      <c r="Q36" s="139"/>
      <c r="R36" s="139"/>
      <c r="S36" s="139"/>
    </row>
    <row r="37" customFormat="false" ht="15" hidden="false" customHeight="false" outlineLevel="0" collapsed="false">
      <c r="A37" s="50"/>
      <c r="B37" s="73" t="s">
        <v>405</v>
      </c>
      <c r="C37" s="198" t="s">
        <v>406</v>
      </c>
      <c r="D37" s="198"/>
      <c r="E37" s="67"/>
      <c r="F37" s="67"/>
      <c r="G37" s="67"/>
      <c r="H37" s="67"/>
      <c r="I37" s="67"/>
      <c r="J37" s="67"/>
      <c r="K37" s="67"/>
      <c r="L37" s="52" t="s">
        <v>407</v>
      </c>
      <c r="M37" s="52" t="s">
        <v>408</v>
      </c>
      <c r="N37" s="52"/>
      <c r="O37" s="52"/>
      <c r="P37" s="52"/>
      <c r="Q37" s="52"/>
      <c r="R37" s="52"/>
      <c r="S37" s="52"/>
    </row>
    <row r="38" customFormat="false" ht="15" hidden="false" customHeight="false" outlineLevel="0" collapsed="false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</row>
    <row r="39" customFormat="false" ht="15" hidden="false" customHeight="false" outlineLevel="0" collapsed="false">
      <c r="B39" s="50" t="s">
        <v>93</v>
      </c>
      <c r="C39" s="50"/>
      <c r="D39" s="50"/>
      <c r="E39" s="50"/>
      <c r="F39" s="50"/>
      <c r="G39" s="50"/>
    </row>
    <row r="40" customFormat="false" ht="15" hidden="false" customHeight="false" outlineLevel="0" collapsed="false">
      <c r="B40" s="50" t="s">
        <v>94</v>
      </c>
      <c r="C40" s="50"/>
      <c r="D40" s="50"/>
      <c r="E40" s="50"/>
      <c r="F40" s="50"/>
      <c r="G40" s="50"/>
    </row>
    <row r="41" customFormat="false" ht="15" hidden="false" customHeight="false" outlineLevel="0" collapsed="false">
      <c r="B41" s="50" t="s">
        <v>95</v>
      </c>
      <c r="C41" s="50"/>
      <c r="D41" s="50"/>
      <c r="E41" s="50"/>
      <c r="F41" s="50"/>
      <c r="G41" s="50"/>
    </row>
    <row r="42" customFormat="false" ht="15" hidden="false" customHeight="false" outlineLevel="0" collapsed="false">
      <c r="B42" s="50" t="s">
        <v>96</v>
      </c>
      <c r="C42" s="50"/>
      <c r="D42" s="50"/>
      <c r="E42" s="50"/>
      <c r="F42" s="50"/>
      <c r="G42" s="50"/>
    </row>
    <row r="43" customFormat="false" ht="15" hidden="false" customHeight="false" outlineLevel="0" collapsed="false">
      <c r="B43" s="50" t="s">
        <v>97</v>
      </c>
      <c r="C43" s="50"/>
      <c r="D43" s="50"/>
      <c r="E43" s="50"/>
      <c r="F43" s="50"/>
      <c r="G43" s="50"/>
    </row>
    <row r="44" customFormat="false" ht="15" hidden="false" customHeight="false" outlineLevel="0" collapsed="false">
      <c r="B44" s="50" t="s">
        <v>98</v>
      </c>
      <c r="C44" s="50"/>
      <c r="D44" s="50"/>
      <c r="E44" s="50"/>
      <c r="F44" s="50"/>
      <c r="G44" s="50"/>
    </row>
    <row r="45" customFormat="false" ht="15" hidden="false" customHeight="false" outlineLevel="0" collapsed="false">
      <c r="B45" s="50" t="s">
        <v>99</v>
      </c>
      <c r="C45" s="50"/>
      <c r="D45" s="50"/>
      <c r="E45" s="50"/>
      <c r="F45" s="50"/>
      <c r="G45" s="50"/>
    </row>
  </sheetData>
  <mergeCells count="43">
    <mergeCell ref="C1:L1"/>
    <mergeCell ref="P2:S2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N23:O23"/>
    <mergeCell ref="A25:O25"/>
    <mergeCell ref="P25:R25"/>
    <mergeCell ref="T25:U25"/>
    <mergeCell ref="A26:O26"/>
    <mergeCell ref="P26:R26"/>
    <mergeCell ref="T26:U26"/>
    <mergeCell ref="A27:O27"/>
    <mergeCell ref="P27:R27"/>
    <mergeCell ref="T27:U27"/>
    <mergeCell ref="A28:O28"/>
    <mergeCell ref="P28:R28"/>
    <mergeCell ref="T28:U28"/>
    <mergeCell ref="A29:O29"/>
    <mergeCell ref="P29:R29"/>
    <mergeCell ref="T29:U29"/>
    <mergeCell ref="A30:O30"/>
    <mergeCell ref="P30:R30"/>
    <mergeCell ref="T30:U30"/>
    <mergeCell ref="A31:O31"/>
    <mergeCell ref="P31:R31"/>
    <mergeCell ref="T31:U31"/>
    <mergeCell ref="A32:O32"/>
    <mergeCell ref="P32:R32"/>
    <mergeCell ref="A33:O33"/>
    <mergeCell ref="P33:R33"/>
    <mergeCell ref="A34:O34"/>
    <mergeCell ref="P34:R34"/>
    <mergeCell ref="A35:O35"/>
    <mergeCell ref="P35:S35"/>
  </mergeCells>
  <conditionalFormatting sqref="E21:R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0:R2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8:M12 E8:I1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J1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3:M19 E13:I1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3:J1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19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8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2" activeCellId="0" sqref="C12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85"/>
    <col collapsed="false" customWidth="true" hidden="false" outlineLevel="0" max="2" min="2" style="0" width="10.71"/>
    <col collapsed="false" customWidth="true" hidden="false" outlineLevel="0" max="3" min="3" style="0" width="18.14"/>
    <col collapsed="false" customWidth="false" hidden="false" outlineLevel="0" max="7" min="6" style="45" width="9.14"/>
    <col collapsed="false" customWidth="false" hidden="false" outlineLevel="0" max="9" min="9" style="45" width="9.14"/>
    <col collapsed="false" customWidth="true" hidden="false" outlineLevel="0" max="16" min="16" style="0" width="10.57"/>
    <col collapsed="false" customWidth="true" hidden="false" outlineLevel="0" max="17" min="17" style="0" width="11.14"/>
    <col collapsed="false" customWidth="true" hidden="false" outlineLevel="0" max="18" min="18" style="0" width="9.29"/>
    <col collapsed="false" customWidth="true" hidden="false" outlineLevel="0" max="19" min="19" style="0" width="11"/>
    <col collapsed="false" customWidth="true" hidden="false" outlineLevel="0" max="20" min="20" style="0" width="12.86"/>
    <col collapsed="false" customWidth="true" hidden="false" outlineLevel="0" max="21" min="21" style="0" width="6.14"/>
    <col collapsed="false" customWidth="true" hidden="false" outlineLevel="0" max="22" min="22" style="0" width="3.71"/>
    <col collapsed="false" customWidth="true" hidden="false" outlineLevel="0" max="24" min="23" style="0" width="4.29"/>
  </cols>
  <sheetData>
    <row r="1" customFormat="false" ht="19.7" hidden="false" customHeight="false" outlineLevel="0" collapsed="false">
      <c r="C1" s="1" t="s">
        <v>0</v>
      </c>
      <c r="D1" s="1"/>
      <c r="E1" s="1"/>
      <c r="F1" s="1"/>
      <c r="G1" s="1"/>
      <c r="H1" s="1"/>
      <c r="I1" s="1"/>
      <c r="J1" s="1"/>
      <c r="K1" s="1"/>
      <c r="L1" s="1"/>
      <c r="M1" s="1"/>
      <c r="N1" s="2" t="n">
        <f aca="false">set!B1</f>
        <v>2</v>
      </c>
    </row>
    <row r="2" customFormat="false" ht="15" hidden="false" customHeight="false" outlineLevel="0" collapsed="false">
      <c r="M2" s="4"/>
      <c r="P2" s="0" t="s">
        <v>1</v>
      </c>
      <c r="S2" s="6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ИУК1-72Б факультета ИУК МГТУ им. Н.Э. Баумана"</f>
        <v>Успеваемость студентов за 1 семестр 24/25 учебного года по группе ИУК1-72Б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188" t="s">
        <v>2</v>
      </c>
      <c r="B5" s="188" t="s">
        <v>3</v>
      </c>
      <c r="C5" s="188" t="s">
        <v>4</v>
      </c>
      <c r="D5" s="189" t="s">
        <v>5</v>
      </c>
      <c r="E5" s="190" t="s">
        <v>370</v>
      </c>
      <c r="F5" s="190"/>
      <c r="G5" s="190"/>
      <c r="H5" s="190"/>
      <c r="I5" s="191" t="s">
        <v>7</v>
      </c>
      <c r="J5" s="191"/>
      <c r="K5" s="191"/>
      <c r="L5" s="191"/>
      <c r="M5" s="191"/>
      <c r="N5" s="199" t="s">
        <v>8</v>
      </c>
      <c r="O5" s="200" t="s">
        <v>9</v>
      </c>
      <c r="P5" s="200" t="s">
        <v>10</v>
      </c>
      <c r="Q5" s="201" t="s">
        <v>11</v>
      </c>
      <c r="R5" s="14" t="s">
        <v>12</v>
      </c>
    </row>
    <row r="6" customFormat="false" ht="134.25" hidden="false" customHeight="true" outlineLevel="0" collapsed="false">
      <c r="A6" s="188"/>
      <c r="B6" s="188"/>
      <c r="C6" s="188"/>
      <c r="D6" s="189"/>
      <c r="E6" s="15" t="s">
        <v>371</v>
      </c>
      <c r="F6" s="16" t="s">
        <v>372</v>
      </c>
      <c r="G6" s="16" t="s">
        <v>373</v>
      </c>
      <c r="H6" s="18" t="s">
        <v>374</v>
      </c>
      <c r="I6" s="15" t="s">
        <v>375</v>
      </c>
      <c r="J6" s="16" t="s">
        <v>376</v>
      </c>
      <c r="K6" s="16" t="s">
        <v>377</v>
      </c>
      <c r="L6" s="16" t="s">
        <v>378</v>
      </c>
      <c r="M6" s="18" t="s">
        <v>379</v>
      </c>
      <c r="N6" s="199"/>
      <c r="O6" s="200"/>
      <c r="P6" s="200"/>
      <c r="Q6" s="201"/>
      <c r="R6" s="14"/>
    </row>
    <row r="7" customFormat="false" ht="17.9" hidden="false" customHeight="false" outlineLevel="0" collapsed="false">
      <c r="A7" s="188"/>
      <c r="B7" s="188"/>
      <c r="C7" s="188"/>
      <c r="D7" s="189"/>
      <c r="E7" s="22" t="s">
        <v>171</v>
      </c>
      <c r="F7" s="23" t="s">
        <v>171</v>
      </c>
      <c r="G7" s="23" t="s">
        <v>171</v>
      </c>
      <c r="H7" s="24" t="s">
        <v>171</v>
      </c>
      <c r="I7" s="22" t="s">
        <v>171</v>
      </c>
      <c r="J7" s="23" t="s">
        <v>174</v>
      </c>
      <c r="K7" s="23" t="s">
        <v>29</v>
      </c>
      <c r="L7" s="23" t="s">
        <v>174</v>
      </c>
      <c r="M7" s="24" t="s">
        <v>380</v>
      </c>
      <c r="N7" s="199"/>
      <c r="O7" s="200"/>
      <c r="P7" s="200"/>
      <c r="Q7" s="201"/>
      <c r="R7" s="14"/>
    </row>
    <row r="8" customFormat="false" ht="15" hidden="false" customHeight="true" outlineLevel="0" collapsed="false">
      <c r="A8" s="77" t="n">
        <v>1</v>
      </c>
      <c r="B8" s="77" t="s">
        <v>409</v>
      </c>
      <c r="C8" s="77" t="s">
        <v>410</v>
      </c>
      <c r="D8" s="202"/>
      <c r="E8" s="203"/>
      <c r="F8" s="204"/>
      <c r="G8" s="204"/>
      <c r="H8" s="205"/>
      <c r="I8" s="203"/>
      <c r="J8" s="204"/>
      <c r="K8" s="204"/>
      <c r="L8" s="204"/>
      <c r="M8" s="205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35" t="str">
        <f aca="false">IF(D8&lt;&gt;"",(30*(set!B$5)-D8)/(30*(set!B$5))*100,"")</f>
        <v/>
      </c>
      <c r="Q8" s="77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77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411</v>
      </c>
      <c r="C9" s="37" t="s">
        <v>412</v>
      </c>
      <c r="D9" s="160"/>
      <c r="E9" s="206"/>
      <c r="F9" s="207"/>
      <c r="G9" s="207"/>
      <c r="H9" s="208"/>
      <c r="I9" s="203"/>
      <c r="J9" s="204"/>
      <c r="K9" s="204"/>
      <c r="L9" s="204"/>
      <c r="M9" s="152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35" t="str">
        <f aca="false">IF(D9&lt;&gt;"",(30*(set!B$5)-D9)/(30*(set!B$5))*100,"")</f>
        <v/>
      </c>
      <c r="Q9" s="77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77" t="n">
        <f aca="false">COUNTIF(E9:M9,2)+COUNTIF(E9:M9,1)+COUNTIF(E9:M9,0)</f>
        <v>0</v>
      </c>
    </row>
    <row r="10" customFormat="false" ht="15" hidden="false" customHeight="true" outlineLevel="0" collapsed="false">
      <c r="A10" s="77" t="n">
        <v>3</v>
      </c>
      <c r="B10" s="37" t="s">
        <v>413</v>
      </c>
      <c r="C10" s="37" t="s">
        <v>414</v>
      </c>
      <c r="D10" s="160"/>
      <c r="E10" s="206"/>
      <c r="F10" s="207"/>
      <c r="G10" s="207"/>
      <c r="H10" s="208"/>
      <c r="I10" s="203"/>
      <c r="J10" s="204"/>
      <c r="K10" s="204"/>
      <c r="L10" s="204"/>
      <c r="M10" s="208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35" t="str">
        <f aca="false">IF(D10&lt;&gt;"",(30*(set!B$5)-D10)/(30*(set!B$5))*100,"")</f>
        <v/>
      </c>
      <c r="Q10" s="77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77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415</v>
      </c>
      <c r="C11" s="37" t="s">
        <v>416</v>
      </c>
      <c r="D11" s="160"/>
      <c r="E11" s="206"/>
      <c r="F11" s="207"/>
      <c r="G11" s="207"/>
      <c r="H11" s="208"/>
      <c r="I11" s="203"/>
      <c r="J11" s="204"/>
      <c r="K11" s="204"/>
      <c r="L11" s="204"/>
      <c r="M11" s="208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35" t="str">
        <f aca="false">IF(D11&lt;&gt;"",(30*(set!B$5)-D11)/(30*(set!B$5))*100,"")</f>
        <v/>
      </c>
      <c r="Q11" s="77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77" t="n">
        <f aca="false">COUNTIF(E11:M11,2)+COUNTIF(E11:M11,1)+COUNTIF(E11:M11,0)</f>
        <v>0</v>
      </c>
    </row>
    <row r="12" customFormat="false" ht="15" hidden="false" customHeight="true" outlineLevel="0" collapsed="false">
      <c r="A12" s="77" t="n">
        <v>5</v>
      </c>
      <c r="B12" s="37" t="s">
        <v>417</v>
      </c>
      <c r="C12" s="37" t="s">
        <v>418</v>
      </c>
      <c r="D12" s="160"/>
      <c r="E12" s="206"/>
      <c r="F12" s="207"/>
      <c r="G12" s="207"/>
      <c r="H12" s="208"/>
      <c r="I12" s="203"/>
      <c r="J12" s="204"/>
      <c r="K12" s="204"/>
      <c r="L12" s="204"/>
      <c r="M12" s="208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35" t="str">
        <f aca="false">IF(D12&lt;&gt;"",(30*(set!B$5)-D12)/(30*(set!B$5))*100,"")</f>
        <v/>
      </c>
      <c r="Q12" s="77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77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419</v>
      </c>
      <c r="C13" s="37" t="s">
        <v>420</v>
      </c>
      <c r="D13" s="160"/>
      <c r="E13" s="206"/>
      <c r="F13" s="207"/>
      <c r="G13" s="207"/>
      <c r="H13" s="208"/>
      <c r="I13" s="203"/>
      <c r="J13" s="204"/>
      <c r="K13" s="204"/>
      <c r="L13" s="204"/>
      <c r="M13" s="208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35" t="str">
        <f aca="false">IF(D13&lt;&gt;"",(30*(set!B$5)-D13)/(30*(set!B$5))*100,"")</f>
        <v/>
      </c>
      <c r="Q13" s="77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77" t="n">
        <f aca="false">COUNTIF(E13:M13,2)+COUNTIF(E13:M13,1)+COUNTIF(E13:M13,0)</f>
        <v>0</v>
      </c>
    </row>
    <row r="14" customFormat="false" ht="15" hidden="false" customHeight="true" outlineLevel="0" collapsed="false">
      <c r="A14" s="77" t="n">
        <v>7</v>
      </c>
      <c r="B14" s="37" t="s">
        <v>421</v>
      </c>
      <c r="C14" s="37" t="s">
        <v>422</v>
      </c>
      <c r="D14" s="160"/>
      <c r="E14" s="206"/>
      <c r="F14" s="207"/>
      <c r="G14" s="207"/>
      <c r="H14" s="208"/>
      <c r="I14" s="203"/>
      <c r="J14" s="204"/>
      <c r="K14" s="204"/>
      <c r="L14" s="204"/>
      <c r="M14" s="208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35" t="str">
        <f aca="false">IF(D14&lt;&gt;"",(30*(set!B$5)-D14)/(30*(set!B$5))*100,"")</f>
        <v/>
      </c>
      <c r="Q14" s="77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77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423</v>
      </c>
      <c r="C15" s="37" t="s">
        <v>424</v>
      </c>
      <c r="D15" s="160"/>
      <c r="E15" s="206"/>
      <c r="F15" s="207"/>
      <c r="G15" s="207"/>
      <c r="H15" s="208"/>
      <c r="I15" s="203"/>
      <c r="J15" s="204"/>
      <c r="K15" s="204"/>
      <c r="L15" s="204"/>
      <c r="M15" s="208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35" t="str">
        <f aca="false">IF(D15&lt;&gt;"",(30*(set!B$5)-D15)/(30*(set!B$5))*100,"")</f>
        <v/>
      </c>
      <c r="Q15" s="77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77" t="n">
        <f aca="false">COUNTIF(E15:M15,2)+COUNTIF(E15:M15,1)+COUNTIF(E15:M15,0)</f>
        <v>0</v>
      </c>
    </row>
    <row r="16" customFormat="false" ht="15" hidden="false" customHeight="true" outlineLevel="0" collapsed="false">
      <c r="A16" s="77" t="n">
        <v>9</v>
      </c>
      <c r="B16" s="37" t="s">
        <v>425</v>
      </c>
      <c r="C16" s="37" t="s">
        <v>426</v>
      </c>
      <c r="D16" s="160"/>
      <c r="E16" s="206"/>
      <c r="F16" s="207"/>
      <c r="G16" s="207"/>
      <c r="H16" s="208"/>
      <c r="I16" s="203"/>
      <c r="J16" s="204"/>
      <c r="K16" s="204"/>
      <c r="L16" s="204"/>
      <c r="M16" s="208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35" t="str">
        <f aca="false">IF(D16&lt;&gt;"",(30*(set!B$5)-D16)/(30*(set!B$5))*100,"")</f>
        <v/>
      </c>
      <c r="Q16" s="77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77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427</v>
      </c>
      <c r="C17" s="37" t="s">
        <v>428</v>
      </c>
      <c r="D17" s="160"/>
      <c r="E17" s="206"/>
      <c r="F17" s="207"/>
      <c r="G17" s="207"/>
      <c r="H17" s="208"/>
      <c r="I17" s="203"/>
      <c r="J17" s="204"/>
      <c r="K17" s="204"/>
      <c r="L17" s="204"/>
      <c r="M17" s="208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35" t="str">
        <f aca="false">IF(D17&lt;&gt;"",(30*(set!B$5)-D17)/(30*(set!B$5))*100,"")</f>
        <v/>
      </c>
      <c r="Q17" s="77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77" t="n">
        <f aca="false">COUNTIF(E17:M17,2)+COUNTIF(E17:M17,1)+COUNTIF(E17:M17,0)</f>
        <v>0</v>
      </c>
    </row>
    <row r="18" customFormat="false" ht="15" hidden="false" customHeight="true" outlineLevel="0" collapsed="false">
      <c r="A18" s="77" t="n">
        <v>11</v>
      </c>
      <c r="B18" s="37" t="s">
        <v>429</v>
      </c>
      <c r="C18" s="37" t="s">
        <v>430</v>
      </c>
      <c r="D18" s="45"/>
      <c r="E18" s="206"/>
      <c r="F18" s="207"/>
      <c r="G18" s="207"/>
      <c r="H18" s="208"/>
      <c r="I18" s="203"/>
      <c r="J18" s="204"/>
      <c r="K18" s="204"/>
      <c r="L18" s="204"/>
      <c r="M18" s="208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35" t="str">
        <f aca="false">IF(D18&lt;&gt;"",(30*(set!B$5)-D18)/(30*(set!B$5))*100,"")</f>
        <v/>
      </c>
      <c r="Q18" s="77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77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431</v>
      </c>
      <c r="C19" s="37" t="s">
        <v>432</v>
      </c>
      <c r="D19" s="160"/>
      <c r="E19" s="206"/>
      <c r="F19" s="207"/>
      <c r="G19" s="207"/>
      <c r="H19" s="208"/>
      <c r="I19" s="203"/>
      <c r="J19" s="204"/>
      <c r="K19" s="204"/>
      <c r="L19" s="204"/>
      <c r="M19" s="208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35" t="str">
        <f aca="false">IF(D19&lt;&gt;"",(30*(set!B$5)-D19)/(30*(set!B$5))*100,"")</f>
        <v/>
      </c>
      <c r="Q19" s="77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77" t="n">
        <f aca="false">COUNTIF(E19:M19,2)+COUNTIF(E19:M19,1)+COUNTIF(E19:M19,0)</f>
        <v>0</v>
      </c>
    </row>
    <row r="20" customFormat="false" ht="15" hidden="false" customHeight="true" outlineLevel="0" collapsed="false">
      <c r="B20" s="0" t="s">
        <v>77</v>
      </c>
      <c r="D20" s="209"/>
      <c r="E20" s="210" t="e">
        <f aca="false">AVERAGE(E8:E19)</f>
        <v>#DIV/0!</v>
      </c>
      <c r="F20" s="210" t="e">
        <f aca="false">AVERAGE(F8:F19)</f>
        <v>#DIV/0!</v>
      </c>
      <c r="G20" s="210" t="e">
        <f aca="false">AVERAGE(G8:G19)</f>
        <v>#DIV/0!</v>
      </c>
      <c r="H20" s="210" t="e">
        <f aca="false">AVERAGE(H8:H19)</f>
        <v>#DIV/0!</v>
      </c>
      <c r="I20" s="210" t="e">
        <f aca="false">AVERAGE(I8:I19)</f>
        <v>#DIV/0!</v>
      </c>
      <c r="J20" s="210" t="e">
        <f aca="false">AVERAGE(J8:J19)</f>
        <v>#DIV/0!</v>
      </c>
      <c r="K20" s="210" t="e">
        <f aca="false">AVERAGE(K8:K19)</f>
        <v>#DIV/0!</v>
      </c>
      <c r="L20" s="210" t="e">
        <f aca="false">AVERAGE(L8:L19)</f>
        <v>#DIV/0!</v>
      </c>
      <c r="M20" s="210" t="e">
        <f aca="false">AVERAGE(M8:M19)</f>
        <v>#DIV/0!</v>
      </c>
      <c r="N20" s="47"/>
      <c r="O20" s="47"/>
      <c r="P20" s="47"/>
      <c r="Q20" s="48"/>
      <c r="R20" s="48"/>
    </row>
    <row r="21" customFormat="false" ht="15" hidden="false" customHeight="true" outlineLevel="0" collapsed="false">
      <c r="B21" s="0" t="s">
        <v>78</v>
      </c>
      <c r="D21" s="209"/>
      <c r="E21" s="210" t="e">
        <f aca="false">(COUNTIF(E8:E19,5)+COUNTIF(E8:E19,4)+COUNTIF(E8:E19,3))/$T$25*100</f>
        <v>#DIV/0!</v>
      </c>
      <c r="F21" s="210" t="e">
        <f aca="false">(COUNTIF(F8:F19,5)+COUNTIF(F8:F19,4)+COUNTIF(F8:F19,3))/$T$25*100</f>
        <v>#DIV/0!</v>
      </c>
      <c r="G21" s="210" t="e">
        <f aca="false">(COUNTIF(G8:G19,5)+COUNTIF(G8:G19,4)+COUNTIF(G8:G19,3))/$T$25*100</f>
        <v>#DIV/0!</v>
      </c>
      <c r="H21" s="210" t="e">
        <f aca="false">(COUNTIF(H8:H19,5)+COUNTIF(H8:H19,4)+COUNTIF(H8:H19,3))/$T$25*100</f>
        <v>#DIV/0!</v>
      </c>
      <c r="I21" s="210" t="e">
        <f aca="false">(COUNTIF(I8:I19,5)+COUNTIF(I8:I19,4)+COUNTIF(I8:I19,3))/$T$25*100</f>
        <v>#DIV/0!</v>
      </c>
      <c r="J21" s="210" t="e">
        <f aca="false">(COUNTIF(J8:J19,5)+COUNTIF(J8:J19,4)+COUNTIF(J8:J19,3))/$T$25*100</f>
        <v>#DIV/0!</v>
      </c>
      <c r="K21" s="210" t="e">
        <f aca="false">(COUNTIF(K8:K19,5)+COUNTIF(K8:K19,4)+COUNTIF(K8:K19,3))/$T$25*100</f>
        <v>#DIV/0!</v>
      </c>
      <c r="L21" s="210" t="e">
        <f aca="false">(COUNTIF(L8:L19,5)+COUNTIF(L8:L19,4)+COUNTIF(L8:L19,3))/$T$25*100</f>
        <v>#DIV/0!</v>
      </c>
      <c r="M21" s="210" t="e">
        <f aca="false">(COUNTIF(M8:M19,5)+COUNTIF(M8:M19,4)+COUNTIF(M8:M19,3))/$T$25*100</f>
        <v>#DIV/0!</v>
      </c>
      <c r="N21" s="47"/>
      <c r="O21" s="47"/>
      <c r="P21" s="47"/>
      <c r="Q21" s="48"/>
      <c r="R21" s="48"/>
    </row>
    <row r="22" customFormat="false" ht="15" hidden="false" customHeight="true" outlineLevel="0" collapsed="false">
      <c r="L22" s="48"/>
      <c r="M22" s="48"/>
      <c r="N22" s="48"/>
      <c r="O22" s="48"/>
      <c r="P22" s="48"/>
      <c r="Q22" s="48"/>
      <c r="R22" s="48"/>
      <c r="S22" s="48"/>
      <c r="T22" s="48"/>
    </row>
    <row r="23" customFormat="false" ht="15" hidden="false" customHeight="true" outlineLevel="0" collapsed="false">
      <c r="C23" s="50"/>
      <c r="D23" s="50" t="s">
        <v>8</v>
      </c>
      <c r="E23" s="50"/>
      <c r="F23" s="50"/>
      <c r="G23" s="50"/>
      <c r="H23" s="51" t="str">
        <f aca="false">IFERROR(AVERAGE(N8:N19),"")</f>
        <v/>
      </c>
      <c r="I23" s="51"/>
      <c r="J23" s="52" t="s">
        <v>9</v>
      </c>
      <c r="K23" s="52"/>
      <c r="L23" s="53" t="str">
        <f aca="false">IFERROR(COUNTIF(O8:O19,"Успевает")/T25*100,"")</f>
        <v/>
      </c>
      <c r="M23" s="54" t="s">
        <v>79</v>
      </c>
      <c r="N23" s="54"/>
      <c r="O23" s="52" t="str">
        <f aca="false">IFERROR(AVERAGE(P8:P19),"")</f>
        <v/>
      </c>
      <c r="P23" s="52"/>
      <c r="Q23" s="158"/>
      <c r="R23" s="48"/>
      <c r="S23" s="48"/>
      <c r="T23" s="48"/>
    </row>
    <row r="24" customFormat="false" ht="15" hidden="false" customHeight="true" outlineLevel="0" collapsed="false"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6"/>
      <c r="M24" s="56"/>
      <c r="N24" s="56"/>
      <c r="O24" s="56"/>
      <c r="P24" s="56"/>
      <c r="Q24" s="56"/>
    </row>
    <row r="25" customFormat="false" ht="15" hidden="false" customHeight="true" outlineLevel="0" collapsed="false">
      <c r="A25" s="61" t="s">
        <v>81</v>
      </c>
      <c r="B25" s="61"/>
      <c r="C25" s="61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 t="s">
        <v>82</v>
      </c>
      <c r="O25" s="61"/>
      <c r="P25" s="61"/>
      <c r="Q25" s="56"/>
      <c r="R25" s="57" t="s">
        <v>433</v>
      </c>
      <c r="S25" s="57"/>
      <c r="T25" s="211" t="n">
        <f aca="false">SUM(T26:T27)</f>
        <v>0</v>
      </c>
    </row>
    <row r="26" customFormat="false" ht="15" hidden="false" customHeight="true" outlineLevel="0" collapsed="false">
      <c r="A26" s="141" t="str">
        <f aca="false">E$6</f>
        <v> Конструкторское проектирование электронных
средств, систем и сетей</v>
      </c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212"/>
      <c r="O26" s="212"/>
      <c r="P26" s="212"/>
      <c r="Q26" s="194"/>
      <c r="R26" s="57" t="s">
        <v>83</v>
      </c>
      <c r="S26" s="57"/>
      <c r="T26" s="211" t="n">
        <f aca="false">COUNTIF(O8:O19,"Успевает")</f>
        <v>0</v>
      </c>
    </row>
    <row r="27" customFormat="false" ht="15" hidden="false" customHeight="true" outlineLevel="0" collapsed="false">
      <c r="A27" s="141" t="str">
        <f aca="false">$F$6</f>
        <v> Основы радиотехники</v>
      </c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212"/>
      <c r="O27" s="212"/>
      <c r="P27" s="212"/>
      <c r="Q27" s="194"/>
      <c r="R27" s="98" t="s">
        <v>84</v>
      </c>
      <c r="S27" s="98"/>
      <c r="T27" s="211" t="n">
        <f aca="false">COUNTIF(O8:O19,"Не успевает")</f>
        <v>0</v>
      </c>
    </row>
    <row r="28" customFormat="false" ht="15" hidden="false" customHeight="true" outlineLevel="0" collapsed="false">
      <c r="A28" s="141" t="str">
        <f aca="false">G$6</f>
        <v>Системы автоматизированного проектирования
электронных средств</v>
      </c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212"/>
      <c r="O28" s="212"/>
      <c r="P28" s="212"/>
      <c r="Q28" s="194"/>
      <c r="R28" s="98" t="s">
        <v>85</v>
      </c>
      <c r="S28" s="98"/>
      <c r="T28" s="211" t="n">
        <f aca="false">COUNTIF(Q8:Q19,"Благодарность")</f>
        <v>0</v>
      </c>
    </row>
    <row r="29" customFormat="false" ht="15" hidden="false" customHeight="true" outlineLevel="0" collapsed="false">
      <c r="A29" s="141" t="str">
        <f aca="false">H$6</f>
        <v> Технологические процессы микроэлектроники </v>
      </c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212"/>
      <c r="O29" s="212"/>
      <c r="P29" s="212"/>
      <c r="Q29" s="194"/>
      <c r="R29" s="98" t="s">
        <v>86</v>
      </c>
      <c r="S29" s="98"/>
      <c r="T29" s="211" t="n">
        <f aca="false">COUNTIF(Q8:Q19,"Нормально")</f>
        <v>0</v>
      </c>
    </row>
    <row r="30" customFormat="false" ht="15" hidden="false" customHeight="true" outlineLevel="0" collapsed="false">
      <c r="A30" s="141" t="str">
        <f aca="false">I$6</f>
        <v> Автоматизация и системы автоматизированного
проектирования электронных средств</v>
      </c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212"/>
      <c r="O30" s="212"/>
      <c r="P30" s="212"/>
      <c r="Q30" s="194"/>
      <c r="R30" s="98" t="s">
        <v>87</v>
      </c>
      <c r="S30" s="98"/>
      <c r="T30" s="211" t="n">
        <f aca="false">COUNTIF(Q8:Q19,"Предупреждение")</f>
        <v>0</v>
      </c>
    </row>
    <row r="31" customFormat="false" ht="15" hidden="false" customHeight="true" outlineLevel="0" collapsed="false">
      <c r="A31" s="141" t="str">
        <f aca="false">J$6</f>
        <v> Автоматизация производства электронных средств (к.п.)</v>
      </c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212"/>
      <c r="O31" s="212"/>
      <c r="P31" s="212"/>
      <c r="Q31" s="194"/>
      <c r="R31" s="98" t="s">
        <v>88</v>
      </c>
      <c r="S31" s="98"/>
      <c r="T31" s="211" t="n">
        <f aca="false">COUNTIF(Q8:Q19,"Выговор")</f>
        <v>0</v>
      </c>
    </row>
    <row r="32" customFormat="false" ht="15" hidden="false" customHeight="true" outlineLevel="0" collapsed="false">
      <c r="A32" s="141" t="str">
        <f aca="false">K$6</f>
        <v> Научно-исследовательская работа</v>
      </c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212"/>
      <c r="O32" s="212"/>
      <c r="P32" s="212"/>
      <c r="Q32" s="52"/>
      <c r="R32" s="142" t="s">
        <v>12</v>
      </c>
      <c r="S32" s="142"/>
      <c r="T32" s="213" t="n">
        <f aca="false">SUM(R8:R19)</f>
        <v>0</v>
      </c>
    </row>
    <row r="33" s="67" customFormat="true" ht="15" hidden="false" customHeight="true" outlineLevel="0" collapsed="false">
      <c r="A33" s="141" t="str">
        <f aca="false">$L$6</f>
        <v> Основы аналого-цифровой схемотехники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212"/>
      <c r="O33" s="212"/>
      <c r="P33" s="212"/>
    </row>
    <row r="34" customFormat="false" ht="15" hidden="false" customHeight="true" outlineLevel="0" collapsed="false">
      <c r="A34" s="141" t="str">
        <f aca="false">$M$6</f>
        <v>Экономика</v>
      </c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212"/>
      <c r="O34" s="212"/>
      <c r="P34" s="212"/>
      <c r="Q34" s="50"/>
      <c r="R34" s="50"/>
      <c r="S34" s="50"/>
      <c r="T34" s="50"/>
    </row>
    <row r="35" customFormat="false" ht="15" hidden="false" customHeight="true" outlineLevel="0" collapsed="false">
      <c r="A35" s="67"/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67"/>
      <c r="M35" s="67"/>
      <c r="N35" s="67"/>
      <c r="O35" s="67"/>
      <c r="P35" s="67"/>
      <c r="Q35" s="50"/>
      <c r="R35" s="50"/>
      <c r="S35" s="50"/>
      <c r="T35" s="50"/>
    </row>
    <row r="36" customFormat="false" ht="15" hidden="false" customHeight="true" outlineLevel="0" collapsed="false">
      <c r="A36" s="67"/>
      <c r="B36" s="100" t="s">
        <v>405</v>
      </c>
      <c r="C36" s="214" t="s">
        <v>434</v>
      </c>
      <c r="D36" s="214"/>
      <c r="E36" s="214"/>
      <c r="F36" s="74"/>
      <c r="G36" s="74"/>
      <c r="H36" s="67"/>
      <c r="I36" s="67"/>
      <c r="J36" s="100" t="s">
        <v>369</v>
      </c>
      <c r="K36" s="215" t="s">
        <v>408</v>
      </c>
      <c r="L36" s="215"/>
      <c r="M36" s="215"/>
      <c r="N36" s="215"/>
      <c r="O36" s="67"/>
      <c r="P36" s="67"/>
      <c r="Q36" s="50"/>
      <c r="R36" s="50"/>
      <c r="S36" s="50"/>
      <c r="T36" s="50"/>
    </row>
    <row r="37" customFormat="false" ht="15" hidden="false" customHeight="true" outlineLevel="0" collapsed="false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</row>
    <row r="38" customFormat="false" ht="15" hidden="false" customHeight="true" outlineLevel="0" collapsed="false">
      <c r="A38" s="50"/>
      <c r="B38" s="50" t="s">
        <v>93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</row>
    <row r="39" customFormat="false" ht="15" hidden="false" customHeight="true" outlineLevel="0" collapsed="false">
      <c r="A39" s="50"/>
      <c r="B39" s="50" t="s">
        <v>94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</row>
    <row r="40" customFormat="false" ht="15" hidden="false" customHeight="true" outlineLevel="0" collapsed="false">
      <c r="A40" s="50"/>
      <c r="B40" s="50" t="s">
        <v>95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</row>
    <row r="41" customFormat="false" ht="15" hidden="false" customHeight="true" outlineLevel="0" collapsed="false">
      <c r="A41" s="50"/>
      <c r="B41" s="50" t="s">
        <v>96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</row>
    <row r="42" customFormat="false" ht="15" hidden="false" customHeight="true" outlineLevel="0" collapsed="false">
      <c r="A42" s="50"/>
      <c r="B42" s="50" t="s">
        <v>97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T42" s="50"/>
    </row>
    <row r="43" customFormat="false" ht="15" hidden="false" customHeight="true" outlineLevel="0" collapsed="false">
      <c r="A43" s="50"/>
      <c r="B43" s="50" t="s">
        <v>98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T43" s="48"/>
    </row>
    <row r="44" customFormat="false" ht="15" hidden="false" customHeight="true" outlineLevel="0" collapsed="false">
      <c r="A44" s="50"/>
      <c r="B44" s="50" t="s">
        <v>99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</row>
    <row r="45" customFormat="false" ht="15.75" hidden="false" customHeight="true" outlineLevel="0" collapsed="false">
      <c r="A45" s="50"/>
      <c r="Q45" s="50"/>
      <c r="R45" s="50"/>
      <c r="S45" s="50"/>
      <c r="T45" s="50"/>
    </row>
    <row r="46" customFormat="false" ht="15.75" hidden="false" customHeight="false" outlineLevel="0" collapsed="false">
      <c r="A46" s="50"/>
      <c r="Q46" s="50"/>
      <c r="R46" s="50"/>
      <c r="S46" s="50"/>
      <c r="T46" s="50"/>
    </row>
    <row r="47" customFormat="false" ht="15.75" hidden="false" customHeight="false" outlineLevel="0" collapsed="false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</row>
    <row r="48" customFormat="false" ht="15.75" hidden="false" customHeight="false" outlineLevel="0" collapsed="false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</row>
    <row r="49" customFormat="false" ht="15.75" hidden="false" customHeight="false" outlineLevel="0" collapsed="false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</row>
    <row r="50" customFormat="false" ht="15.75" hidden="false" customHeight="false" outlineLevel="0" collapsed="false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</row>
    <row r="51" customFormat="false" ht="15.75" hidden="false" customHeight="fals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T51" s="50"/>
    </row>
    <row r="52" customFormat="false" ht="15.75" hidden="false" customHeight="fals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T52" s="48"/>
    </row>
    <row r="53" customFormat="false" ht="15.75" hidden="false" customHeight="false" outlineLevel="0" collapsed="false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</row>
    <row r="54" customFormat="false" ht="15.75" hidden="false" customHeight="false" outlineLevel="0" collapsed="false">
      <c r="A54" s="50"/>
      <c r="Q54" s="50"/>
      <c r="R54" s="50"/>
      <c r="S54" s="50"/>
      <c r="T54" s="50"/>
    </row>
    <row r="55" customFormat="false" ht="15.75" hidden="false" customHeight="false" outlineLevel="0" collapsed="false">
      <c r="A55" s="50"/>
      <c r="Q55" s="50"/>
      <c r="R55" s="50"/>
      <c r="S55" s="50"/>
      <c r="T55" s="50"/>
    </row>
    <row r="56" customFormat="false" ht="15.75" hidden="false" customHeight="false" outlineLevel="0" collapsed="false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</row>
    <row r="57" customFormat="false" ht="15.75" hidden="false" customHeight="false" outlineLevel="0" collapsed="false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</row>
    <row r="58" customFormat="false" ht="15.75" hidden="false" customHeight="false" outlineLevel="0" collapsed="false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</row>
  </sheetData>
  <mergeCells count="43">
    <mergeCell ref="C1:M1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M23:N23"/>
    <mergeCell ref="A25:M25"/>
    <mergeCell ref="N25:P25"/>
    <mergeCell ref="R25:S25"/>
    <mergeCell ref="A26:M26"/>
    <mergeCell ref="N26:P26"/>
    <mergeCell ref="R26:S26"/>
    <mergeCell ref="A27:M27"/>
    <mergeCell ref="N27:P27"/>
    <mergeCell ref="R27:S27"/>
    <mergeCell ref="A28:M28"/>
    <mergeCell ref="N28:P28"/>
    <mergeCell ref="R28:S28"/>
    <mergeCell ref="A29:M29"/>
    <mergeCell ref="N29:P29"/>
    <mergeCell ref="R29:S29"/>
    <mergeCell ref="A30:M30"/>
    <mergeCell ref="N30:P30"/>
    <mergeCell ref="R30:S30"/>
    <mergeCell ref="A31:M31"/>
    <mergeCell ref="N31:P31"/>
    <mergeCell ref="R31:S31"/>
    <mergeCell ref="A32:M32"/>
    <mergeCell ref="N32:P32"/>
    <mergeCell ref="R32:S32"/>
    <mergeCell ref="A33:M33"/>
    <mergeCell ref="N33:P33"/>
    <mergeCell ref="A34:M34"/>
    <mergeCell ref="N34:P34"/>
    <mergeCell ref="C36:E36"/>
    <mergeCell ref="K36:N36"/>
  </mergeCells>
  <conditionalFormatting sqref="E20:P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1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23" man="true" max="16383" min="0"/>
  </row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V61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5" activeCellId="0" sqref="C15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4.57"/>
    <col collapsed="false" customWidth="true" hidden="false" outlineLevel="0" max="2" min="2" style="0" width="10.85"/>
    <col collapsed="false" customWidth="true" hidden="false" outlineLevel="0" max="3" min="3" style="0" width="17.57"/>
    <col collapsed="false" customWidth="true" hidden="false" outlineLevel="0" max="4" min="4" style="0" width="8"/>
    <col collapsed="false" customWidth="true" hidden="false" outlineLevel="0" max="5" min="5" style="0" width="9"/>
    <col collapsed="false" customWidth="true" hidden="false" outlineLevel="0" max="8" min="8" style="0" width="10.42"/>
    <col collapsed="false" customWidth="true" hidden="false" outlineLevel="0" max="9" min="9" style="0" width="8.86"/>
    <col collapsed="false" customWidth="true" hidden="false" outlineLevel="0" max="12" min="11" style="0" width="9.14"/>
    <col collapsed="false" customWidth="true" hidden="false" outlineLevel="0" max="15" min="15" style="0" width="11"/>
    <col collapsed="false" customWidth="true" hidden="false" outlineLevel="0" max="17" min="17" style="0" width="11"/>
    <col collapsed="false" customWidth="true" hidden="false" outlineLevel="0" max="18" min="18" style="0" width="13.57"/>
    <col collapsed="false" customWidth="true" hidden="false" outlineLevel="0" max="19" min="19" style="0" width="7.57"/>
    <col collapsed="false" customWidth="true" hidden="false" outlineLevel="0" max="20" min="20" style="0" width="5.14"/>
    <col collapsed="false" customWidth="true" hidden="false" outlineLevel="0" max="21" min="21" style="0" width="3.42"/>
    <col collapsed="false" customWidth="true" hidden="false" outlineLevel="0" max="22" min="22" style="0" width="2.86"/>
    <col collapsed="false" customWidth="true" hidden="false" outlineLevel="0" max="23" min="23" style="0" width="3.29"/>
    <col collapsed="false" customWidth="true" hidden="false" outlineLevel="0" max="24" min="24" style="0" width="3.86"/>
    <col collapsed="false" customWidth="true" hidden="false" outlineLevel="0" max="25" min="25" style="0" width="4"/>
  </cols>
  <sheetData>
    <row r="1" customFormat="false" ht="19.7" hidden="false" customHeight="false" outlineLevel="0" collapsed="false">
      <c r="E1" s="216" t="s">
        <v>0</v>
      </c>
      <c r="F1" s="216"/>
      <c r="G1" s="216"/>
      <c r="H1" s="216"/>
      <c r="I1" s="217" t="n">
        <f aca="false">set!B1</f>
        <v>2</v>
      </c>
      <c r="J1" s="3"/>
      <c r="K1" s="3"/>
      <c r="L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75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ИУК1-73Б факультета ИУК МГТУ им. Н.Э. Баумана"</f>
        <v>Успеваемость студентов за 1 семестр 24/25 учебного года по группе ИУК1-73Б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1"/>
      <c r="O5" s="12" t="s">
        <v>8</v>
      </c>
      <c r="P5" s="13" t="s">
        <v>9</v>
      </c>
      <c r="Q5" s="13" t="s">
        <v>10</v>
      </c>
      <c r="R5" s="14" t="s">
        <v>11</v>
      </c>
      <c r="S5" s="14" t="s">
        <v>12</v>
      </c>
    </row>
    <row r="6" customFormat="false" ht="119.25" hidden="false" customHeight="true" outlineLevel="0" collapsed="false">
      <c r="A6" s="8"/>
      <c r="B6" s="8"/>
      <c r="C6" s="8"/>
      <c r="D6" s="9"/>
      <c r="E6" s="15" t="s">
        <v>435</v>
      </c>
      <c r="F6" s="16" t="s">
        <v>371</v>
      </c>
      <c r="G6" s="18" t="s">
        <v>436</v>
      </c>
      <c r="H6" s="18" t="s">
        <v>374</v>
      </c>
      <c r="I6" s="15" t="s">
        <v>375</v>
      </c>
      <c r="J6" s="16" t="s">
        <v>376</v>
      </c>
      <c r="K6" s="16" t="s">
        <v>377</v>
      </c>
      <c r="L6" s="16" t="s">
        <v>378</v>
      </c>
      <c r="M6" s="16" t="s">
        <v>437</v>
      </c>
      <c r="N6" s="18" t="s">
        <v>379</v>
      </c>
      <c r="O6" s="12"/>
      <c r="P6" s="13"/>
      <c r="Q6" s="13"/>
      <c r="R6" s="14"/>
      <c r="S6" s="14"/>
    </row>
    <row r="7" customFormat="false" ht="21.75" hidden="false" customHeight="true" outlineLevel="0" collapsed="false">
      <c r="A7" s="8"/>
      <c r="B7" s="8"/>
      <c r="C7" s="8"/>
      <c r="D7" s="9"/>
      <c r="E7" s="22" t="s">
        <v>438</v>
      </c>
      <c r="F7" s="23" t="s">
        <v>439</v>
      </c>
      <c r="G7" s="24" t="s">
        <v>278</v>
      </c>
      <c r="H7" s="24" t="s">
        <v>171</v>
      </c>
      <c r="I7" s="22" t="s">
        <v>171</v>
      </c>
      <c r="J7" s="23" t="s">
        <v>174</v>
      </c>
      <c r="K7" s="23" t="s">
        <v>29</v>
      </c>
      <c r="L7" s="23" t="s">
        <v>174</v>
      </c>
      <c r="M7" s="23" t="s">
        <v>151</v>
      </c>
      <c r="N7" s="24" t="s">
        <v>380</v>
      </c>
      <c r="O7" s="12"/>
      <c r="P7" s="13"/>
      <c r="Q7" s="13"/>
      <c r="R7" s="14"/>
      <c r="S7" s="14"/>
    </row>
    <row r="8" customFormat="false" ht="15" hidden="false" customHeight="true" outlineLevel="0" collapsed="false">
      <c r="A8" s="77" t="n">
        <v>1</v>
      </c>
      <c r="B8" s="77" t="s">
        <v>440</v>
      </c>
      <c r="C8" s="77" t="s">
        <v>441</v>
      </c>
      <c r="D8" s="218"/>
      <c r="E8" s="219"/>
      <c r="F8" s="220"/>
      <c r="G8" s="220"/>
      <c r="H8" s="221"/>
      <c r="I8" s="219"/>
      <c r="J8" s="220"/>
      <c r="K8" s="220"/>
      <c r="L8" s="220"/>
      <c r="M8" s="220"/>
      <c r="N8" s="221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35" t="str">
        <f aca="false">IF(D8&lt;&gt;"",(30*(set!B$5)-D8)/(30*(set!B$5))*100,"")</f>
        <v/>
      </c>
      <c r="R8" s="77" t="str">
        <f aca="false">IF(E8&lt;&gt;"",IF(O8&lt;1.85,"Выговор",IF(AND(O8&gt;1.85,O8&lt;3),"Предупреждение",IF(AND(O8&gt;3,O8&lt;=4.65),"Нормально",IF(AND(O8&gt;4.65,O8&lt;5.1,MIN(E8:N8)&gt;=4),"Благодарность","Нормально")))),"")</f>
        <v/>
      </c>
      <c r="S8" s="36" t="n">
        <f aca="false">COUNTIF(E8:N8,2)+COUNTIF(E8:N8,1)+COUNTIF(E8:N8,0)</f>
        <v>0</v>
      </c>
    </row>
    <row r="9" customFormat="false" ht="15" hidden="false" customHeight="true" outlineLevel="0" collapsed="false">
      <c r="A9" s="85" t="n">
        <v>2</v>
      </c>
      <c r="B9" s="85" t="s">
        <v>442</v>
      </c>
      <c r="C9" s="85" t="s">
        <v>443</v>
      </c>
      <c r="D9" s="222"/>
      <c r="E9" s="223"/>
      <c r="F9" s="224"/>
      <c r="G9" s="224"/>
      <c r="H9" s="225"/>
      <c r="I9" s="223"/>
      <c r="J9" s="224"/>
      <c r="K9" s="220"/>
      <c r="L9" s="224"/>
      <c r="M9" s="224"/>
      <c r="N9" s="225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35" t="str">
        <f aca="false">IF(D9&lt;&gt;"",(30*(set!B$5)-D9)/(30*(set!B$5))*100,"")</f>
        <v/>
      </c>
      <c r="R9" s="85" t="str">
        <f aca="false">IF(E9&lt;&gt;"",IF(O9&lt;1.85,"Выговор",IF(AND(O9&gt;1.85,O9&lt;3),"Предупреждение",IF(AND(O9&gt;3,O9&lt;=4.65),"Нормально",IF(AND(O9&gt;4.65,O9&lt;5.1,MIN(E9:N9)&gt;=4),"Благодарность","Нормально")))),"")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77" t="n">
        <v>3</v>
      </c>
      <c r="B10" s="85" t="s">
        <v>444</v>
      </c>
      <c r="C10" s="85" t="s">
        <v>445</v>
      </c>
      <c r="D10" s="226"/>
      <c r="E10" s="223"/>
      <c r="F10" s="224"/>
      <c r="G10" s="224"/>
      <c r="H10" s="225"/>
      <c r="I10" s="227"/>
      <c r="J10" s="228"/>
      <c r="K10" s="220"/>
      <c r="L10" s="224"/>
      <c r="M10" s="224"/>
      <c r="N10" s="225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35" t="str">
        <f aca="false">IF(D10&lt;&gt;"",(30*(set!B$5)-D10)/(30*(set!B$5))*100,"")</f>
        <v/>
      </c>
      <c r="R10" s="85" t="str">
        <f aca="false">IF(E10&lt;&gt;"",IF(O10&lt;1.85,"Выговор",IF(AND(O10&gt;1.85,O10&lt;3),"Предупреждение",IF(AND(O10&gt;3,O10&lt;=4.65),"Нормально",IF(AND(O10&gt;4.65,O10&lt;5.1,MIN(E10:N10)&gt;=4),"Благодарность","Нормально")))),"")</f>
        <v/>
      </c>
      <c r="S10" s="118" t="n">
        <f aca="false">COUNTIF(E10:N10,2)+COUNTIF(E10:N10,1)+COUNTIF(E10:N10,0)</f>
        <v>0</v>
      </c>
    </row>
    <row r="11" customFormat="false" ht="15" hidden="false" customHeight="true" outlineLevel="0" collapsed="false">
      <c r="A11" s="85" t="n">
        <v>4</v>
      </c>
      <c r="B11" s="85" t="s">
        <v>446</v>
      </c>
      <c r="C11" s="85" t="s">
        <v>447</v>
      </c>
      <c r="D11" s="222"/>
      <c r="E11" s="223"/>
      <c r="F11" s="224"/>
      <c r="G11" s="224"/>
      <c r="H11" s="225"/>
      <c r="I11" s="223"/>
      <c r="J11" s="224"/>
      <c r="K11" s="220"/>
      <c r="L11" s="224"/>
      <c r="M11" s="224"/>
      <c r="N11" s="225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35" t="str">
        <f aca="false">IF(D11&lt;&gt;"",(30*(set!B$5)-D11)/(30*(set!B$5))*100,"")</f>
        <v/>
      </c>
      <c r="R11" s="85" t="str">
        <f aca="false">IF(E11&lt;&gt;"",IF(O11&lt;1.85,"Выговор",IF(AND(O11&gt;1.85,O11&lt;3),"Предупреждение",IF(AND(O11&gt;3,O11&lt;=4.65),"Нормально",IF(AND(O11&gt;4.65,O11&lt;5.1,MIN(E11:N11)&gt;=4),"Благодарность","Нормально")))),"")</f>
        <v/>
      </c>
      <c r="S11" s="118" t="n">
        <f aca="false">COUNTIF(E11:N11,2)+COUNTIF(E11:N11,1)+COUNTIF(E11:N11,0)</f>
        <v>0</v>
      </c>
    </row>
    <row r="12" customFormat="false" ht="15" hidden="false" customHeight="true" outlineLevel="0" collapsed="false">
      <c r="A12" s="77" t="n">
        <v>5</v>
      </c>
      <c r="B12" s="85" t="s">
        <v>448</v>
      </c>
      <c r="C12" s="85" t="s">
        <v>449</v>
      </c>
      <c r="D12" s="222"/>
      <c r="E12" s="223"/>
      <c r="F12" s="224"/>
      <c r="G12" s="224"/>
      <c r="H12" s="225"/>
      <c r="I12" s="223"/>
      <c r="J12" s="224"/>
      <c r="K12" s="220"/>
      <c r="L12" s="224"/>
      <c r="M12" s="224"/>
      <c r="N12" s="225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35" t="str">
        <f aca="false">IF(D12&lt;&gt;"",(30*(set!B$5)-D12)/(30*(set!B$5))*100,"")</f>
        <v/>
      </c>
      <c r="R12" s="85" t="str">
        <f aca="false">IF(E12&lt;&gt;"",IF(O12&lt;1.85,"Выговор",IF(AND(O12&gt;1.85,O12&lt;3),"Предупреждение",IF(AND(O12&gt;3,O12&lt;=4.65),"Нормально",IF(AND(O12&gt;4.65,O12&lt;5.1,MIN(E12:N12)&gt;=4),"Благодарность","Нормально")))),"")</f>
        <v/>
      </c>
      <c r="S12" s="118" t="n">
        <f aca="false">COUNTIF(E12:N12,2)+COUNTIF(E12:N12,1)+COUNTIF(E12:N12,0)</f>
        <v>0</v>
      </c>
    </row>
    <row r="13" customFormat="false" ht="15" hidden="false" customHeight="true" outlineLevel="0" collapsed="false">
      <c r="A13" s="85" t="n">
        <v>6</v>
      </c>
      <c r="B13" s="85" t="s">
        <v>450</v>
      </c>
      <c r="C13" s="85" t="s">
        <v>451</v>
      </c>
      <c r="D13" s="222"/>
      <c r="E13" s="223"/>
      <c r="F13" s="224"/>
      <c r="G13" s="224"/>
      <c r="H13" s="225"/>
      <c r="I13" s="223"/>
      <c r="J13" s="224"/>
      <c r="K13" s="220"/>
      <c r="L13" s="224"/>
      <c r="M13" s="224"/>
      <c r="N13" s="225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35" t="str">
        <f aca="false">IF(D13&lt;&gt;"",(30*(set!B$5)-D13)/(30*(set!B$5))*100,"")</f>
        <v/>
      </c>
      <c r="R13" s="85" t="str">
        <f aca="false">IF(E13&lt;&gt;"",IF(O13&lt;1.85,"Выговор",IF(AND(O13&gt;1.85,O13&lt;3),"Предупреждение",IF(AND(O13&gt;3,O13&lt;=4.65),"Нормально",IF(AND(O13&gt;4.65,O13&lt;5.1,MIN(E13:N13)&gt;=4),"Благодарность","Нормально")))),"")</f>
        <v/>
      </c>
      <c r="S13" s="118" t="n">
        <f aca="false">COUNTIF(E13:N13,2)+COUNTIF(E13:N13,1)+COUNTIF(E13:N13,0)</f>
        <v>0</v>
      </c>
    </row>
    <row r="14" customFormat="false" ht="15" hidden="false" customHeight="true" outlineLevel="0" collapsed="false">
      <c r="A14" s="77" t="n">
        <v>7</v>
      </c>
      <c r="B14" s="85" t="s">
        <v>452</v>
      </c>
      <c r="C14" s="85" t="s">
        <v>453</v>
      </c>
      <c r="D14" s="218"/>
      <c r="E14" s="223"/>
      <c r="F14" s="224"/>
      <c r="G14" s="224"/>
      <c r="H14" s="225"/>
      <c r="I14" s="223"/>
      <c r="J14" s="224"/>
      <c r="K14" s="220"/>
      <c r="L14" s="224"/>
      <c r="M14" s="224"/>
      <c r="N14" s="225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35" t="str">
        <f aca="false">IF(D14&lt;&gt;"",(30*(set!B$5)-D14)/(30*(set!B$5))*100,"")</f>
        <v/>
      </c>
      <c r="R14" s="85" t="str">
        <f aca="false">IF(E14&lt;&gt;"",IF(O14&lt;1.85,"Выговор",IF(AND(O14&gt;1.85,O14&lt;3),"Предупреждение",IF(AND(O14&gt;3,O14&lt;=4.65),"Нормально",IF(AND(O14&gt;4.65,O14&lt;5.1,MIN(E14:N14)&gt;=4),"Благодарность","Нормально")))),"")</f>
        <v/>
      </c>
      <c r="S14" s="118" t="n">
        <f aca="false">COUNTIF(E14:N14,2)+COUNTIF(E14:N14,1)+COUNTIF(E14:N14,0)</f>
        <v>0</v>
      </c>
    </row>
    <row r="15" customFormat="false" ht="15" hidden="false" customHeight="true" outlineLevel="0" collapsed="false">
      <c r="A15" s="85" t="n">
        <v>8</v>
      </c>
      <c r="B15" s="85" t="s">
        <v>454</v>
      </c>
      <c r="C15" s="85" t="s">
        <v>455</v>
      </c>
      <c r="D15" s="222"/>
      <c r="E15" s="223"/>
      <c r="F15" s="224"/>
      <c r="G15" s="224"/>
      <c r="H15" s="225"/>
      <c r="I15" s="227"/>
      <c r="J15" s="228"/>
      <c r="K15" s="220"/>
      <c r="L15" s="224"/>
      <c r="M15" s="224"/>
      <c r="N15" s="225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35" t="str">
        <f aca="false">IF(D15&lt;&gt;"",(30*(set!B$5)-D15)/(30*(set!B$5))*100,"")</f>
        <v/>
      </c>
      <c r="R15" s="85" t="str">
        <f aca="false">IF(E15&lt;&gt;"",IF(O15&lt;1.85,"Выговор",IF(AND(O15&gt;1.85,O15&lt;3),"Предупреждение",IF(AND(O15&gt;3,O15&lt;=4.65),"Нормально",IF(AND(O15&gt;4.65,O15&lt;5.1,MIN(E15:N15)&gt;=4),"Благодарность","Нормально")))),"")</f>
        <v/>
      </c>
      <c r="S15" s="118" t="n">
        <f aca="false">COUNTIF(E15:N15,2)+COUNTIF(E15:N15,1)+COUNTIF(E15:N15,0)</f>
        <v>0</v>
      </c>
    </row>
    <row r="16" customFormat="false" ht="15" hidden="false" customHeight="true" outlineLevel="0" collapsed="false">
      <c r="A16" s="77" t="n">
        <v>9</v>
      </c>
      <c r="B16" s="85" t="s">
        <v>456</v>
      </c>
      <c r="C16" s="85" t="s">
        <v>457</v>
      </c>
      <c r="D16" s="226"/>
      <c r="E16" s="223"/>
      <c r="F16" s="224"/>
      <c r="G16" s="224"/>
      <c r="H16" s="225"/>
      <c r="I16" s="223"/>
      <c r="J16" s="224"/>
      <c r="K16" s="220"/>
      <c r="L16" s="224"/>
      <c r="M16" s="224"/>
      <c r="N16" s="225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35" t="str">
        <f aca="false">IF(D16&lt;&gt;"",(30*(set!B$5)-D16)/(30*(set!B$5))*100,"")</f>
        <v/>
      </c>
      <c r="R16" s="85" t="str">
        <f aca="false">IF(E16&lt;&gt;"",IF(O16&lt;1.85,"Выговор",IF(AND(O16&gt;1.85,O16&lt;3),"Предупреждение",IF(AND(O16&gt;3,O16&lt;=4.65),"Нормально",IF(AND(O16&gt;4.65,O16&lt;5.1,MIN(E16:N16)&gt;=4),"Благодарность","Нормально")))),"")</f>
        <v/>
      </c>
      <c r="S16" s="118" t="n">
        <f aca="false">COUNTIF(E16:N16,2)+COUNTIF(E16:N16,1)+COUNTIF(E16:N16,0)</f>
        <v>0</v>
      </c>
    </row>
    <row r="17" customFormat="false" ht="15" hidden="false" customHeight="true" outlineLevel="0" collapsed="false">
      <c r="A17" s="85" t="n">
        <v>10</v>
      </c>
      <c r="B17" s="85" t="s">
        <v>458</v>
      </c>
      <c r="C17" s="85" t="s">
        <v>459</v>
      </c>
      <c r="D17" s="222"/>
      <c r="E17" s="223"/>
      <c r="F17" s="224"/>
      <c r="G17" s="224"/>
      <c r="H17" s="225"/>
      <c r="I17" s="223"/>
      <c r="J17" s="224"/>
      <c r="K17" s="220"/>
      <c r="L17" s="224"/>
      <c r="M17" s="224"/>
      <c r="N17" s="225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35" t="str">
        <f aca="false">IF(D17&lt;&gt;"",(30*(set!B$5)-D17)/(30*(set!B$5))*100,"")</f>
        <v/>
      </c>
      <c r="R17" s="85" t="str">
        <f aca="false">IF(E17&lt;&gt;"",IF(O17&lt;1.85,"Выговор",IF(AND(O17&gt;1.85,O17&lt;3),"Предупреждение",IF(AND(O17&gt;3,O17&lt;=4.65),"Нормально",IF(AND(O17&gt;4.65,O17&lt;5.1,MIN(E17:N17)&gt;=4),"Благодарность","Нормально")))),"")</f>
        <v/>
      </c>
      <c r="S17" s="118" t="n">
        <f aca="false">COUNTIF(E17:N17,2)+COUNTIF(E17:N17,1)+COUNTIF(E17:N17,0)</f>
        <v>0</v>
      </c>
    </row>
    <row r="18" customFormat="false" ht="15" hidden="false" customHeight="true" outlineLevel="0" collapsed="false">
      <c r="A18" s="77" t="n">
        <v>11</v>
      </c>
      <c r="B18" s="85" t="s">
        <v>460</v>
      </c>
      <c r="C18" s="85" t="s">
        <v>461</v>
      </c>
      <c r="D18" s="222"/>
      <c r="E18" s="223"/>
      <c r="F18" s="224"/>
      <c r="G18" s="224"/>
      <c r="H18" s="225"/>
      <c r="I18" s="223"/>
      <c r="J18" s="224"/>
      <c r="K18" s="220"/>
      <c r="L18" s="224"/>
      <c r="M18" s="224"/>
      <c r="N18" s="225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35" t="str">
        <f aca="false">IF(D18&lt;&gt;"",(30*(set!B$5)-D18)/(30*(set!B$5))*100,"")</f>
        <v/>
      </c>
      <c r="R18" s="85" t="str">
        <f aca="false">IF(E18&lt;&gt;"",IF(O18&lt;1.85,"Выговор",IF(AND(O18&gt;1.85,O18&lt;3),"Предупреждение",IF(AND(O18&gt;3,O18&lt;=4.65),"Нормально",IF(AND(O18&gt;4.65,O18&lt;5.1,MIN(E18:N18)&gt;=4),"Благодарность","Нормально")))),"")</f>
        <v/>
      </c>
      <c r="S18" s="118" t="n">
        <f aca="false">COUNTIF(E18:N18,2)+COUNTIF(E18:N18,1)+COUNTIF(E18:N18,0)</f>
        <v>0</v>
      </c>
    </row>
    <row r="19" customFormat="false" ht="15" hidden="false" customHeight="true" outlineLevel="0" collapsed="false">
      <c r="A19" s="0" t="s">
        <v>77</v>
      </c>
      <c r="D19" s="46"/>
      <c r="E19" s="47" t="e">
        <f aca="false">AVERAGE(E8:E18)</f>
        <v>#DIV/0!</v>
      </c>
      <c r="F19" s="47" t="e">
        <f aca="false">AVERAGE(F8:F18)</f>
        <v>#DIV/0!</v>
      </c>
      <c r="G19" s="47" t="e">
        <f aca="false">AVERAGE(G8:G18)</f>
        <v>#DIV/0!</v>
      </c>
      <c r="H19" s="47" t="e">
        <f aca="false">AVERAGE(H8:H18)</f>
        <v>#DIV/0!</v>
      </c>
      <c r="I19" s="47" t="e">
        <f aca="false">AVERAGE(I8:I18)</f>
        <v>#DIV/0!</v>
      </c>
      <c r="J19" s="47" t="e">
        <f aca="false">AVERAGE(J8:J18)</f>
        <v>#DIV/0!</v>
      </c>
      <c r="K19" s="47" t="e">
        <f aca="false">AVERAGE(K8:K18)</f>
        <v>#DIV/0!</v>
      </c>
      <c r="L19" s="47" t="e">
        <f aca="false">AVERAGE(L8:L18)</f>
        <v>#DIV/0!</v>
      </c>
      <c r="M19" s="47" t="e">
        <f aca="false">AVERAGE(M8:M18)</f>
        <v>#DIV/0!</v>
      </c>
      <c r="N19" s="47" t="e">
        <f aca="false">AVERAGE(N8:N18)</f>
        <v>#DIV/0!</v>
      </c>
      <c r="O19" s="48"/>
      <c r="P19" s="48"/>
      <c r="Q19" s="48"/>
      <c r="R19" s="48"/>
    </row>
    <row r="20" customFormat="false" ht="15" hidden="false" customHeight="true" outlineLevel="0" collapsed="false">
      <c r="A20" s="0" t="s">
        <v>78</v>
      </c>
      <c r="D20" s="46"/>
      <c r="E20" s="49" t="e">
        <f aca="false">(COUNTIF(E8:E18,5)+COUNTIF(E8:E18,4)+COUNTIF(E8:E18,3))/$R$25*100</f>
        <v>#DIV/0!</v>
      </c>
      <c r="F20" s="49" t="e">
        <f aca="false">(COUNTIF(F8:F18,5)+COUNTIF(F8:F18,4)+COUNTIF(F8:F18,3))/$R$25*100</f>
        <v>#DIV/0!</v>
      </c>
      <c r="G20" s="49" t="e">
        <f aca="false">(COUNTIF(G8:G18,5)+COUNTIF(G8:G18,4)+COUNTIF(G8:G18,3))/$R$25*100</f>
        <v>#DIV/0!</v>
      </c>
      <c r="H20" s="49" t="e">
        <f aca="false">(COUNTIF(H8:H18,5)+COUNTIF(H8:H18,4)+COUNTIF(H8:H18,3))/$R$25*100</f>
        <v>#DIV/0!</v>
      </c>
      <c r="I20" s="49" t="e">
        <f aca="false">(COUNTIF(I8:I18,5)+COUNTIF(I8:I18,4)+COUNTIF(I8:I18,3))/$R$25*100</f>
        <v>#DIV/0!</v>
      </c>
      <c r="J20" s="49" t="e">
        <f aca="false">(COUNTIF(J8:J18,5)+COUNTIF(J8:J18,4)+COUNTIF(J8:J18,3))/$R$25*100</f>
        <v>#DIV/0!</v>
      </c>
      <c r="K20" s="49" t="e">
        <f aca="false">(COUNTIF(K8:K18,5)+COUNTIF(K8:K18,4)+COUNTIF(K8:K18,3))/$R$25*100</f>
        <v>#DIV/0!</v>
      </c>
      <c r="L20" s="49" t="e">
        <f aca="false">(COUNTIF(L8:L18,5)+COUNTIF(L8:L18,4)+COUNTIF(L8:L18,3))/$R$25*100</f>
        <v>#DIV/0!</v>
      </c>
      <c r="M20" s="49" t="e">
        <f aca="false">(COUNTIF(M8:M18,5)+COUNTIF(M8:M18,4)+COUNTIF(M8:M18,3))/$R$25*100</f>
        <v>#DIV/0!</v>
      </c>
      <c r="N20" s="49" t="e">
        <f aca="false">(COUNTIF(N8:N18,5)+COUNTIF(N8:N18,4)+COUNTIF(N8:N18,3))/$R$25*100</f>
        <v>#DIV/0!</v>
      </c>
      <c r="O20" s="48"/>
      <c r="P20" s="48"/>
      <c r="Q20" s="48"/>
      <c r="R20" s="48"/>
    </row>
    <row r="21" customFormat="false" ht="15" hidden="false" customHeight="true" outlineLevel="0" collapsed="false">
      <c r="D21" s="46"/>
      <c r="E21" s="229"/>
      <c r="F21" s="229"/>
      <c r="G21" s="229"/>
      <c r="H21" s="229"/>
      <c r="I21" s="229"/>
      <c r="J21" s="229"/>
      <c r="K21" s="229"/>
      <c r="L21" s="229"/>
      <c r="M21" s="229"/>
      <c r="N21" s="229"/>
      <c r="O21" s="48"/>
      <c r="P21" s="48"/>
      <c r="Q21" s="48"/>
      <c r="R21" s="48"/>
      <c r="S21" s="48"/>
    </row>
    <row r="22" customFormat="false" ht="15" hidden="false" customHeight="true" outlineLevel="0" collapsed="false"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</row>
    <row r="23" customFormat="false" ht="15" hidden="false" customHeight="true" outlineLevel="0" collapsed="false">
      <c r="B23" s="50"/>
      <c r="C23" s="50" t="s">
        <v>8</v>
      </c>
      <c r="D23" s="51" t="str">
        <f aca="false">IFERROR(AVERAGE(O8:O18),"")</f>
        <v/>
      </c>
      <c r="E23" s="197" t="s">
        <v>9</v>
      </c>
      <c r="F23" s="197"/>
      <c r="G23" s="53" t="str">
        <f aca="false">IFERROR(COUNTIF(P8:P18,"Успевает")/Q25*100,"")</f>
        <v/>
      </c>
      <c r="H23" s="54" t="s">
        <v>79</v>
      </c>
      <c r="I23" s="54"/>
      <c r="J23" s="55" t="str">
        <f aca="false">IFERROR(AVERAGE(Q8:Q18),"")</f>
        <v/>
      </c>
      <c r="K23" s="55"/>
      <c r="L23" s="55"/>
      <c r="M23" s="52"/>
      <c r="N23" s="52"/>
      <c r="O23" s="158"/>
      <c r="P23" s="48"/>
      <c r="Q23" s="48"/>
      <c r="R23" s="48"/>
      <c r="S23" s="48"/>
    </row>
    <row r="24" customFormat="false" ht="15" hidden="false" customHeight="true" outlineLevel="0" collapsed="false">
      <c r="E24" s="50"/>
      <c r="F24" s="50"/>
      <c r="G24" s="50"/>
      <c r="H24" s="50"/>
      <c r="I24" s="56"/>
      <c r="J24" s="56"/>
      <c r="K24" s="56"/>
      <c r="L24" s="56"/>
      <c r="M24" s="56"/>
      <c r="N24" s="56"/>
      <c r="R24" s="59"/>
      <c r="S24" s="48"/>
    </row>
    <row r="25" customFormat="false" ht="15" hidden="false" customHeight="true" outlineLevel="0" collapsed="false">
      <c r="C25" s="61" t="s">
        <v>81</v>
      </c>
      <c r="D25" s="61"/>
      <c r="E25" s="61"/>
      <c r="F25" s="61"/>
      <c r="G25" s="61"/>
      <c r="H25" s="61"/>
      <c r="I25" s="61"/>
      <c r="J25" s="61"/>
      <c r="K25" s="61" t="s">
        <v>82</v>
      </c>
      <c r="L25" s="61"/>
      <c r="M25" s="61"/>
      <c r="N25" s="62"/>
      <c r="O25" s="230" t="s">
        <v>80</v>
      </c>
      <c r="P25" s="230"/>
      <c r="Q25" s="231" t="n">
        <f aca="false">SUM(Q26:Q27)</f>
        <v>0</v>
      </c>
      <c r="R25" s="64"/>
      <c r="S25" s="48"/>
    </row>
    <row r="26" customFormat="false" ht="15" hidden="false" customHeight="true" outlineLevel="0" collapsed="false">
      <c r="C26" s="65" t="str">
        <f aca="false">$E$6</f>
        <v> Итоговая аттестация по военной подготовке </v>
      </c>
      <c r="D26" s="65"/>
      <c r="E26" s="65"/>
      <c r="F26" s="65"/>
      <c r="G26" s="65"/>
      <c r="H26" s="65"/>
      <c r="I26" s="65"/>
      <c r="J26" s="65"/>
      <c r="K26" s="232"/>
      <c r="L26" s="232"/>
      <c r="M26" s="232"/>
      <c r="N26" s="233"/>
      <c r="O26" s="230" t="s">
        <v>83</v>
      </c>
      <c r="P26" s="230"/>
      <c r="Q26" s="231" t="n">
        <f aca="false">COUNTIF(P8:P18,"Успевает")</f>
        <v>0</v>
      </c>
      <c r="R26" s="64"/>
      <c r="S26" s="48"/>
    </row>
    <row r="27" customFormat="false" ht="15" hidden="false" customHeight="true" outlineLevel="0" collapsed="false">
      <c r="C27" s="65" t="str">
        <f aca="false">$F$6</f>
        <v> Конструкторское проектирование электронных
средств, систем и сетей</v>
      </c>
      <c r="D27" s="65"/>
      <c r="E27" s="65"/>
      <c r="F27" s="65"/>
      <c r="G27" s="65"/>
      <c r="H27" s="65"/>
      <c r="I27" s="65"/>
      <c r="J27" s="65"/>
      <c r="K27" s="232"/>
      <c r="L27" s="232"/>
      <c r="M27" s="232"/>
      <c r="N27" s="233"/>
      <c r="O27" s="234" t="s">
        <v>84</v>
      </c>
      <c r="P27" s="234"/>
      <c r="Q27" s="231" t="n">
        <f aca="false">COUNTIF(P8:P18,"Не успевает")</f>
        <v>0</v>
      </c>
      <c r="R27" s="64"/>
      <c r="S27" s="48"/>
    </row>
    <row r="28" customFormat="false" ht="15" hidden="false" customHeight="true" outlineLevel="0" collapsed="false">
      <c r="C28" s="65" t="str">
        <f aca="false">$G$6</f>
        <v> Работа на средствах радиосвязи</v>
      </c>
      <c r="D28" s="65"/>
      <c r="E28" s="65"/>
      <c r="F28" s="65"/>
      <c r="G28" s="65"/>
      <c r="H28" s="65"/>
      <c r="I28" s="65"/>
      <c r="J28" s="65"/>
      <c r="K28" s="232"/>
      <c r="L28" s="232"/>
      <c r="M28" s="232"/>
      <c r="N28" s="233"/>
      <c r="O28" s="234" t="s">
        <v>85</v>
      </c>
      <c r="P28" s="234"/>
      <c r="Q28" s="231" t="n">
        <f aca="false">COUNTIF(R8:R18,"Благодарность")</f>
        <v>0</v>
      </c>
      <c r="R28" s="64"/>
      <c r="S28" s="48"/>
    </row>
    <row r="29" customFormat="false" ht="15" hidden="false" customHeight="true" outlineLevel="0" collapsed="false">
      <c r="C29" s="65" t="str">
        <f aca="false">$H$6</f>
        <v> Технологические процессы микроэлектроники </v>
      </c>
      <c r="D29" s="65"/>
      <c r="E29" s="65"/>
      <c r="F29" s="65"/>
      <c r="G29" s="65"/>
      <c r="H29" s="65"/>
      <c r="I29" s="65"/>
      <c r="J29" s="65"/>
      <c r="K29" s="232"/>
      <c r="L29" s="232"/>
      <c r="M29" s="232"/>
      <c r="N29" s="233"/>
      <c r="O29" s="234" t="s">
        <v>86</v>
      </c>
      <c r="P29" s="234"/>
      <c r="Q29" s="231" t="n">
        <f aca="false">COUNTIF(R8:R18,"Нормально")</f>
        <v>0</v>
      </c>
      <c r="R29" s="64"/>
      <c r="S29" s="48"/>
    </row>
    <row r="30" customFormat="false" ht="15" hidden="false" customHeight="true" outlineLevel="0" collapsed="false">
      <c r="C30" s="65" t="str">
        <f aca="false">$I$6</f>
        <v> Автоматизация и системы автоматизированного
проектирования электронных средств</v>
      </c>
      <c r="D30" s="65"/>
      <c r="E30" s="65"/>
      <c r="F30" s="65"/>
      <c r="G30" s="65"/>
      <c r="H30" s="65"/>
      <c r="I30" s="65"/>
      <c r="J30" s="65"/>
      <c r="K30" s="232"/>
      <c r="L30" s="232"/>
      <c r="M30" s="232"/>
      <c r="N30" s="233"/>
      <c r="O30" s="234" t="s">
        <v>87</v>
      </c>
      <c r="P30" s="234"/>
      <c r="Q30" s="231" t="n">
        <f aca="false">COUNTIF(R8:R18,"Предупреждение")</f>
        <v>0</v>
      </c>
      <c r="R30" s="64"/>
      <c r="S30" s="48"/>
    </row>
    <row r="31" customFormat="false" ht="15" hidden="false" customHeight="true" outlineLevel="0" collapsed="false">
      <c r="C31" s="65" t="str">
        <f aca="false">$J$6</f>
        <v> Автоматизация производства электронных средств (к.п.)</v>
      </c>
      <c r="D31" s="65"/>
      <c r="E31" s="65"/>
      <c r="F31" s="65"/>
      <c r="G31" s="65"/>
      <c r="H31" s="65"/>
      <c r="I31" s="65"/>
      <c r="J31" s="65"/>
      <c r="K31" s="232"/>
      <c r="L31" s="232"/>
      <c r="M31" s="232"/>
      <c r="N31" s="233"/>
      <c r="O31" s="234" t="s">
        <v>88</v>
      </c>
      <c r="P31" s="234"/>
      <c r="Q31" s="231" t="n">
        <f aca="false">COUNTIF(R8:R18,"Выговор")</f>
        <v>0</v>
      </c>
      <c r="R31" s="64"/>
      <c r="S31" s="48"/>
      <c r="T31" s="48"/>
      <c r="U31" s="48"/>
      <c r="V31" s="48"/>
    </row>
    <row r="32" customFormat="false" ht="15" hidden="false" customHeight="true" outlineLevel="0" collapsed="false">
      <c r="C32" s="65" t="str">
        <f aca="false">$K$6</f>
        <v> Научно-исследовательская работа</v>
      </c>
      <c r="D32" s="65"/>
      <c r="E32" s="65"/>
      <c r="F32" s="65"/>
      <c r="G32" s="65"/>
      <c r="H32" s="65"/>
      <c r="I32" s="65"/>
      <c r="J32" s="65"/>
      <c r="K32" s="232"/>
      <c r="L32" s="232"/>
      <c r="M32" s="232"/>
      <c r="N32" s="233"/>
      <c r="O32" s="235" t="s">
        <v>12</v>
      </c>
      <c r="P32" s="235"/>
      <c r="Q32" s="236" t="n">
        <f aca="false">SUM(S8:S18)</f>
        <v>0</v>
      </c>
      <c r="R32" s="50"/>
      <c r="S32" s="48"/>
      <c r="T32" s="48"/>
      <c r="U32" s="48"/>
      <c r="V32" s="48"/>
    </row>
    <row r="33" customFormat="false" ht="15" hidden="false" customHeight="true" outlineLevel="0" collapsed="false">
      <c r="C33" s="65" t="str">
        <f aca="false">$L$6</f>
        <v> Основы аналого-цифровой схемотехники</v>
      </c>
      <c r="D33" s="65"/>
      <c r="E33" s="65"/>
      <c r="F33" s="65"/>
      <c r="G33" s="65"/>
      <c r="H33" s="65"/>
      <c r="I33" s="65"/>
      <c r="J33" s="65"/>
      <c r="K33" s="232"/>
      <c r="L33" s="232"/>
      <c r="M33" s="232"/>
      <c r="N33" s="233"/>
      <c r="O33" s="50"/>
      <c r="P33" s="50"/>
      <c r="Q33" s="50"/>
      <c r="R33" s="50"/>
      <c r="S33" s="48"/>
      <c r="T33" s="48"/>
      <c r="U33" s="48"/>
      <c r="V33" s="48"/>
    </row>
    <row r="34" customFormat="false" ht="15" hidden="false" customHeight="true" outlineLevel="0" collapsed="false">
      <c r="C34" s="65" t="str">
        <f aca="false">$M$6</f>
        <v> Техническое обеспечение связи и автоматизации</v>
      </c>
      <c r="D34" s="65"/>
      <c r="E34" s="65"/>
      <c r="F34" s="65"/>
      <c r="G34" s="65"/>
      <c r="H34" s="65"/>
      <c r="I34" s="65"/>
      <c r="J34" s="65"/>
      <c r="K34" s="66"/>
      <c r="L34" s="66"/>
      <c r="M34" s="66"/>
      <c r="N34" s="67"/>
      <c r="O34" s="50"/>
      <c r="P34" s="50"/>
      <c r="Q34" s="50"/>
      <c r="R34" s="50"/>
      <c r="S34" s="48"/>
      <c r="T34" s="48"/>
      <c r="U34" s="48"/>
      <c r="V34" s="48"/>
    </row>
    <row r="35" customFormat="false" ht="15" hidden="false" customHeight="true" outlineLevel="0" collapsed="false">
      <c r="C35" s="65" t="str">
        <f aca="false">$N$6</f>
        <v>Экономика</v>
      </c>
      <c r="D35" s="65"/>
      <c r="E35" s="65"/>
      <c r="F35" s="65"/>
      <c r="G35" s="65"/>
      <c r="H35" s="65"/>
      <c r="I35" s="65"/>
      <c r="J35" s="65"/>
      <c r="K35" s="66"/>
      <c r="L35" s="66"/>
      <c r="M35" s="66"/>
      <c r="N35" s="67"/>
      <c r="O35" s="50"/>
      <c r="P35" s="50"/>
      <c r="Q35" s="50"/>
      <c r="R35" s="50"/>
      <c r="S35" s="48"/>
      <c r="T35" s="48"/>
      <c r="U35" s="48"/>
      <c r="V35" s="48"/>
    </row>
    <row r="36" customFormat="false" ht="15" hidden="false" customHeight="true" outlineLevel="0" collapsed="false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48"/>
      <c r="L36" s="48"/>
      <c r="M36" s="48"/>
      <c r="N36" s="48"/>
      <c r="O36" s="48"/>
    </row>
    <row r="37" customFormat="false" ht="15" hidden="false" customHeight="true" outlineLevel="0" collapsed="false">
      <c r="A37" s="50"/>
      <c r="B37" s="73" t="s">
        <v>405</v>
      </c>
      <c r="C37" s="74" t="s">
        <v>462</v>
      </c>
      <c r="D37" s="74"/>
      <c r="E37" s="67"/>
      <c r="F37" s="52" t="s">
        <v>369</v>
      </c>
      <c r="G37" s="52" t="s">
        <v>463</v>
      </c>
      <c r="H37" s="52"/>
      <c r="I37" s="52"/>
      <c r="J37" s="52"/>
      <c r="K37" s="48"/>
      <c r="L37" s="48"/>
      <c r="M37" s="48"/>
      <c r="N37" s="48"/>
      <c r="O37" s="48"/>
    </row>
    <row r="38" customFormat="false" ht="15" hidden="false" customHeight="true" outlineLevel="0" collapsed="false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48"/>
      <c r="L38" s="48"/>
      <c r="M38" s="48"/>
      <c r="N38" s="48"/>
      <c r="O38" s="48"/>
    </row>
    <row r="39" customFormat="false" ht="15" hidden="false" customHeight="true" outlineLevel="0" collapsed="false">
      <c r="A39" s="50"/>
      <c r="B39" s="50" t="s">
        <v>93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237"/>
    </row>
    <row r="40" customFormat="false" ht="15" hidden="false" customHeight="true" outlineLevel="0" collapsed="false">
      <c r="A40" s="50"/>
      <c r="B40" s="50" t="s">
        <v>94</v>
      </c>
      <c r="C40" s="50"/>
      <c r="D40" s="50"/>
      <c r="E40" s="50"/>
      <c r="F40" s="50"/>
      <c r="G40" s="50"/>
      <c r="H40" s="50"/>
      <c r="I40" s="50"/>
      <c r="J40" s="50"/>
      <c r="K40" s="52"/>
      <c r="L40" s="52"/>
      <c r="M40" s="52"/>
      <c r="N40" s="52"/>
      <c r="O40" s="50"/>
    </row>
    <row r="41" customFormat="false" ht="15" hidden="false" customHeight="true" outlineLevel="0" collapsed="false">
      <c r="A41" s="50"/>
      <c r="B41" s="50" t="s">
        <v>95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  <row r="42" customFormat="false" ht="15" hidden="false" customHeight="true" outlineLevel="0" collapsed="false">
      <c r="A42" s="50"/>
      <c r="B42" s="50" t="s">
        <v>96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</row>
    <row r="43" customFormat="false" ht="15" hidden="false" customHeight="true" outlineLevel="0" collapsed="false">
      <c r="A43" s="50"/>
      <c r="B43" s="50" t="s">
        <v>97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48"/>
      <c r="Q43" s="48"/>
      <c r="R43" s="48"/>
      <c r="S43" s="48"/>
    </row>
    <row r="44" customFormat="false" ht="15" hidden="false" customHeight="true" outlineLevel="0" collapsed="false">
      <c r="A44" s="50"/>
      <c r="B44" s="50" t="s">
        <v>98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</row>
    <row r="45" customFormat="false" ht="15" hidden="false" customHeight="true" outlineLevel="0" collapsed="false">
      <c r="A45" s="50"/>
      <c r="B45" s="50" t="s">
        <v>99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</row>
    <row r="46" customFormat="false" ht="15" hidden="false" customHeight="true" outlineLevel="0" collapsed="false">
      <c r="A46" s="50"/>
      <c r="K46" s="50"/>
      <c r="L46" s="50"/>
      <c r="M46" s="50"/>
      <c r="N46" s="50"/>
      <c r="O46" s="50"/>
    </row>
    <row r="47" customFormat="false" ht="15" hidden="false" customHeight="true" outlineLevel="0" collapsed="false">
      <c r="A47" s="50"/>
      <c r="K47" s="50"/>
      <c r="L47" s="50"/>
      <c r="M47" s="50"/>
      <c r="N47" s="50"/>
      <c r="O47" s="50"/>
    </row>
    <row r="48" customFormat="false" ht="15" hidden="false" customHeight="true" outlineLevel="0" collapsed="false">
      <c r="A48" s="50"/>
      <c r="K48" s="50"/>
      <c r="L48" s="50"/>
      <c r="M48" s="50"/>
      <c r="N48" s="50"/>
      <c r="O48" s="50"/>
    </row>
    <row r="49" customFormat="false" ht="15" hidden="false" customHeight="true" outlineLevel="0" collapsed="false">
      <c r="A49" s="50"/>
      <c r="O49" s="50"/>
    </row>
    <row r="50" customFormat="false" ht="15.75" hidden="false" customHeight="false" outlineLevel="0" collapsed="false">
      <c r="A50" s="50"/>
      <c r="O50" s="48"/>
    </row>
    <row r="51" customFormat="false" ht="15.75" hidden="false" customHeight="false" outlineLevel="0" collapsed="false">
      <c r="A51" s="50"/>
      <c r="O51" s="48"/>
    </row>
    <row r="52" customFormat="false" ht="15.75" hidden="false" customHeight="false" outlineLevel="0" collapsed="false">
      <c r="A52" s="50"/>
      <c r="O52" s="48"/>
    </row>
    <row r="53" customFormat="false" ht="15.75" hidden="false" customHeight="false" outlineLevel="0" collapsed="false">
      <c r="A53" s="50"/>
      <c r="O53" s="48"/>
    </row>
    <row r="54" customFormat="false" ht="15.75" hidden="false" customHeight="false" outlineLevel="0" collapsed="false">
      <c r="A54" s="50"/>
      <c r="O54" s="48"/>
    </row>
    <row r="55" customFormat="false" ht="15.75" hidden="false" customHeight="false" outlineLevel="0" collapsed="false">
      <c r="A55" s="50"/>
      <c r="O55" s="48"/>
    </row>
    <row r="56" customFormat="false" ht="15.75" hidden="false" customHeight="false" outlineLevel="0" collapsed="false">
      <c r="A56" s="50"/>
      <c r="O56" s="48"/>
    </row>
    <row r="57" customFormat="false" ht="15.75" hidden="false" customHeight="false" outlineLevel="0" collapsed="false">
      <c r="A57" s="50"/>
      <c r="O57" s="48"/>
    </row>
    <row r="58" customFormat="false" ht="15.75" hidden="false" customHeight="false" outlineLevel="0" collapsed="false">
      <c r="A58" s="50"/>
      <c r="O58" s="48"/>
    </row>
    <row r="59" customFormat="false" ht="15" hidden="false" customHeight="false" outlineLevel="0" collapsed="false">
      <c r="O59" s="48"/>
    </row>
    <row r="60" customFormat="false" ht="15" hidden="false" customHeight="false" outlineLevel="0" collapsed="false">
      <c r="O60" s="48"/>
    </row>
    <row r="61" customFormat="false" ht="15" hidden="false" customHeight="false" outlineLevel="0" collapsed="false">
      <c r="O61" s="48"/>
    </row>
  </sheetData>
  <mergeCells count="45">
    <mergeCell ref="E1:H1"/>
    <mergeCell ref="L2:N2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E23:F23"/>
    <mergeCell ref="H23:I23"/>
    <mergeCell ref="C25:J25"/>
    <mergeCell ref="K25:M25"/>
    <mergeCell ref="O25:P25"/>
    <mergeCell ref="C26:J26"/>
    <mergeCell ref="K26:M26"/>
    <mergeCell ref="O26:P26"/>
    <mergeCell ref="C27:J27"/>
    <mergeCell ref="K27:M27"/>
    <mergeCell ref="O27:P27"/>
    <mergeCell ref="C28:J28"/>
    <mergeCell ref="K28:M28"/>
    <mergeCell ref="O28:P28"/>
    <mergeCell ref="C29:J29"/>
    <mergeCell ref="K29:M29"/>
    <mergeCell ref="O29:P29"/>
    <mergeCell ref="C30:J30"/>
    <mergeCell ref="K30:M30"/>
    <mergeCell ref="O30:P30"/>
    <mergeCell ref="C31:J31"/>
    <mergeCell ref="K31:M31"/>
    <mergeCell ref="O31:P31"/>
    <mergeCell ref="C32:J32"/>
    <mergeCell ref="K32:M32"/>
    <mergeCell ref="O32:P32"/>
    <mergeCell ref="C33:J33"/>
    <mergeCell ref="K33:M33"/>
    <mergeCell ref="C34:J34"/>
    <mergeCell ref="K34:M34"/>
    <mergeCell ref="C35:J35"/>
    <mergeCell ref="K35:M35"/>
  </mergeCells>
  <conditionalFormatting sqref="M15:N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0:N1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0:G10 I10:J1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5:G15 I15:J1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:N13 E8:N8 F11:G13 F9:G9 M9:N9 L9:L13 E9:E13 I9:J9 I11:J13 H9:H18 K9:K1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6:N18 F16:G18 F14:G14 M14:N14 L14:L18 E14:E18 I14:J14 I16:J1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1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21:P21 O20 O19:P19 E19:N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23" man="true" max="16383" min="0"/>
  </rowBreak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45"/>
  <sheetViews>
    <sheetView showFormulas="false" showGridLines="true" showRowColHeaders="true" showZeros="true" rightToLeft="false" tabSelected="false" showOutlineSymbols="true" defaultGridColor="true" view="normal" topLeftCell="A2" colorId="64" zoomScale="140" zoomScaleNormal="140" zoomScalePageLayoutView="100" workbookViewId="0">
      <selection pane="topLeft" activeCell="B8" activeCellId="0" sqref="B8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6.43"/>
    <col collapsed="false" customWidth="true" hidden="false" outlineLevel="0" max="2" min="2" style="0" width="12"/>
    <col collapsed="false" customWidth="true" hidden="false" outlineLevel="0" max="3" min="3" style="0" width="19.86"/>
    <col collapsed="false" customWidth="true" hidden="false" outlineLevel="0" max="7" min="7" style="0" width="10.14"/>
    <col collapsed="false" customWidth="true" hidden="false" outlineLevel="0" max="12" min="11" style="0" width="9.14"/>
    <col collapsed="false" customWidth="true" hidden="false" outlineLevel="0" max="14" min="14" style="0" width="11.71"/>
    <col collapsed="false" customWidth="true" hidden="false" outlineLevel="0" max="15" min="15" style="0" width="5.29"/>
    <col collapsed="false" customWidth="true" hidden="false" outlineLevel="0" max="16" min="16" style="0" width="10.71"/>
    <col collapsed="false" customWidth="true" hidden="false" outlineLevel="0" max="17" min="17" style="0" width="5.57"/>
    <col collapsed="false" customWidth="true" hidden="false" outlineLevel="0" max="18" min="18" style="0" width="4.71"/>
    <col collapsed="false" customWidth="true" hidden="false" outlineLevel="0" max="19" min="19" style="0" width="4.29"/>
    <col collapsed="false" customWidth="true" hidden="false" outlineLevel="0" max="20" min="20" style="0" width="4.57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K2" s="0" t="s">
        <v>1</v>
      </c>
      <c r="M2" s="72"/>
      <c r="N2" s="146" t="n">
        <f aca="false">set!B4</f>
        <v>45608</v>
      </c>
      <c r="O2" s="72"/>
      <c r="P2" s="75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ИУК1-11М факультета ИУК МГТУ им. Н.Э. Баумана"</f>
        <v>Успеваемость студентов за 1 семестр 24/25 учебного года по группе ИУК1-11М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6.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238" t="s">
        <v>6</v>
      </c>
      <c r="F5" s="238"/>
      <c r="G5" s="239" t="s">
        <v>7</v>
      </c>
      <c r="H5" s="239"/>
      <c r="I5" s="239"/>
      <c r="J5" s="239"/>
      <c r="K5" s="12" t="s">
        <v>8</v>
      </c>
      <c r="L5" s="13" t="s">
        <v>9</v>
      </c>
      <c r="M5" s="13" t="s">
        <v>10</v>
      </c>
      <c r="N5" s="14" t="s">
        <v>11</v>
      </c>
      <c r="O5" s="14" t="s">
        <v>464</v>
      </c>
    </row>
    <row r="6" customFormat="false" ht="139.5" hidden="false" customHeight="true" outlineLevel="0" collapsed="false">
      <c r="A6" s="8"/>
      <c r="B6" s="8"/>
      <c r="C6" s="8"/>
      <c r="D6" s="9"/>
      <c r="E6" s="15" t="s">
        <v>465</v>
      </c>
      <c r="F6" s="17" t="s">
        <v>466</v>
      </c>
      <c r="G6" s="15" t="s">
        <v>18</v>
      </c>
      <c r="H6" s="16" t="s">
        <v>467</v>
      </c>
      <c r="I6" s="16" t="s">
        <v>468</v>
      </c>
      <c r="J6" s="18" t="s">
        <v>469</v>
      </c>
      <c r="K6" s="12"/>
      <c r="L6" s="13"/>
      <c r="M6" s="13"/>
      <c r="N6" s="14"/>
      <c r="O6" s="14"/>
    </row>
    <row r="7" customFormat="false" ht="26.1" hidden="false" customHeight="false" outlineLevel="0" collapsed="false">
      <c r="A7" s="8"/>
      <c r="B7" s="8"/>
      <c r="C7" s="8"/>
      <c r="D7" s="9"/>
      <c r="E7" s="22" t="s">
        <v>439</v>
      </c>
      <c r="F7" s="102" t="s">
        <v>298</v>
      </c>
      <c r="G7" s="22" t="s">
        <v>27</v>
      </c>
      <c r="H7" s="23" t="s">
        <v>470</v>
      </c>
      <c r="I7" s="23" t="s">
        <v>380</v>
      </c>
      <c r="J7" s="24" t="s">
        <v>471</v>
      </c>
      <c r="K7" s="12"/>
      <c r="L7" s="13"/>
      <c r="M7" s="13"/>
      <c r="N7" s="14"/>
      <c r="O7" s="14"/>
      <c r="P7" s="240"/>
      <c r="Q7" s="240"/>
    </row>
    <row r="8" customFormat="false" ht="15" hidden="false" customHeight="true" outlineLevel="0" collapsed="false">
      <c r="A8" s="25" t="n">
        <v>1</v>
      </c>
      <c r="B8" s="25" t="s">
        <v>472</v>
      </c>
      <c r="C8" s="25" t="s">
        <v>473</v>
      </c>
      <c r="D8" s="77"/>
      <c r="E8" s="81"/>
      <c r="F8" s="125"/>
      <c r="G8" s="81"/>
      <c r="H8" s="82"/>
      <c r="I8" s="82"/>
      <c r="J8" s="83"/>
      <c r="K8" s="33" t="str">
        <f aca="false">IFERROR(AVERAGE(E8:J8),"")</f>
        <v/>
      </c>
      <c r="L8" s="84" t="str">
        <f aca="false">IF(E8&lt;&gt;"",IF(COUNTIF(E8:J8,"&lt;3"),"Не успевает","Успевает"),"")</f>
        <v/>
      </c>
      <c r="M8" s="241" t="str">
        <f aca="false">IF(D8&lt;&gt;"",(30*(set!B$5)-D8)/(30*(set!B$5))*100,"")</f>
        <v/>
      </c>
      <c r="N8" s="77" t="str">
        <f aca="false">IF(E8&lt;&gt;"",IF(K8&lt;1.85,"Выговор",IF(K8=1.85,"Выговор",IF(AND(K8&gt;1.85,K8&lt;3),"Предупреждение",IF(AND(K8&gt;3,K8&lt;4.65),"Нормально",IF(AND(K8&gt;4.65,K8&lt;5.1,E8:J8&gt;=4),"Благодарность","Нормально"))))),"")</f>
        <v/>
      </c>
      <c r="O8" s="36" t="n">
        <f aca="false">COUNTIF(E8:J8,2)+COUNTIF(E8:J8,1)+COUNTIF(E8:J8,0)</f>
        <v>0</v>
      </c>
      <c r="P8" s="242"/>
      <c r="Q8" s="242"/>
    </row>
    <row r="9" customFormat="false" ht="15" hidden="false" customHeight="true" outlineLevel="0" collapsed="false">
      <c r="A9" s="85" t="n">
        <v>2</v>
      </c>
      <c r="B9" s="37" t="s">
        <v>474</v>
      </c>
      <c r="C9" s="37" t="s">
        <v>475</v>
      </c>
      <c r="D9" s="85"/>
      <c r="E9" s="86"/>
      <c r="F9" s="88"/>
      <c r="G9" s="86"/>
      <c r="H9" s="87"/>
      <c r="I9" s="87"/>
      <c r="J9" s="89"/>
      <c r="K9" s="33" t="str">
        <f aca="false">IFERROR(AVERAGE(E9:J9),"")</f>
        <v/>
      </c>
      <c r="L9" s="84" t="str">
        <f aca="false">IF(E9&lt;&gt;"",IF(COUNTIF(E9:J9,"&lt;3"),"Не успевает","Успевает"),"")</f>
        <v/>
      </c>
      <c r="M9" s="241" t="str">
        <f aca="false">IF(D9&lt;&gt;"",(30*(set!B$5)-D9)/(30*(set!B$5))*100,"")</f>
        <v/>
      </c>
      <c r="N9" s="85" t="str">
        <f aca="false" t="array" ref="N9:N9">IF(E9&lt;&gt;"",IF(K9&lt;1.85,"Выговор",IF(K9=1.85,"Выговор",IF(AND(K9&gt;1.85,K9&lt;3),"Предупреждение",IF(AND(K9&gt;3,K9&lt;4.65),"Нормально",IF(AND(K9&gt;4.65,K9&lt;5.1,E9:J9&gt;=4),"Благодарность","Нормально"))))),"")</f>
        <v/>
      </c>
      <c r="O9" s="118" t="n">
        <f aca="false">COUNTIF(E9:J9,2)+COUNTIF(E9:J9,1)+COUNTIF(E9:J9,0)</f>
        <v>0</v>
      </c>
      <c r="P9" s="242"/>
      <c r="Q9" s="242"/>
    </row>
    <row r="10" customFormat="false" ht="15" hidden="false" customHeight="true" outlineLevel="0" collapsed="false">
      <c r="A10" s="37" t="n">
        <v>3</v>
      </c>
      <c r="B10" s="37" t="s">
        <v>476</v>
      </c>
      <c r="C10" s="37" t="s">
        <v>477</v>
      </c>
      <c r="D10" s="85"/>
      <c r="E10" s="86"/>
      <c r="F10" s="88"/>
      <c r="G10" s="86"/>
      <c r="H10" s="87"/>
      <c r="I10" s="87"/>
      <c r="J10" s="89"/>
      <c r="K10" s="33" t="str">
        <f aca="false">IFERROR(AVERAGE(E10:J10),"")</f>
        <v/>
      </c>
      <c r="L10" s="84" t="str">
        <f aca="false">IF(E10&lt;&gt;"",IF(COUNTIF(E10:J10,"&lt;3"),"Не успевает","Успевает"),"")</f>
        <v/>
      </c>
      <c r="M10" s="241" t="str">
        <f aca="false">IF(D10&lt;&gt;"",(30*(set!B$5)-D10)/(30*(set!B$5))*100,"")</f>
        <v/>
      </c>
      <c r="N10" s="85" t="str">
        <f aca="false" t="array" ref="N10:N10">IF(E10&lt;&gt;"",IF(K10&lt;1.85,"Выговор",IF(K10=1.85,"Выговор",IF(AND(K10&gt;1.85,K10&lt;3),"Предупреждение",IF(AND(K10&gt;3,K10&lt;4.65),"Нормально",IF(AND(K10&gt;4.65,K10&lt;5.1,E10:J10&gt;=4),"Благодарность","Нормально"))))),"")</f>
        <v/>
      </c>
      <c r="O10" s="118" t="n">
        <f aca="false">COUNTIF(E10:J10,2)+COUNTIF(E10:J10,1)+COUNTIF(E10:J10,0)</f>
        <v>0</v>
      </c>
      <c r="P10" s="242"/>
      <c r="Q10" s="242"/>
    </row>
    <row r="11" customFormat="false" ht="15" hidden="false" customHeight="true" outlineLevel="0" collapsed="false">
      <c r="A11" s="85" t="n">
        <v>4</v>
      </c>
      <c r="B11" s="37" t="s">
        <v>478</v>
      </c>
      <c r="C11" s="37" t="s">
        <v>479</v>
      </c>
      <c r="D11" s="85"/>
      <c r="E11" s="86"/>
      <c r="F11" s="88"/>
      <c r="G11" s="86"/>
      <c r="H11" s="87"/>
      <c r="I11" s="87"/>
      <c r="J11" s="89"/>
      <c r="K11" s="33" t="str">
        <f aca="false">IFERROR(AVERAGE(E11:J11),"")</f>
        <v/>
      </c>
      <c r="L11" s="84" t="str">
        <f aca="false">IF(E11&lt;&gt;"",IF(COUNTIF(E11:J11,"&lt;3"),"Не успевает","Успевает"),"")</f>
        <v/>
      </c>
      <c r="M11" s="241" t="str">
        <f aca="false">IF(D11&lt;&gt;"",(30*(set!B$5)-D11)/(30*(set!B$5))*100,"")</f>
        <v/>
      </c>
      <c r="N11" s="85" t="str">
        <f aca="false" t="array" ref="N11:N11">IF(E11&lt;&gt;"",IF(K11&lt;1.85,"Выговор",IF(K11=1.85,"Выговор",IF(AND(K11&gt;1.85,K11&lt;3),"Предупреждение",IF(AND(K11&gt;3,K11&lt;4.65),"Нормально",IF(AND(K11&gt;4.65,K11&lt;5.1,E11:J11&gt;=4),"Благодарность","Нормально"))))),"")</f>
        <v/>
      </c>
      <c r="O11" s="118" t="n">
        <f aca="false">COUNTIF(E11:J11,2)+COUNTIF(E11:J11,1)+COUNTIF(E11:J11,0)</f>
        <v>0</v>
      </c>
      <c r="P11" s="242"/>
      <c r="Q11" s="242"/>
    </row>
    <row r="12" customFormat="false" ht="15" hidden="false" customHeight="true" outlineLevel="0" collapsed="false">
      <c r="A12" s="85" t="n">
        <v>5</v>
      </c>
      <c r="B12" s="37" t="s">
        <v>480</v>
      </c>
      <c r="C12" s="37" t="s">
        <v>481</v>
      </c>
      <c r="D12" s="85"/>
      <c r="E12" s="86"/>
      <c r="F12" s="88"/>
      <c r="G12" s="86"/>
      <c r="H12" s="87"/>
      <c r="I12" s="87"/>
      <c r="J12" s="89"/>
      <c r="K12" s="33" t="str">
        <f aca="false">IFERROR(AVERAGE(E12:J12),"")</f>
        <v/>
      </c>
      <c r="L12" s="84" t="str">
        <f aca="false">IF(E12&lt;&gt;"",IF(COUNTIF(E12:J12,"&lt;3"),"Не успевает","Успевает"),"")</f>
        <v/>
      </c>
      <c r="M12" s="241" t="str">
        <f aca="false">IF(D12&lt;&gt;"",(30*(set!B$5)-D12)/(30*(set!B$5))*100,"")</f>
        <v/>
      </c>
      <c r="N12" s="85" t="str">
        <f aca="false" t="array" ref="N12:N12">IF(E12&lt;&gt;"",IF(K12&lt;1.85,"Выговор",IF(K12=1.85,"Выговор",IF(AND(K12&gt;1.85,K12&lt;3),"Предупреждение",IF(AND(K12&gt;3,K12&lt;4.65),"Нормально",IF(AND(K12&gt;4.65,K12&lt;5.1,E12:J12&gt;=4),"Благодарность","Нормально"))))),"")</f>
        <v/>
      </c>
      <c r="O12" s="118" t="n">
        <f aca="false">COUNTIF(E12:J12,2)+COUNTIF(E12:J12,1)+COUNTIF(E12:J12,0)</f>
        <v>0</v>
      </c>
      <c r="P12" s="242"/>
      <c r="Q12" s="242"/>
    </row>
    <row r="13" customFormat="false" ht="15" hidden="false" customHeight="true" outlineLevel="0" collapsed="false">
      <c r="A13" s="37" t="n">
        <v>6</v>
      </c>
      <c r="B13" s="37" t="s">
        <v>482</v>
      </c>
      <c r="C13" s="37" t="s">
        <v>483</v>
      </c>
      <c r="D13" s="85"/>
      <c r="E13" s="86"/>
      <c r="F13" s="88"/>
      <c r="G13" s="86"/>
      <c r="H13" s="87"/>
      <c r="I13" s="87"/>
      <c r="J13" s="89"/>
      <c r="K13" s="33" t="str">
        <f aca="false">IFERROR(AVERAGE(E13:J13),"")</f>
        <v/>
      </c>
      <c r="L13" s="84" t="str">
        <f aca="false">IF(E13&lt;&gt;"",IF(COUNTIF(E13:J13,"&lt;3"),"Не успевает","Успевает"),"")</f>
        <v/>
      </c>
      <c r="M13" s="241" t="str">
        <f aca="false">IF(D13&lt;&gt;"",(30*(set!B$5)-D13)/(30*(set!B$5))*100,"")</f>
        <v/>
      </c>
      <c r="N13" s="85" t="str">
        <f aca="false" t="array" ref="N13:N13">IF(E13&lt;&gt;"",IF(K13&lt;1.85,"Выговор",IF(K13=1.85,"Выговор",IF(AND(K13&gt;1.85,K13&lt;3),"Предупреждение",IF(AND(K13&gt;3,K13&lt;4.65),"Нормально",IF(AND(K13&gt;4.65,K13&lt;5.1,E13:J13&gt;=4),"Благодарность","Нормально"))))),"")</f>
        <v/>
      </c>
      <c r="O13" s="118" t="n">
        <f aca="false">COUNTIF(E13:J13,2)+COUNTIF(E13:J13,1)+COUNTIF(E13:J13,0)</f>
        <v>0</v>
      </c>
      <c r="P13" s="242"/>
      <c r="Q13" s="242"/>
    </row>
    <row r="14" customFormat="false" ht="15" hidden="false" customHeight="true" outlineLevel="0" collapsed="false">
      <c r="A14" s="85" t="n">
        <v>7</v>
      </c>
      <c r="B14" s="37" t="s">
        <v>484</v>
      </c>
      <c r="C14" s="37" t="s">
        <v>485</v>
      </c>
      <c r="D14" s="85"/>
      <c r="E14" s="86"/>
      <c r="F14" s="88"/>
      <c r="G14" s="86"/>
      <c r="H14" s="87"/>
      <c r="I14" s="87"/>
      <c r="J14" s="89"/>
      <c r="K14" s="33" t="str">
        <f aca="false">IFERROR(AVERAGE(E14:J14),"")</f>
        <v/>
      </c>
      <c r="L14" s="84" t="str">
        <f aca="false">IF(E14&lt;&gt;"",IF(COUNTIF(E14:J14,"&lt;3"),"Не успевает","Успевает"),"")</f>
        <v/>
      </c>
      <c r="M14" s="241" t="str">
        <f aca="false">IF(D14&lt;&gt;"",(30*(set!B$5)-D14)/(30*(set!B$5))*100,"")</f>
        <v/>
      </c>
      <c r="N14" s="85" t="str">
        <f aca="false" t="array" ref="N14:N14">IF(E14&lt;&gt;"",IF(K14&lt;1.85,"Выговор",IF(K14=1.85,"Выговор",IF(AND(K14&gt;1.85,K14&lt;3),"Предупреждение",IF(AND(K14&gt;3,K14&lt;4.65),"Нормально",IF(AND(K14&gt;4.65,K14&lt;5.1,E14:J14&gt;=4),"Благодарность","Нормально"))))),"")</f>
        <v/>
      </c>
      <c r="O14" s="118" t="n">
        <f aca="false">COUNTIF(E14:J14,2)+COUNTIF(E14:J14,1)+COUNTIF(E14:J14,0)</f>
        <v>0</v>
      </c>
      <c r="P14" s="242"/>
      <c r="Q14" s="242"/>
    </row>
    <row r="15" customFormat="false" ht="15" hidden="false" customHeight="true" outlineLevel="0" collapsed="false">
      <c r="A15" s="37" t="n">
        <v>8</v>
      </c>
      <c r="B15" s="37" t="s">
        <v>486</v>
      </c>
      <c r="C15" s="37" t="s">
        <v>487</v>
      </c>
      <c r="D15" s="85"/>
      <c r="E15" s="86"/>
      <c r="F15" s="88"/>
      <c r="G15" s="86"/>
      <c r="H15" s="87"/>
      <c r="I15" s="87"/>
      <c r="J15" s="89"/>
      <c r="K15" s="33" t="str">
        <f aca="false">IFERROR(AVERAGE(E15:J15),"")</f>
        <v/>
      </c>
      <c r="L15" s="84" t="str">
        <f aca="false">IF(E15&lt;&gt;"",IF(COUNTIF(E15:J15,"&lt;3"),"Не успевает","Успевает"),"")</f>
        <v/>
      </c>
      <c r="M15" s="241" t="str">
        <f aca="false">IF(D15&lt;&gt;"",(30*(set!B$5)-D15)/(30*(set!B$5))*100,"")</f>
        <v/>
      </c>
      <c r="N15" s="85" t="str">
        <f aca="false" t="array" ref="N15:N15">IF(E15&lt;&gt;"",IF(K15&lt;1.85,"Выговор",IF(K15=1.85,"Выговор",IF(AND(K15&gt;1.85,K15&lt;3),"Предупреждение",IF(AND(K15&gt;3,K15&lt;4.65),"Нормально",IF(AND(K15&gt;4.65,K15&lt;5.1,E15:J15&gt;=4),"Благодарность","Нормально"))))),"")</f>
        <v/>
      </c>
      <c r="O15" s="118" t="n">
        <f aca="false">COUNTIF(E15:J15,2)+COUNTIF(E15:J15,1)+COUNTIF(E15:J15,0)</f>
        <v>0</v>
      </c>
      <c r="P15" s="242"/>
      <c r="Q15" s="242"/>
    </row>
    <row r="16" customFormat="false" ht="15" hidden="false" customHeight="true" outlineLevel="0" collapsed="false">
      <c r="A16" s="85" t="n">
        <v>9</v>
      </c>
      <c r="B16" s="37" t="s">
        <v>488</v>
      </c>
      <c r="C16" s="37" t="s">
        <v>489</v>
      </c>
      <c r="D16" s="85"/>
      <c r="E16" s="86"/>
      <c r="F16" s="88"/>
      <c r="G16" s="86"/>
      <c r="H16" s="87"/>
      <c r="I16" s="87"/>
      <c r="J16" s="89"/>
      <c r="K16" s="33" t="str">
        <f aca="false">IFERROR(AVERAGE(E16:J16),"")</f>
        <v/>
      </c>
      <c r="L16" s="84" t="str">
        <f aca="false">IF(E16&lt;&gt;"",IF(COUNTIF(E16:J16,"&lt;3"),"Не успевает","Успевает"),"")</f>
        <v/>
      </c>
      <c r="M16" s="241" t="str">
        <f aca="false">IF(D16&lt;&gt;"",(30*(set!B$5)-D16)/(30*(set!B$5))*100,"")</f>
        <v/>
      </c>
      <c r="N16" s="85" t="str">
        <f aca="false" t="array" ref="N16:N16">IF(E16&lt;&gt;"",IF(K16&lt;1.85,"Выговор",IF(K16=1.85,"Выговор",IF(AND(K16&gt;1.85,K16&lt;3),"Предупреждение",IF(AND(K16&gt;3,K16&lt;4.65),"Нормально",IF(AND(K16&gt;4.65,K16&lt;5.1,E16:J16&gt;=4),"Благодарность","Нормально"))))),"")</f>
        <v/>
      </c>
      <c r="O16" s="118" t="n">
        <f aca="false">COUNTIF(E16:J16,2)+COUNTIF(E16:J16,1)+COUNTIF(E16:J16,0)</f>
        <v>0</v>
      </c>
      <c r="P16" s="242"/>
      <c r="Q16" s="242"/>
    </row>
    <row r="17" customFormat="false" ht="15" hidden="false" customHeight="true" outlineLevel="0" collapsed="false">
      <c r="A17" s="37" t="n">
        <v>10</v>
      </c>
      <c r="B17" s="37" t="s">
        <v>490</v>
      </c>
      <c r="C17" s="37" t="s">
        <v>491</v>
      </c>
      <c r="D17" s="85"/>
      <c r="E17" s="86"/>
      <c r="F17" s="88"/>
      <c r="G17" s="86"/>
      <c r="H17" s="87"/>
      <c r="I17" s="87"/>
      <c r="J17" s="89"/>
      <c r="K17" s="33" t="str">
        <f aca="false">IFERROR(AVERAGE(E17:J17),"")</f>
        <v/>
      </c>
      <c r="L17" s="84" t="str">
        <f aca="false">IF(E17&lt;&gt;"",IF(COUNTIF(E17:J17,"&lt;3"),"Не успевает","Успевает"),"")</f>
        <v/>
      </c>
      <c r="M17" s="241" t="str">
        <f aca="false">IF(D17&lt;&gt;"",(30*(set!B$5)-D17)/(30*(set!B$5))*100,"")</f>
        <v/>
      </c>
      <c r="N17" s="85" t="str">
        <f aca="false" t="array" ref="N17:N17">IF(E17&lt;&gt;"",IF(K17&lt;1.85,"Выговор",IF(K17=1.85,"Выговор",IF(AND(K17&gt;1.85,K17&lt;3),"Предупреждение",IF(AND(K17&gt;3,K17&lt;4.65),"Нормально",IF(AND(K17&gt;4.65,K17&lt;5.1,E17:J17&gt;=4),"Благодарность","Нормально"))))),"")</f>
        <v/>
      </c>
      <c r="O17" s="118" t="n">
        <f aca="false">COUNTIF(E17:J17,2)+COUNTIF(E17:J17,1)+COUNTIF(E17:J17,0)</f>
        <v>0</v>
      </c>
      <c r="P17" s="242"/>
      <c r="Q17" s="242"/>
    </row>
    <row r="18" customFormat="false" ht="15" hidden="false" customHeight="true" outlineLevel="0" collapsed="false">
      <c r="A18" s="85" t="n">
        <v>11</v>
      </c>
      <c r="B18" s="37" t="s">
        <v>492</v>
      </c>
      <c r="C18" s="37" t="s">
        <v>493</v>
      </c>
      <c r="D18" s="85"/>
      <c r="E18" s="86"/>
      <c r="F18" s="88"/>
      <c r="G18" s="86"/>
      <c r="H18" s="87"/>
      <c r="I18" s="87"/>
      <c r="J18" s="89"/>
      <c r="K18" s="33" t="str">
        <f aca="false">IFERROR(AVERAGE(E18:J18),"")</f>
        <v/>
      </c>
      <c r="L18" s="84" t="str">
        <f aca="false">IF(E18&lt;&gt;"",IF(COUNTIF(E18:J18,"&lt;3"),"Не успевает","Успевает"),"")</f>
        <v/>
      </c>
      <c r="M18" s="241" t="str">
        <f aca="false">IF(D18&lt;&gt;"",(30*(set!B$5)-D18)/(30*(set!B$5))*100,"")</f>
        <v/>
      </c>
      <c r="N18" s="85" t="str">
        <f aca="false" t="array" ref="N18:N18">IF(E18&lt;&gt;"",IF(K18&lt;1.85,"Выговор",IF(K18=1.85,"Выговор",IF(AND(K18&gt;1.85,K18&lt;3),"Предупреждение",IF(AND(K18&gt;3,K18&lt;4.65),"Нормально",IF(AND(K18&gt;4.65,K18&lt;5.1,E18:J18&gt;=4),"Благодарность","Нормально"))))),"")</f>
        <v/>
      </c>
      <c r="O18" s="118" t="n">
        <f aca="false">COUNTIF(E18:J18,2)+COUNTIF(E18:J18,1)+COUNTIF(E18:J18,0)</f>
        <v>0</v>
      </c>
      <c r="P18" s="242"/>
      <c r="Q18" s="242"/>
    </row>
    <row r="19" customFormat="false" ht="15" hidden="false" customHeight="true" outlineLevel="0" collapsed="false">
      <c r="A19" s="37" t="n">
        <v>12</v>
      </c>
      <c r="B19" s="37" t="s">
        <v>494</v>
      </c>
      <c r="C19" s="37" t="s">
        <v>495</v>
      </c>
      <c r="D19" s="85"/>
      <c r="E19" s="86"/>
      <c r="F19" s="88"/>
      <c r="G19" s="86"/>
      <c r="H19" s="87"/>
      <c r="I19" s="87"/>
      <c r="J19" s="89"/>
      <c r="K19" s="33" t="str">
        <f aca="false">IFERROR(AVERAGE(E19:J19),"")</f>
        <v/>
      </c>
      <c r="L19" s="84" t="str">
        <f aca="false">IF(E19&lt;&gt;"",IF(COUNTIF(E19:J19,"&lt;3"),"Не успевает","Успевает"),"")</f>
        <v/>
      </c>
      <c r="M19" s="241" t="str">
        <f aca="false">IF(D19&lt;&gt;"",(30*(set!B$5)-D19)/(30*(set!B$5))*100,"")</f>
        <v/>
      </c>
      <c r="N19" s="85" t="str">
        <f aca="false" t="array" ref="N19:N19">IF(E19&lt;&gt;"",IF(K19&lt;1.85,"Выговор",IF(K19=1.85,"Выговор",IF(AND(K19&gt;1.85,K19&lt;3),"Предупреждение",IF(AND(K19&gt;3,K19&lt;4.65),"Нормально",IF(AND(K19&gt;4.65,K19&lt;5.1,E19:J19&gt;=4),"Благодарность","Нормально"))))),"")</f>
        <v/>
      </c>
      <c r="O19" s="118" t="n">
        <f aca="false">COUNTIF(E19:J19,2)+COUNTIF(E19:J19,1)+COUNTIF(E19:J19,0)</f>
        <v>0</v>
      </c>
      <c r="P19" s="242"/>
      <c r="Q19" s="242"/>
    </row>
    <row r="20" customFormat="false" ht="15" hidden="false" customHeight="true" outlineLevel="0" collapsed="false">
      <c r="A20" s="85" t="n">
        <v>13</v>
      </c>
      <c r="B20" s="37" t="s">
        <v>496</v>
      </c>
      <c r="C20" s="37" t="s">
        <v>497</v>
      </c>
      <c r="D20" s="85"/>
      <c r="E20" s="86"/>
      <c r="F20" s="88"/>
      <c r="G20" s="86"/>
      <c r="H20" s="87"/>
      <c r="I20" s="87"/>
      <c r="J20" s="89"/>
      <c r="K20" s="33" t="str">
        <f aca="false">IFERROR(AVERAGE(E20:J20),"")</f>
        <v/>
      </c>
      <c r="L20" s="84" t="str">
        <f aca="false">IF(E20&lt;&gt;"",IF(COUNTIF(E20:J20,"&lt;3"),"Не успевает","Успевает"),"")</f>
        <v/>
      </c>
      <c r="M20" s="241" t="str">
        <f aca="false">IF(D20&lt;&gt;"",(30*(set!B$5)-D20)/(30*(set!B$5))*100,"")</f>
        <v/>
      </c>
      <c r="N20" s="85" t="str">
        <f aca="false" t="array" ref="N20:N20">IF(E20&lt;&gt;"",IF(K20&lt;1.85,"Выговор",IF(K20=1.85,"Выговор",IF(AND(K20&gt;1.85,K20&lt;3),"Предупреждение",IF(AND(K20&gt;3,K20&lt;4.65),"Нормально",IF(AND(K20&gt;4.65,K20&lt;5.1,E20:J20&gt;=4),"Благодарность","Нормально"))))),"")</f>
        <v/>
      </c>
      <c r="O20" s="118" t="n">
        <f aca="false">COUNTIF(E20:J20,2)+COUNTIF(E20:J20,1)+COUNTIF(E20:J20,0)</f>
        <v>0</v>
      </c>
      <c r="P20" s="242"/>
      <c r="Q20" s="242"/>
    </row>
    <row r="21" customFormat="false" ht="15" hidden="false" customHeight="true" outlineLevel="0" collapsed="false">
      <c r="A21" s="0" t="s">
        <v>77</v>
      </c>
      <c r="D21" s="46"/>
      <c r="E21" s="229" t="e">
        <f aca="false">AVERAGE(E8:E20)</f>
        <v>#DIV/0!</v>
      </c>
      <c r="F21" s="229" t="e">
        <f aca="false">AVERAGE(F8:F20)</f>
        <v>#DIV/0!</v>
      </c>
      <c r="G21" s="229" t="e">
        <f aca="false">AVERAGE(G8:G20)</f>
        <v>#DIV/0!</v>
      </c>
      <c r="H21" s="229" t="e">
        <f aca="false">AVERAGE(H8:H20)</f>
        <v>#DIV/0!</v>
      </c>
      <c r="I21" s="229" t="e">
        <f aca="false">AVERAGE(I8:I20)</f>
        <v>#DIV/0!</v>
      </c>
      <c r="J21" s="229" t="e">
        <f aca="false">AVERAGE(J8:J20)</f>
        <v>#DIV/0!</v>
      </c>
      <c r="K21" s="48"/>
      <c r="L21" s="48"/>
      <c r="M21" s="48"/>
      <c r="N21" s="48"/>
      <c r="O21" s="48"/>
      <c r="P21" s="48"/>
    </row>
    <row r="22" customFormat="false" ht="15" hidden="false" customHeight="true" outlineLevel="0" collapsed="false">
      <c r="A22" s="0" t="s">
        <v>78</v>
      </c>
      <c r="D22" s="46"/>
      <c r="E22" s="49" t="e">
        <f aca="false">(COUNTIF(E8:E20,5)+COUNTIF(E8:E20,4)+COUNTIF(E8:E20,3))/$R$27*100</f>
        <v>#DIV/0!</v>
      </c>
      <c r="F22" s="49" t="e">
        <f aca="false">(COUNTIF(F8:F20,5)+COUNTIF(F8:F20,4)+COUNTIF(F8:F20,3))/$R$27*100</f>
        <v>#DIV/0!</v>
      </c>
      <c r="G22" s="49" t="e">
        <f aca="false">(COUNTIF(G8:G20,5)+COUNTIF(G8:G20,4)+COUNTIF(G8:G20,3))/$R$27*100</f>
        <v>#DIV/0!</v>
      </c>
      <c r="H22" s="49" t="e">
        <f aca="false">(COUNTIF(H8:H20,5)+COUNTIF(H8:H20,4)+COUNTIF(H8:H20,3))/$R$27*100</f>
        <v>#DIV/0!</v>
      </c>
      <c r="I22" s="49" t="e">
        <f aca="false">(COUNTIF(I8:I20,5)+COUNTIF(I8:I20,4)+COUNTIF(I8:I20,3))/$R$27*100</f>
        <v>#DIV/0!</v>
      </c>
      <c r="J22" s="49" t="e">
        <f aca="false">(COUNTIF(J8:J20,5)+COUNTIF(J8:J20,4)+COUNTIF(J8:J20,3))/$R$27*100</f>
        <v>#DIV/0!</v>
      </c>
      <c r="K22" s="48"/>
      <c r="L22" s="48"/>
      <c r="M22" s="48"/>
      <c r="N22" s="48"/>
      <c r="O22" s="48"/>
      <c r="P22" s="48"/>
    </row>
    <row r="23" customFormat="false" ht="15" hidden="false" customHeight="true" outlineLevel="0" collapsed="false">
      <c r="D23" s="46"/>
      <c r="E23" s="229"/>
      <c r="F23" s="229"/>
      <c r="G23" s="229"/>
      <c r="H23" s="229"/>
      <c r="I23" s="229"/>
      <c r="J23" s="229"/>
      <c r="K23" s="48"/>
      <c r="L23" s="48"/>
      <c r="M23" s="48"/>
      <c r="N23" s="48"/>
      <c r="O23" s="48"/>
      <c r="P23" s="48"/>
    </row>
    <row r="24" customFormat="false" ht="15" hidden="false" customHeight="true" outlineLevel="0" collapsed="false"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</row>
    <row r="25" customFormat="false" ht="15" hidden="false" customHeight="true" outlineLevel="0" collapsed="false">
      <c r="B25" s="50"/>
      <c r="C25" s="50" t="s">
        <v>8</v>
      </c>
      <c r="D25" s="51" t="str">
        <f aca="false">IFERROR(AVERAGE(K8:K20),"")</f>
        <v/>
      </c>
      <c r="E25" s="52" t="s">
        <v>9</v>
      </c>
      <c r="F25" s="52"/>
      <c r="G25" s="53" t="str">
        <f aca="false">IFERROR(COUNTIF(L8:L20,"Успевает")/R27*100,"")</f>
        <v/>
      </c>
      <c r="H25" s="54" t="s">
        <v>79</v>
      </c>
      <c r="I25" s="54"/>
      <c r="J25" s="55" t="str">
        <f aca="false">IFERROR(AVERAGE(M8:M20),"")</f>
        <v/>
      </c>
      <c r="K25" s="52"/>
      <c r="L25" s="52"/>
      <c r="M25" s="52"/>
      <c r="N25" s="158"/>
      <c r="O25" s="48"/>
      <c r="P25" s="48"/>
    </row>
    <row r="26" customFormat="false" ht="15" hidden="false" customHeight="true" outlineLevel="0" collapsed="false">
      <c r="B26" s="50"/>
      <c r="C26" s="50"/>
      <c r="D26" s="50"/>
      <c r="E26" s="56"/>
      <c r="F26" s="56"/>
      <c r="G26" s="56"/>
      <c r="H26" s="56"/>
      <c r="I26" s="56"/>
      <c r="J26" s="56"/>
      <c r="K26" s="56"/>
      <c r="L26" s="56"/>
      <c r="M26" s="56"/>
    </row>
    <row r="27" customFormat="false" ht="15" hidden="false" customHeight="true" outlineLevel="0" collapsed="false">
      <c r="A27" s="50"/>
      <c r="B27" s="61" t="s">
        <v>81</v>
      </c>
      <c r="C27" s="61"/>
      <c r="D27" s="61"/>
      <c r="E27" s="61"/>
      <c r="F27" s="61"/>
      <c r="G27" s="61"/>
      <c r="H27" s="61"/>
      <c r="I27" s="61"/>
      <c r="J27" s="61"/>
      <c r="K27" s="243" t="s">
        <v>498</v>
      </c>
      <c r="L27" s="243"/>
      <c r="M27" s="243"/>
      <c r="O27" s="57" t="s">
        <v>80</v>
      </c>
      <c r="P27" s="57"/>
      <c r="Q27" s="57"/>
      <c r="R27" s="58" t="n">
        <f aca="false">SUM(R28:R29)</f>
        <v>0</v>
      </c>
    </row>
    <row r="28" customFormat="false" ht="15" hidden="false" customHeight="true" outlineLevel="0" collapsed="false">
      <c r="A28" s="50"/>
      <c r="B28" s="65" t="str">
        <f aca="false">$E$6</f>
        <v> Микро- и нанотехнологии</v>
      </c>
      <c r="C28" s="65"/>
      <c r="D28" s="65"/>
      <c r="E28" s="65"/>
      <c r="F28" s="65"/>
      <c r="G28" s="65"/>
      <c r="H28" s="65"/>
      <c r="I28" s="65"/>
      <c r="J28" s="65"/>
      <c r="K28" s="66"/>
      <c r="L28" s="66"/>
      <c r="M28" s="66"/>
      <c r="O28" s="57" t="s">
        <v>83</v>
      </c>
      <c r="P28" s="57"/>
      <c r="Q28" s="57"/>
      <c r="R28" s="58" t="n">
        <f aca="false">COUNTIF(L8:L20,"Успевает")</f>
        <v>0</v>
      </c>
    </row>
    <row r="29" customFormat="false" ht="15" hidden="false" customHeight="true" outlineLevel="0" collapsed="false">
      <c r="A29" s="50"/>
      <c r="B29" s="140" t="str">
        <f aca="false">$F$6</f>
        <v> Управление сложными техническими системами
</v>
      </c>
      <c r="C29" s="140"/>
      <c r="D29" s="140"/>
      <c r="E29" s="140"/>
      <c r="F29" s="140"/>
      <c r="G29" s="140"/>
      <c r="H29" s="140"/>
      <c r="I29" s="140"/>
      <c r="J29" s="140"/>
      <c r="K29" s="66"/>
      <c r="L29" s="66"/>
      <c r="M29" s="66"/>
      <c r="O29" s="98" t="s">
        <v>84</v>
      </c>
      <c r="P29" s="98"/>
      <c r="Q29" s="98"/>
      <c r="R29" s="58" t="n">
        <f aca="false">COUNTIF(L8:L20,"Не успевает")</f>
        <v>0</v>
      </c>
    </row>
    <row r="30" customFormat="false" ht="15" hidden="false" customHeight="true" outlineLevel="0" collapsed="false">
      <c r="A30" s="50"/>
      <c r="B30" s="65" t="str">
        <f aca="false">$G$6</f>
        <v>Иностранный язык</v>
      </c>
      <c r="C30" s="65"/>
      <c r="D30" s="65"/>
      <c r="E30" s="65"/>
      <c r="F30" s="65"/>
      <c r="G30" s="65"/>
      <c r="H30" s="65"/>
      <c r="I30" s="65"/>
      <c r="J30" s="65"/>
      <c r="K30" s="66"/>
      <c r="L30" s="66"/>
      <c r="M30" s="66"/>
      <c r="O30" s="98" t="s">
        <v>85</v>
      </c>
      <c r="P30" s="98"/>
      <c r="Q30" s="98"/>
      <c r="R30" s="58" t="n">
        <f aca="false">COUNTIF(N8:N20,"Благодарность")</f>
        <v>0</v>
      </c>
    </row>
    <row r="31" customFormat="false" ht="15" hidden="false" customHeight="true" outlineLevel="0" collapsed="false">
      <c r="A31" s="50"/>
      <c r="B31" s="65" t="str">
        <f aca="false">$H$6</f>
        <v>Научно-исследовательская работа</v>
      </c>
      <c r="C31" s="65"/>
      <c r="D31" s="65"/>
      <c r="E31" s="65"/>
      <c r="F31" s="65"/>
      <c r="G31" s="65"/>
      <c r="H31" s="65"/>
      <c r="I31" s="65"/>
      <c r="J31" s="65"/>
      <c r="K31" s="66"/>
      <c r="L31" s="66"/>
      <c r="M31" s="66"/>
      <c r="O31" s="98" t="s">
        <v>86</v>
      </c>
      <c r="P31" s="98"/>
      <c r="Q31" s="98"/>
      <c r="R31" s="58" t="n">
        <f aca="false">COUNTIF(N8:N20,"Нормально")</f>
        <v>0</v>
      </c>
    </row>
    <row r="32" customFormat="false" ht="15" hidden="false" customHeight="true" outlineLevel="0" collapsed="false">
      <c r="A32" s="50"/>
      <c r="B32" s="65" t="str">
        <f aca="false">$I$6</f>
        <v>Управление персоналом </v>
      </c>
      <c r="C32" s="65"/>
      <c r="D32" s="65"/>
      <c r="E32" s="65"/>
      <c r="F32" s="65"/>
      <c r="G32" s="65"/>
      <c r="H32" s="65"/>
      <c r="I32" s="65"/>
      <c r="J32" s="65"/>
      <c r="K32" s="66"/>
      <c r="L32" s="66"/>
      <c r="M32" s="66"/>
      <c r="O32" s="98" t="s">
        <v>87</v>
      </c>
      <c r="P32" s="98"/>
      <c r="Q32" s="98"/>
      <c r="R32" s="58" t="n">
        <f aca="false">COUNTIF(N8:N20,"Предупреждение")</f>
        <v>0</v>
      </c>
    </row>
    <row r="33" customFormat="false" ht="15" hidden="false" customHeight="true" outlineLevel="0" collapsed="false">
      <c r="A33" s="50"/>
      <c r="B33" s="65" t="str">
        <f aca="false">$J$6</f>
        <v> Эксплуатационная практика</v>
      </c>
      <c r="C33" s="65"/>
      <c r="D33" s="65"/>
      <c r="E33" s="65"/>
      <c r="F33" s="65"/>
      <c r="G33" s="65"/>
      <c r="H33" s="65"/>
      <c r="I33" s="65"/>
      <c r="J33" s="65"/>
      <c r="K33" s="66"/>
      <c r="L33" s="66"/>
      <c r="M33" s="66"/>
      <c r="O33" s="98" t="s">
        <v>88</v>
      </c>
      <c r="P33" s="98"/>
      <c r="Q33" s="98"/>
      <c r="R33" s="58" t="n">
        <f aca="false">COUNTIF(N8:N20,"Выговор")</f>
        <v>0</v>
      </c>
    </row>
    <row r="34" customFormat="false" ht="15" hidden="false" customHeight="true" outlineLevel="0" collapsed="false">
      <c r="A34" s="50"/>
      <c r="B34" s="139"/>
      <c r="C34" s="139"/>
      <c r="D34" s="139"/>
      <c r="E34" s="139"/>
      <c r="F34" s="139"/>
      <c r="G34" s="139"/>
      <c r="H34" s="139"/>
      <c r="I34" s="139"/>
      <c r="J34" s="139"/>
      <c r="K34" s="50"/>
      <c r="L34" s="50"/>
      <c r="M34" s="50"/>
      <c r="O34" s="244" t="s">
        <v>464</v>
      </c>
      <c r="P34" s="244"/>
      <c r="Q34" s="244"/>
      <c r="R34" s="186" t="n">
        <f aca="false">SUM(O8:O20)</f>
        <v>0</v>
      </c>
    </row>
    <row r="35" customFormat="false" ht="15" hidden="false" customHeight="true" outlineLevel="0" collapsed="false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48"/>
      <c r="O35" s="48"/>
      <c r="P35" s="48"/>
    </row>
    <row r="36" customFormat="false" ht="15" hidden="false" customHeight="true" outlineLevel="0" collapsed="false">
      <c r="A36" s="50"/>
      <c r="B36" s="73" t="s">
        <v>405</v>
      </c>
      <c r="C36" s="187" t="s">
        <v>499</v>
      </c>
      <c r="D36" s="187"/>
      <c r="E36" s="67"/>
      <c r="F36" s="52" t="s">
        <v>369</v>
      </c>
      <c r="G36" s="52" t="s">
        <v>500</v>
      </c>
      <c r="H36" s="52"/>
      <c r="I36" s="52"/>
      <c r="J36" s="52"/>
      <c r="K36" s="52"/>
      <c r="L36" s="52"/>
      <c r="M36" s="50"/>
      <c r="N36" s="48"/>
      <c r="O36" s="48"/>
      <c r="P36" s="48"/>
    </row>
    <row r="37" customFormat="false" ht="15" hidden="false" customHeight="true" outlineLevel="0" collapsed="false">
      <c r="A37" s="50"/>
      <c r="B37" s="52"/>
      <c r="C37" s="52"/>
      <c r="D37" s="52"/>
      <c r="E37" s="52"/>
      <c r="F37" s="52"/>
      <c r="G37" s="52"/>
      <c r="H37" s="52"/>
      <c r="I37" s="52"/>
      <c r="J37" s="50"/>
      <c r="K37" s="50"/>
      <c r="L37" s="50"/>
      <c r="M37" s="50"/>
      <c r="N37" s="48"/>
      <c r="O37" s="48"/>
      <c r="P37" s="48"/>
    </row>
    <row r="38" customFormat="false" ht="15" hidden="false" customHeight="true" outlineLevel="0" collapsed="false">
      <c r="A38" s="50"/>
      <c r="B38" s="50" t="s">
        <v>95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48"/>
      <c r="O38" s="48"/>
      <c r="P38" s="48"/>
    </row>
    <row r="39" customFormat="false" ht="15" hidden="false" customHeight="true" outlineLevel="0" collapsed="false">
      <c r="A39" s="50"/>
      <c r="B39" s="50" t="s">
        <v>96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48"/>
      <c r="O39" s="48"/>
      <c r="P39" s="48"/>
    </row>
    <row r="40" customFormat="false" ht="15" hidden="false" customHeight="true" outlineLevel="0" collapsed="false">
      <c r="A40" s="50"/>
      <c r="B40" s="50" t="s">
        <v>97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48"/>
      <c r="O40" s="48"/>
      <c r="P40" s="48"/>
    </row>
    <row r="41" customFormat="false" ht="15" hidden="false" customHeight="true" outlineLevel="0" collapsed="false">
      <c r="A41" s="50"/>
      <c r="B41" s="50" t="s">
        <v>98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48"/>
      <c r="O41" s="48"/>
      <c r="P41" s="48"/>
    </row>
    <row r="42" customFormat="false" ht="15" hidden="false" customHeight="true" outlineLevel="0" collapsed="false">
      <c r="A42" s="50"/>
      <c r="B42" s="50" t="s">
        <v>99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48"/>
      <c r="O42" s="48"/>
      <c r="P42" s="48"/>
    </row>
    <row r="43" customFormat="false" ht="15" hidden="false" customHeight="true" outlineLevel="0" collapsed="false">
      <c r="A43" s="50"/>
      <c r="K43" s="50"/>
      <c r="L43" s="50"/>
      <c r="M43" s="50"/>
      <c r="P43" s="48"/>
    </row>
    <row r="44" customFormat="false" ht="15" hidden="false" customHeight="true" outlineLevel="0" collapsed="false">
      <c r="A44" s="50"/>
      <c r="K44" s="50"/>
      <c r="L44" s="50"/>
      <c r="M44" s="50"/>
      <c r="P44" s="48"/>
    </row>
    <row r="45" customFormat="false" ht="15.75" hidden="false" customHeight="false" outlineLevel="0" collapsed="false">
      <c r="A45" s="50"/>
      <c r="K45" s="50"/>
      <c r="L45" s="50"/>
      <c r="M45" s="50"/>
      <c r="P45" s="48"/>
    </row>
  </sheetData>
  <mergeCells count="36">
    <mergeCell ref="E1:H1"/>
    <mergeCell ref="A5:A7"/>
    <mergeCell ref="B5:B7"/>
    <mergeCell ref="C5:C7"/>
    <mergeCell ref="D5:D7"/>
    <mergeCell ref="E5:F5"/>
    <mergeCell ref="G5:J5"/>
    <mergeCell ref="K5:K7"/>
    <mergeCell ref="L5:L7"/>
    <mergeCell ref="M5:M7"/>
    <mergeCell ref="N5:N7"/>
    <mergeCell ref="O5:O7"/>
    <mergeCell ref="H25:I25"/>
    <mergeCell ref="B27:J27"/>
    <mergeCell ref="K27:M27"/>
    <mergeCell ref="O27:Q27"/>
    <mergeCell ref="B28:J28"/>
    <mergeCell ref="K28:M28"/>
    <mergeCell ref="O28:Q28"/>
    <mergeCell ref="B29:J29"/>
    <mergeCell ref="K29:M29"/>
    <mergeCell ref="O29:Q29"/>
    <mergeCell ref="B30:J30"/>
    <mergeCell ref="K30:M30"/>
    <mergeCell ref="O30:Q30"/>
    <mergeCell ref="B31:J31"/>
    <mergeCell ref="K31:M31"/>
    <mergeCell ref="O31:Q31"/>
    <mergeCell ref="B32:J32"/>
    <mergeCell ref="K32:M32"/>
    <mergeCell ref="O32:Q32"/>
    <mergeCell ref="B33:J33"/>
    <mergeCell ref="K33:M33"/>
    <mergeCell ref="O33:Q33"/>
    <mergeCell ref="O34:Q34"/>
    <mergeCell ref="C36:D36"/>
  </mergeCells>
  <conditionalFormatting sqref="I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M23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9:H2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H8 E9:G20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9:I2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J20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8:K20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9:K20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7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43"/>
    <col collapsed="false" customWidth="true" hidden="false" outlineLevel="0" max="2" min="2" style="0" width="10.57"/>
    <col collapsed="false" customWidth="true" hidden="false" outlineLevel="0" max="3" min="3" style="0" width="18.57"/>
    <col collapsed="false" customWidth="true" hidden="false" outlineLevel="0" max="5" min="5" style="0" width="11.57"/>
    <col collapsed="false" customWidth="true" hidden="false" outlineLevel="0" max="6" min="6" style="45" width="11.57"/>
    <col collapsed="false" customWidth="false" hidden="false" outlineLevel="0" max="10" min="9" style="45" width="9.14"/>
    <col collapsed="false" customWidth="true" hidden="false" outlineLevel="0" max="14" min="14" style="0" width="10.85"/>
    <col collapsed="false" customWidth="true" hidden="false" outlineLevel="0" max="15" min="15" style="0" width="9.57"/>
    <col collapsed="false" customWidth="true" hidden="false" outlineLevel="0" max="16" min="16" style="0" width="5.57"/>
    <col collapsed="false" customWidth="true" hidden="false" outlineLevel="0" max="17" min="17" style="0" width="8.86"/>
    <col collapsed="false" customWidth="true" hidden="false" outlineLevel="0" max="18" min="18" style="0" width="7.86"/>
    <col collapsed="false" customWidth="true" hidden="false" outlineLevel="0" max="19" min="19" style="0" width="7"/>
    <col collapsed="false" customWidth="true" hidden="false" outlineLevel="0" max="21" min="20" style="0" width="3.86"/>
    <col collapsed="false" customWidth="true" hidden="false" outlineLevel="0" max="22" min="22" style="0" width="3.57"/>
    <col collapsed="false" customWidth="true" hidden="false" outlineLevel="0" max="23" min="23" style="0" width="3.42"/>
    <col collapsed="false" customWidth="true" hidden="false" outlineLevel="0" max="24" min="24" style="0" width="4.29"/>
    <col collapsed="false" customWidth="true" hidden="false" outlineLevel="0" max="25" min="25" style="0" width="4.57"/>
  </cols>
  <sheetData>
    <row r="1" customFormat="false" ht="19.7" hidden="false" customHeight="false" outlineLevel="0" collapsed="false">
      <c r="E1" s="3"/>
      <c r="F1" s="3"/>
      <c r="G1" s="3"/>
      <c r="H1" s="3" t="s">
        <v>0</v>
      </c>
      <c r="I1" s="3"/>
      <c r="J1" s="3"/>
      <c r="K1" s="3"/>
      <c r="L1" s="2" t="n">
        <f aca="false">set!B1</f>
        <v>2</v>
      </c>
    </row>
    <row r="2" customFormat="false" ht="15" hidden="false" customHeight="false" outlineLevel="0" collapsed="false">
      <c r="L2" s="5" t="s">
        <v>501</v>
      </c>
      <c r="M2" s="5"/>
      <c r="N2" s="146" t="n">
        <f aca="false">set!B4</f>
        <v>45608</v>
      </c>
      <c r="O2" s="72"/>
      <c r="P2" s="72"/>
      <c r="Q2" s="72"/>
      <c r="R2" s="72"/>
      <c r="S2" s="72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ИУК1-31М факультета ИУК МГТУ им. Н.Э. Баумана"</f>
        <v>Успеваемость студентов за 1 семестр 24/25 учебного года по группе ИУК1-31М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21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 t="s">
        <v>7</v>
      </c>
      <c r="I5" s="11"/>
      <c r="J5" s="11"/>
      <c r="K5" s="11"/>
      <c r="L5" s="12" t="s">
        <v>8</v>
      </c>
      <c r="M5" s="13" t="s">
        <v>9</v>
      </c>
      <c r="N5" s="13" t="s">
        <v>10</v>
      </c>
      <c r="O5" s="14" t="s">
        <v>11</v>
      </c>
      <c r="P5" s="14" t="s">
        <v>12</v>
      </c>
    </row>
    <row r="6" customFormat="false" ht="108" hidden="false" customHeight="true" outlineLevel="0" collapsed="false">
      <c r="A6" s="8"/>
      <c r="B6" s="8"/>
      <c r="C6" s="8"/>
      <c r="D6" s="9"/>
      <c r="E6" s="15" t="s">
        <v>502</v>
      </c>
      <c r="F6" s="163" t="s">
        <v>503</v>
      </c>
      <c r="G6" s="18" t="s">
        <v>504</v>
      </c>
      <c r="H6" s="15" t="s">
        <v>505</v>
      </c>
      <c r="I6" s="16" t="s">
        <v>506</v>
      </c>
      <c r="J6" s="16" t="s">
        <v>507</v>
      </c>
      <c r="K6" s="18" t="s">
        <v>508</v>
      </c>
      <c r="L6" s="12"/>
      <c r="M6" s="13"/>
      <c r="N6" s="13"/>
      <c r="O6" s="14"/>
      <c r="P6" s="14"/>
    </row>
    <row r="7" customFormat="false" ht="17.9" hidden="false" customHeight="false" outlineLevel="0" collapsed="false">
      <c r="A7" s="8"/>
      <c r="B7" s="8"/>
      <c r="C7" s="8"/>
      <c r="D7" s="9"/>
      <c r="E7" s="22" t="s">
        <v>171</v>
      </c>
      <c r="F7" s="164" t="s">
        <v>174</v>
      </c>
      <c r="G7" s="24" t="s">
        <v>509</v>
      </c>
      <c r="H7" s="22" t="s">
        <v>471</v>
      </c>
      <c r="I7" s="23" t="s">
        <v>510</v>
      </c>
      <c r="J7" s="23" t="s">
        <v>174</v>
      </c>
      <c r="K7" s="24" t="s">
        <v>300</v>
      </c>
      <c r="L7" s="12"/>
      <c r="M7" s="13"/>
      <c r="N7" s="13"/>
      <c r="O7" s="14"/>
      <c r="P7" s="14"/>
      <c r="Q7" s="240"/>
    </row>
    <row r="8" customFormat="false" ht="15" hidden="false" customHeight="false" outlineLevel="0" collapsed="false">
      <c r="A8" s="245" t="n">
        <v>1</v>
      </c>
      <c r="B8" s="25" t="s">
        <v>511</v>
      </c>
      <c r="C8" s="25" t="s">
        <v>512</v>
      </c>
      <c r="D8" s="246"/>
      <c r="E8" s="247"/>
      <c r="F8" s="248"/>
      <c r="G8" s="249"/>
      <c r="H8" s="247"/>
      <c r="I8" s="248"/>
      <c r="J8" s="248"/>
      <c r="K8" s="249"/>
      <c r="L8" s="154" t="str">
        <f aca="false">IFERROR(AVERAGE(E8:K8),"")</f>
        <v/>
      </c>
      <c r="M8" s="117" t="str">
        <f aca="false">IF(E8&lt;&gt;"",IF(COUNTIF(E8:K8,"&lt;3"),"Не успевает","Успевает"),"")</f>
        <v/>
      </c>
      <c r="N8" s="250" t="str">
        <f aca="false">IF(D8&lt;&gt;"",(30*(set!B$5)-D8)/(30*(set!B$5))*100,"")</f>
        <v/>
      </c>
      <c r="O8" s="85" t="str">
        <f aca="false" t="array" ref="O8:O8">IF(E8&lt;&gt;"",IF(L8&lt;1.85,"Выговор",IF(L8=1.85,"Выговор",IF(AND(L8&gt;1.85,L8&lt;3),"Предупреждение",IF(AND(L8&gt;3,L8&lt;4.65),"Нормально",IF(AND(L8&gt;4.65,L8&lt;5.1,E8:K8&gt;=4),"Благодарность","Нормально"))))),"")</f>
        <v/>
      </c>
      <c r="P8" s="118" t="n">
        <f aca="false">COUNTIF(E8:K8,2)+COUNTIF(E8:K8,1)+COUNTIF(E8:K8,0)</f>
        <v>0</v>
      </c>
      <c r="Q8" s="240"/>
    </row>
    <row r="9" s="45" customFormat="true" ht="15" hidden="false" customHeight="false" outlineLevel="0" collapsed="false">
      <c r="A9" s="251" t="n">
        <v>2</v>
      </c>
      <c r="B9" s="37" t="s">
        <v>513</v>
      </c>
      <c r="C9" s="37" t="s">
        <v>514</v>
      </c>
      <c r="D9" s="252"/>
      <c r="E9" s="253"/>
      <c r="F9" s="254"/>
      <c r="G9" s="255"/>
      <c r="H9" s="253"/>
      <c r="I9" s="254"/>
      <c r="J9" s="254"/>
      <c r="K9" s="255"/>
      <c r="L9" s="154" t="str">
        <f aca="false">IFERROR(AVERAGE(E9:K9),"")</f>
        <v/>
      </c>
      <c r="M9" s="117" t="str">
        <f aca="false">IF(E9&lt;&gt;"",IF(COUNTIF(E9:K9,"&lt;3"),"Не успевает","Успевает"),"")</f>
        <v/>
      </c>
      <c r="N9" s="250" t="str">
        <f aca="false">IF(D9&lt;&gt;"",(30*(set!B$5)-D9)/(30*(set!B$5))*100,"")</f>
        <v/>
      </c>
      <c r="O9" s="85" t="str">
        <f aca="false" t="array" ref="O9:O9">IF(E9&lt;&gt;"",IF(L9&lt;1.85,"Выговор",IF(L9=1.85,"Выговор",IF(AND(L9&gt;1.85,L9&lt;3),"Предупреждение",IF(AND(L9&gt;3,L9&lt;4.65),"Нормально",IF(AND(L9&gt;4.65,L9&lt;5.1,E9:K9&gt;=4),"Благодарность","Нормально"))))),"")</f>
        <v/>
      </c>
      <c r="P9" s="118" t="n">
        <f aca="false">COUNTIF(E9:K9,2)+COUNTIF(E9:K9,1)+COUNTIF(E9:K9,0)</f>
        <v>0</v>
      </c>
      <c r="Q9" s="240"/>
    </row>
    <row r="10" s="45" customFormat="true" ht="15" hidden="false" customHeight="false" outlineLevel="0" collapsed="false">
      <c r="A10" s="251" t="n">
        <v>3</v>
      </c>
      <c r="B10" s="37" t="s">
        <v>515</v>
      </c>
      <c r="C10" s="37" t="s">
        <v>516</v>
      </c>
      <c r="D10" s="252"/>
      <c r="E10" s="253"/>
      <c r="F10" s="254"/>
      <c r="G10" s="255"/>
      <c r="H10" s="253"/>
      <c r="I10" s="254"/>
      <c r="J10" s="254"/>
      <c r="K10" s="255"/>
      <c r="L10" s="154" t="str">
        <f aca="false">IFERROR(AVERAGE(E10:K10),"")</f>
        <v/>
      </c>
      <c r="M10" s="117" t="str">
        <f aca="false">IF(E10&lt;&gt;"",IF(COUNTIF(E10:K10,"&lt;3"),"Не успевает","Успевает"),"")</f>
        <v/>
      </c>
      <c r="N10" s="250" t="str">
        <f aca="false">IF(D10&lt;&gt;"",(30*(set!B$5)-D10)/(30*(set!B$5))*100,"")</f>
        <v/>
      </c>
      <c r="O10" s="85" t="str">
        <f aca="false" t="array" ref="O10:O10">IF(E10&lt;&gt;"",IF(L10&lt;1.85,"Выговор",IF(L10=1.85,"Выговор",IF(AND(L10&gt;1.85,L10&lt;3),"Предупреждение",IF(AND(L10&gt;3,L10&lt;4.65),"Нормально",IF(AND(L10&gt;4.65,L10&lt;5.1,E10:K10&gt;=4),"Благодарность","Нормально"))))),"")</f>
        <v/>
      </c>
      <c r="P10" s="118" t="n">
        <f aca="false">COUNTIF(E10:K10,2)+COUNTIF(E10:K10,1)+COUNTIF(E10:K10,0)</f>
        <v>0</v>
      </c>
      <c r="Q10" s="240"/>
    </row>
    <row r="11" s="45" customFormat="true" ht="15" hidden="false" customHeight="false" outlineLevel="0" collapsed="false">
      <c r="A11" s="251" t="n">
        <v>4</v>
      </c>
      <c r="B11" s="37" t="s">
        <v>517</v>
      </c>
      <c r="C11" s="37" t="s">
        <v>518</v>
      </c>
      <c r="D11" s="256"/>
      <c r="E11" s="257"/>
      <c r="F11" s="254"/>
      <c r="G11" s="258"/>
      <c r="H11" s="257"/>
      <c r="I11" s="254"/>
      <c r="J11" s="254"/>
      <c r="K11" s="258"/>
      <c r="L11" s="154" t="str">
        <f aca="false">IFERROR(AVERAGE(E11:K11),"")</f>
        <v/>
      </c>
      <c r="M11" s="117" t="str">
        <f aca="false">IF(E11&lt;&gt;"",IF(COUNTIF(E11:K11,"&lt;3"),"Не успевает","Успевает"),"")</f>
        <v/>
      </c>
      <c r="N11" s="250" t="str">
        <f aca="false">IF(D11&lt;&gt;"",(30*(set!B$5)-D11)/(30*(set!B$5))*100,"")</f>
        <v/>
      </c>
      <c r="O11" s="85" t="str">
        <f aca="false" t="array" ref="O11:O11">IF(E11&lt;&gt;"",IF(L11&lt;1.85,"Выговор",IF(L11=1.85,"Выговор",IF(AND(L11&gt;1.85,L11&lt;3),"Предупреждение",IF(AND(L11&gt;3,L11&lt;4.65),"Нормально",IF(AND(L11&gt;4.65,L11&lt;5.1,E11:K11&gt;=4),"Благодарность","Нормально"))))),"")</f>
        <v/>
      </c>
      <c r="P11" s="118" t="n">
        <f aca="false">COUNTIF(E11:K11,2)+COUNTIF(E11:K11,1)+COUNTIF(E11:K11,0)</f>
        <v>0</v>
      </c>
      <c r="Q11" s="240"/>
    </row>
    <row r="12" s="45" customFormat="true" ht="15" hidden="false" customHeight="false" outlineLevel="0" collapsed="false">
      <c r="A12" s="251" t="n">
        <v>5</v>
      </c>
      <c r="B12" s="37" t="s">
        <v>519</v>
      </c>
      <c r="C12" s="37" t="s">
        <v>520</v>
      </c>
      <c r="D12" s="259"/>
      <c r="E12" s="257"/>
      <c r="F12" s="254"/>
      <c r="G12" s="258"/>
      <c r="H12" s="257"/>
      <c r="I12" s="254"/>
      <c r="J12" s="254"/>
      <c r="K12" s="258"/>
      <c r="L12" s="154" t="str">
        <f aca="false">IFERROR(AVERAGE(E12:K12),"")</f>
        <v/>
      </c>
      <c r="M12" s="117" t="str">
        <f aca="false">IF(E12&lt;&gt;"",IF(COUNTIF(E12:K12,"&lt;3"),"Не успевает","Успевает"),"")</f>
        <v/>
      </c>
      <c r="N12" s="250" t="str">
        <f aca="false">IF(D12&lt;&gt;"",(30*(set!B$5)-D12)/(30*(set!B$5))*100,"")</f>
        <v/>
      </c>
      <c r="O12" s="85" t="str">
        <f aca="false" t="array" ref="O12:O12">IF(E12&lt;&gt;"",IF(L12&lt;1.85,"Выговор",IF(L12=1.85,"Выговор",IF(AND(L12&gt;1.85,L12&lt;3),"Предупреждение",IF(AND(L12&gt;3,L12&lt;4.65),"Нормально",IF(AND(L12&gt;4.65,L12&lt;5.1,E12:K12&gt;=4),"Благодарность","Нормально"))))),"")</f>
        <v/>
      </c>
      <c r="P12" s="118" t="n">
        <f aca="false">COUNTIF(E12:K12,2)+COUNTIF(E12:K12,1)+COUNTIF(E12:K12,0)</f>
        <v>0</v>
      </c>
      <c r="Q12" s="240"/>
    </row>
    <row r="13" s="45" customFormat="true" ht="15" hidden="false" customHeight="false" outlineLevel="0" collapsed="false">
      <c r="A13" s="251" t="n">
        <v>6</v>
      </c>
      <c r="B13" s="37" t="s">
        <v>521</v>
      </c>
      <c r="C13" s="37" t="s">
        <v>522</v>
      </c>
      <c r="D13" s="259"/>
      <c r="E13" s="257"/>
      <c r="F13" s="254"/>
      <c r="G13" s="258"/>
      <c r="H13" s="257"/>
      <c r="I13" s="254"/>
      <c r="J13" s="254"/>
      <c r="K13" s="258"/>
      <c r="L13" s="154" t="str">
        <f aca="false">IFERROR(AVERAGE(E13:K13),"")</f>
        <v/>
      </c>
      <c r="M13" s="117" t="str">
        <f aca="false">IF(E13&lt;&gt;"",IF(COUNTIF(E13:K13,"&lt;3"),"Не успевает","Успевает"),"")</f>
        <v/>
      </c>
      <c r="N13" s="250" t="str">
        <f aca="false">IF(D13&lt;&gt;"",(30*(set!B$5)-D13)/(30*(set!B$5))*100,"")</f>
        <v/>
      </c>
      <c r="O13" s="85" t="str">
        <f aca="false" t="array" ref="O13:O13">IF(E13&lt;&gt;"",IF(L13&lt;1.85,"Выговор",IF(L13=1.85,"Выговор",IF(AND(L13&gt;1.85,L13&lt;3),"Предупреждение",IF(AND(L13&gt;3,L13&lt;4.65),"Нормально",IF(AND(L13&gt;4.65,L13&lt;5.1,E13:K13&gt;=4),"Благодарность","Нормально"))))),"")</f>
        <v/>
      </c>
      <c r="P13" s="118" t="n">
        <f aca="false">COUNTIF(E13:K13,2)+COUNTIF(E13:K13,1)+COUNTIF(E13:K13,0)</f>
        <v>0</v>
      </c>
      <c r="Q13" s="240"/>
    </row>
    <row r="14" s="45" customFormat="true" ht="15" hidden="false" customHeight="false" outlineLevel="0" collapsed="false">
      <c r="A14" s="251" t="n">
        <v>7</v>
      </c>
      <c r="B14" s="37" t="s">
        <v>523</v>
      </c>
      <c r="C14" s="37" t="s">
        <v>524</v>
      </c>
      <c r="D14" s="259"/>
      <c r="E14" s="257"/>
      <c r="F14" s="254"/>
      <c r="G14" s="258"/>
      <c r="H14" s="257"/>
      <c r="I14" s="254"/>
      <c r="J14" s="254"/>
      <c r="K14" s="258"/>
      <c r="L14" s="154" t="str">
        <f aca="false">IFERROR(AVERAGE(E14:K14),"")</f>
        <v/>
      </c>
      <c r="M14" s="117" t="str">
        <f aca="false">IF(E14&lt;&gt;"",IF(COUNTIF(E14:K14,"&lt;3"),"Не успевает","Успевает"),"")</f>
        <v/>
      </c>
      <c r="N14" s="250" t="str">
        <f aca="false">IF(D14&lt;&gt;"",(30*(set!B$5)-D14)/(30*(set!B$5))*100,"")</f>
        <v/>
      </c>
      <c r="O14" s="85" t="str">
        <f aca="false" t="array" ref="O14:O14">IF(E14&lt;&gt;"",IF(L14&lt;1.85,"Выговор",IF(L14=1.85,"Выговор",IF(AND(L14&gt;1.85,L14&lt;3),"Предупреждение",IF(AND(L14&gt;3,L14&lt;4.65),"Нормально",IF(AND(L14&gt;4.65,L14&lt;5.1,E14:K14&gt;=4),"Благодарность","Нормально"))))),"")</f>
        <v/>
      </c>
      <c r="P14" s="118" t="n">
        <f aca="false">COUNTIF(E14:K14,2)+COUNTIF(E14:K14,1)+COUNTIF(E14:K14,0)</f>
        <v>0</v>
      </c>
      <c r="Q14" s="240"/>
    </row>
    <row r="15" s="45" customFormat="true" ht="15" hidden="false" customHeight="false" outlineLevel="0" collapsed="false">
      <c r="A15" s="251" t="n">
        <v>8</v>
      </c>
      <c r="B15" s="37" t="s">
        <v>525</v>
      </c>
      <c r="C15" s="37" t="s">
        <v>526</v>
      </c>
      <c r="D15" s="252"/>
      <c r="E15" s="253"/>
      <c r="F15" s="254"/>
      <c r="G15" s="255"/>
      <c r="H15" s="253"/>
      <c r="I15" s="254"/>
      <c r="J15" s="254"/>
      <c r="K15" s="255"/>
      <c r="L15" s="154" t="str">
        <f aca="false">IFERROR(AVERAGE(E15:K15),"")</f>
        <v/>
      </c>
      <c r="M15" s="117" t="str">
        <f aca="false">IF(E15&lt;&gt;"",IF(COUNTIF(E15:K15,"&lt;3"),"Не успевает","Успевает"),"")</f>
        <v/>
      </c>
      <c r="N15" s="250" t="str">
        <f aca="false">IF(D15&lt;&gt;"",(30*(set!B$5)-D15)/(30*(set!B$5))*100,"")</f>
        <v/>
      </c>
      <c r="O15" s="85" t="str">
        <f aca="false" t="array" ref="O15:O15">IF(E15&lt;&gt;"",IF(L15&lt;1.85,"Выговор",IF(L15=1.85,"Выговор",IF(AND(L15&gt;1.85,L15&lt;3),"Предупреждение",IF(AND(L15&gt;3,L15&lt;4.65),"Нормально",IF(AND(L15&gt;4.65,L15&lt;5.1,E15:K15&gt;=4),"Благодарность","Нормально"))))),"")</f>
        <v/>
      </c>
      <c r="P15" s="118" t="n">
        <f aca="false">COUNTIF(E15:K15,2)+COUNTIF(E15:K15,1)+COUNTIF(E15:K15,0)</f>
        <v>0</v>
      </c>
      <c r="Q15" s="240"/>
    </row>
    <row r="16" customFormat="false" ht="15" hidden="false" customHeight="true" outlineLevel="0" collapsed="false">
      <c r="A16" s="37" t="n">
        <v>9</v>
      </c>
      <c r="B16" s="37" t="s">
        <v>527</v>
      </c>
      <c r="C16" s="37" t="s">
        <v>528</v>
      </c>
      <c r="D16" s="256"/>
      <c r="E16" s="257"/>
      <c r="F16" s="254"/>
      <c r="G16" s="258"/>
      <c r="H16" s="257"/>
      <c r="I16" s="254"/>
      <c r="J16" s="254"/>
      <c r="K16" s="258"/>
      <c r="L16" s="154" t="str">
        <f aca="false">IFERROR(AVERAGE(E16:K16),"")</f>
        <v/>
      </c>
      <c r="M16" s="117" t="str">
        <f aca="false">IF(E16&lt;&gt;"",IF(COUNTIF(E16:K16,"&lt;3"),"Не успевает","Успевает"),"")</f>
        <v/>
      </c>
      <c r="N16" s="250" t="str">
        <f aca="false">IF(D16&lt;&gt;"",(30*(set!B$5)-D16)/(30*(set!B$5))*100,"")</f>
        <v/>
      </c>
      <c r="O16" s="85" t="str">
        <f aca="false" t="array" ref="O16:O16">IF(E16&lt;&gt;"",IF(L16&lt;1.85,"Выговор",IF(L16=1.85,"Выговор",IF(AND(L16&gt;1.85,L16&lt;3),"Предупреждение",IF(AND(L16&gt;3,L16&lt;4.65),"Нормально",IF(AND(L16&gt;4.65,L16&lt;5.1,E16:K16&gt;=4),"Благодарность","Нормально"))))),"")</f>
        <v/>
      </c>
      <c r="P16" s="118" t="n">
        <f aca="false">COUNTIF(E16:K16,2)+COUNTIF(E16:K16,1)+COUNTIF(E16:K16,0)</f>
        <v>0</v>
      </c>
      <c r="Q16" s="242"/>
    </row>
    <row r="17" customFormat="false" ht="15" hidden="false" customHeight="true" outlineLevel="0" collapsed="false">
      <c r="A17" s="251" t="n">
        <v>10</v>
      </c>
      <c r="B17" s="37" t="s">
        <v>529</v>
      </c>
      <c r="C17" s="37" t="s">
        <v>530</v>
      </c>
      <c r="D17" s="259"/>
      <c r="E17" s="257"/>
      <c r="F17" s="254"/>
      <c r="G17" s="258"/>
      <c r="H17" s="257"/>
      <c r="I17" s="254"/>
      <c r="J17" s="254"/>
      <c r="K17" s="258"/>
      <c r="L17" s="154" t="str">
        <f aca="false">IFERROR(AVERAGE(E17:K17),"")</f>
        <v/>
      </c>
      <c r="M17" s="117" t="str">
        <f aca="false">IF(E17&lt;&gt;"",IF(COUNTIF(E17:K17,"&lt;3"),"Не успевает","Успевает"),"")</f>
        <v/>
      </c>
      <c r="N17" s="250" t="str">
        <f aca="false">IF(D17&lt;&gt;"",(30*(set!B$5)-D17)/(30*(set!B$5))*100,"")</f>
        <v/>
      </c>
      <c r="O17" s="85" t="str">
        <f aca="false" t="array" ref="O17:O17">IF(E17&lt;&gt;"",IF(L17&lt;1.85,"Выговор",IF(L17=1.85,"Выговор",IF(AND(L17&gt;1.85,L17&lt;3),"Предупреждение",IF(AND(L17&gt;3,L17&lt;4.65),"Нормально",IF(AND(L17&gt;4.65,L17&lt;5.1,E17:K17&gt;=4),"Благодарность","Нормально"))))),"")</f>
        <v/>
      </c>
      <c r="P17" s="118" t="n">
        <f aca="false">COUNTIF(E17:K17,2)+COUNTIF(E17:K17,1)+COUNTIF(E17:K17,0)</f>
        <v>0</v>
      </c>
      <c r="Q17" s="242"/>
    </row>
    <row r="18" customFormat="false" ht="15" hidden="false" customHeight="true" outlineLevel="0" collapsed="false">
      <c r="A18" s="37" t="n">
        <v>11</v>
      </c>
      <c r="B18" s="37" t="s">
        <v>531</v>
      </c>
      <c r="C18" s="37" t="s">
        <v>532</v>
      </c>
      <c r="D18" s="259"/>
      <c r="E18" s="257"/>
      <c r="F18" s="254"/>
      <c r="G18" s="258"/>
      <c r="H18" s="257"/>
      <c r="I18" s="254"/>
      <c r="J18" s="254"/>
      <c r="K18" s="258"/>
      <c r="L18" s="154" t="str">
        <f aca="false">IFERROR(AVERAGE(E18:K18),"")</f>
        <v/>
      </c>
      <c r="M18" s="117" t="str">
        <f aca="false">IF(E18&lt;&gt;"",IF(COUNTIF(E18:K18,"&lt;3"),"Не успевает","Успевает"),"")</f>
        <v/>
      </c>
      <c r="N18" s="250" t="str">
        <f aca="false">IF(D18&lt;&gt;"",(30*(set!B$5)-D18)/(30*(set!B$5))*100,"")</f>
        <v/>
      </c>
      <c r="O18" s="85" t="str">
        <f aca="false" t="array" ref="O18:O18">IF(E18&lt;&gt;"",IF(L18&lt;1.85,"Выговор",IF(L18=1.85,"Выговор",IF(AND(L18&gt;1.85,L18&lt;3),"Предупреждение",IF(AND(L18&gt;3,L18&lt;4.65),"Нормально",IF(AND(L18&gt;4.65,L18&lt;5.1,E18:K18&gt;=4),"Благодарность","Нормально"))))),"")</f>
        <v/>
      </c>
      <c r="P18" s="118" t="n">
        <f aca="false">COUNTIF(E18:K18,2)+COUNTIF(E18:K18,1)+COUNTIF(E18:K18,0)</f>
        <v>0</v>
      </c>
      <c r="Q18" s="242"/>
    </row>
    <row r="19" customFormat="false" ht="15" hidden="false" customHeight="true" outlineLevel="0" collapsed="false">
      <c r="A19" s="251" t="n">
        <v>12</v>
      </c>
      <c r="B19" s="37" t="s">
        <v>533</v>
      </c>
      <c r="C19" s="37" t="s">
        <v>534</v>
      </c>
      <c r="D19" s="259"/>
      <c r="E19" s="257"/>
      <c r="F19" s="254"/>
      <c r="G19" s="258"/>
      <c r="H19" s="257"/>
      <c r="I19" s="254"/>
      <c r="J19" s="254"/>
      <c r="K19" s="258"/>
      <c r="L19" s="154" t="str">
        <f aca="false">IFERROR(AVERAGE(E19:K19),"")</f>
        <v/>
      </c>
      <c r="M19" s="117" t="str">
        <f aca="false">IF(E19&lt;&gt;"",IF(COUNTIF(E19:K19,"&lt;3"),"Не успевает","Успевает"),"")</f>
        <v/>
      </c>
      <c r="N19" s="250" t="str">
        <f aca="false">IF(D19&lt;&gt;"",(30*(set!B$5)-D19)/(30*(set!B$5))*100,"")</f>
        <v/>
      </c>
      <c r="O19" s="85" t="str">
        <f aca="false" t="array" ref="O19:O19">IF(E19&lt;&gt;"",IF(L19&lt;1.85,"Выговор",IF(L19=1.85,"Выговор",IF(AND(L19&gt;1.85,L19&lt;3),"Предупреждение",IF(AND(L19&gt;3,L19&lt;4.65),"Нормально",IF(AND(L19&gt;4.65,L19&lt;5.1,E19:K19&gt;=4),"Благодарность","Нормально"))))),"")</f>
        <v/>
      </c>
      <c r="P19" s="118" t="n">
        <f aca="false">COUNTIF(E19:K19,2)+COUNTIF(E19:K19,1)+COUNTIF(E19:K19,0)</f>
        <v>0</v>
      </c>
      <c r="Q19" s="242"/>
    </row>
    <row r="20" customFormat="false" ht="15" hidden="false" customHeight="true" outlineLevel="0" collapsed="false">
      <c r="A20" s="37" t="n">
        <v>13</v>
      </c>
      <c r="B20" s="37" t="s">
        <v>535</v>
      </c>
      <c r="C20" s="37" t="s">
        <v>536</v>
      </c>
      <c r="D20" s="259"/>
      <c r="E20" s="257"/>
      <c r="F20" s="254"/>
      <c r="G20" s="258"/>
      <c r="H20" s="257"/>
      <c r="I20" s="254"/>
      <c r="J20" s="254"/>
      <c r="K20" s="258"/>
      <c r="L20" s="154" t="str">
        <f aca="false">IFERROR(AVERAGE(E20:K20),"")</f>
        <v/>
      </c>
      <c r="M20" s="117" t="str">
        <f aca="false">IF(E20&lt;&gt;"",IF(COUNTIF(E20:K20,"&lt;3"),"Не успевает","Успевает"),"")</f>
        <v/>
      </c>
      <c r="N20" s="250" t="str">
        <f aca="false">IF(D20&lt;&gt;"",(30*(set!B$5)-D20)/(30*(set!B$5))*100,"")</f>
        <v/>
      </c>
      <c r="O20" s="85" t="str">
        <f aca="false" t="array" ref="O20:O20">IF(E20&lt;&gt;"",IF(L20&lt;1.85,"Выговор",IF(L20=1.85,"Выговор",IF(AND(L20&gt;1.85,L20&lt;3),"Предупреждение",IF(AND(L20&gt;3,L20&lt;4.65),"Нормально",IF(AND(L20&gt;4.65,L20&lt;5.1,E20:K20&gt;=4),"Благодарность","Нормально"))))),"")</f>
        <v/>
      </c>
      <c r="P20" s="118" t="n">
        <f aca="false">COUNTIF(E20:K20,2)+COUNTIF(E20:K20,1)+COUNTIF(E20:K20,0)</f>
        <v>0</v>
      </c>
      <c r="Q20" s="242"/>
    </row>
    <row r="21" customFormat="false" ht="15" hidden="false" customHeight="true" outlineLevel="0" collapsed="false">
      <c r="A21" s="37" t="n">
        <v>14</v>
      </c>
      <c r="B21" s="37" t="s">
        <v>537</v>
      </c>
      <c r="C21" s="37" t="s">
        <v>538</v>
      </c>
      <c r="D21" s="259"/>
      <c r="E21" s="257"/>
      <c r="F21" s="254"/>
      <c r="G21" s="258"/>
      <c r="H21" s="257"/>
      <c r="I21" s="254"/>
      <c r="J21" s="254"/>
      <c r="K21" s="258"/>
      <c r="L21" s="154" t="str">
        <f aca="false">IFERROR(AVERAGE(E21:K21),"")</f>
        <v/>
      </c>
      <c r="M21" s="117" t="str">
        <f aca="false">IF(E21&lt;&gt;"",IF(COUNTIF(E21:K21,"&lt;3"),"Не успевает","Успевает"),"")</f>
        <v/>
      </c>
      <c r="N21" s="250" t="str">
        <f aca="false">IF(D21&lt;&gt;"",(30*(set!B$5)-D21)/(30*(set!B$5))*100,"")</f>
        <v/>
      </c>
      <c r="O21" s="85" t="str">
        <f aca="false" t="array" ref="O21:O21">IF(E21&lt;&gt;"",IF(L21&lt;1.85,"Выговор",IF(L21=1.85,"Выговор",IF(AND(L21&gt;1.85,L21&lt;3),"Предупреждение",IF(AND(L21&gt;3,L21&lt;4.65),"Нормально",IF(AND(L21&gt;4.65,L21&lt;5.1,E21:K21&gt;=4),"Благодарность","Нормально"))))),"")</f>
        <v/>
      </c>
      <c r="P21" s="118" t="n">
        <f aca="false">COUNTIF(E21:K21,2)+COUNTIF(E21:K21,1)+COUNTIF(E21:K21,0)</f>
        <v>0</v>
      </c>
      <c r="Q21" s="242"/>
    </row>
    <row r="22" customFormat="false" ht="15" hidden="false" customHeight="true" outlineLevel="0" collapsed="false">
      <c r="A22" s="0" t="s">
        <v>77</v>
      </c>
      <c r="D22" s="209"/>
      <c r="E22" s="260" t="e">
        <f aca="false">AVERAGE(E16:E21)</f>
        <v>#DIV/0!</v>
      </c>
      <c r="F22" s="260" t="e">
        <f aca="false">AVERAGE(F16:F21)</f>
        <v>#DIV/0!</v>
      </c>
      <c r="G22" s="260" t="e">
        <f aca="false">AVERAGE(G16:G21)</f>
        <v>#DIV/0!</v>
      </c>
      <c r="H22" s="260" t="e">
        <f aca="false">AVERAGE(H16:H21)</f>
        <v>#DIV/0!</v>
      </c>
      <c r="I22" s="260" t="e">
        <f aca="false">AVERAGE(I16:I21)</f>
        <v>#DIV/0!</v>
      </c>
      <c r="J22" s="260" t="e">
        <f aca="false">AVERAGE(J16:J21)</f>
        <v>#DIV/0!</v>
      </c>
      <c r="K22" s="260" t="e">
        <f aca="false">AVERAGE(K16:K21)</f>
        <v>#DIV/0!</v>
      </c>
      <c r="L22" s="48"/>
      <c r="M22" s="48"/>
      <c r="N22" s="48"/>
      <c r="O22" s="48"/>
    </row>
    <row r="23" customFormat="false" ht="15" hidden="false" customHeight="true" outlineLevel="0" collapsed="false">
      <c r="A23" s="0" t="s">
        <v>78</v>
      </c>
      <c r="D23" s="209"/>
      <c r="E23" s="137" t="e">
        <f aca="false">(COUNTIF(E16:E21,5)+COUNTIF(E16:E21,4)+COUNTIF(E16:E21,3))/$S$28*100</f>
        <v>#DIV/0!</v>
      </c>
      <c r="F23" s="137" t="e">
        <f aca="false">(COUNTIF(F16:F21,5)+COUNTIF(F16:F21,4)+COUNTIF(F16:F21,3))/$S$28*100</f>
        <v>#DIV/0!</v>
      </c>
      <c r="G23" s="137" t="e">
        <f aca="false">(COUNTIF(G16:G21,5)+COUNTIF(G16:G21,4)+COUNTIF(G16:G21,3))/$S$28*100</f>
        <v>#DIV/0!</v>
      </c>
      <c r="H23" s="137" t="e">
        <f aca="false">(COUNTIF(H16:H21,5)+COUNTIF(H16:H21,4)+COUNTIF(H16:H21,3))/$S$28*100</f>
        <v>#DIV/0!</v>
      </c>
      <c r="I23" s="137" t="e">
        <f aca="false">(COUNTIF(I16:I21,5)+COUNTIF(I16:I21,4)+COUNTIF(I16:I21,3))/$S$28*100</f>
        <v>#DIV/0!</v>
      </c>
      <c r="J23" s="137" t="e">
        <f aca="false">(COUNTIF(J16:J21,5)+COUNTIF(J16:J21,4)+COUNTIF(J16:J21,3))/$S$28*100</f>
        <v>#DIV/0!</v>
      </c>
      <c r="K23" s="137" t="e">
        <f aca="false">(COUNTIF(K16:K21,5)+COUNTIF(K16:K21,4)+COUNTIF(K16:K21,3))/$S$28*100</f>
        <v>#DIV/0!</v>
      </c>
      <c r="L23" s="48"/>
      <c r="M23" s="48"/>
      <c r="N23" s="48"/>
      <c r="O23" s="48"/>
    </row>
    <row r="24" customFormat="false" ht="15" hidden="false" customHeight="true" outlineLevel="0" collapsed="false">
      <c r="D24" s="46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</row>
    <row r="25" customFormat="false" ht="15" hidden="false" customHeight="true" outlineLevel="0" collapsed="false"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</row>
    <row r="26" customFormat="false" ht="15" hidden="false" customHeight="true" outlineLevel="0" collapsed="false">
      <c r="B26" s="50"/>
      <c r="C26" s="50" t="s">
        <v>8</v>
      </c>
      <c r="D26" s="51" t="str">
        <f aca="false">IFERROR(AVERAGE(L16:L21),"")</f>
        <v/>
      </c>
      <c r="E26" s="52" t="s">
        <v>9</v>
      </c>
      <c r="F26" s="52"/>
      <c r="G26" s="52"/>
      <c r="H26" s="53" t="str">
        <f aca="false">IFERROR(COUNTIF(M16:M21,"Успевает")/S28*100,"")</f>
        <v/>
      </c>
      <c r="I26" s="53"/>
      <c r="J26" s="53"/>
      <c r="K26" s="53"/>
      <c r="L26" s="54" t="s">
        <v>79</v>
      </c>
      <c r="M26" s="54"/>
      <c r="N26" s="55" t="str">
        <f aca="false">IFERROR(AVERAGE(Q1:Q21),"")</f>
        <v/>
      </c>
      <c r="O26" s="52"/>
      <c r="P26" s="52"/>
      <c r="Q26" s="52"/>
      <c r="R26" s="158"/>
      <c r="S26" s="48"/>
    </row>
    <row r="27" customFormat="false" ht="15" hidden="false" customHeight="true" outlineLevel="0" collapsed="false">
      <c r="B27" s="50"/>
      <c r="C27" s="50"/>
      <c r="D27" s="50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</row>
    <row r="28" customFormat="false" ht="15" hidden="false" customHeight="true" outlineLevel="0" collapsed="false">
      <c r="A28" s="50"/>
      <c r="B28" s="261" t="s">
        <v>81</v>
      </c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61" t="s">
        <v>82</v>
      </c>
      <c r="N28" s="61"/>
      <c r="O28" s="61"/>
      <c r="P28" s="56"/>
      <c r="Q28" s="57" t="s">
        <v>80</v>
      </c>
      <c r="R28" s="57"/>
      <c r="S28" s="58" t="n">
        <f aca="false">SUM(S29:S30)</f>
        <v>0</v>
      </c>
    </row>
    <row r="29" customFormat="false" ht="15" hidden="false" customHeight="true" outlineLevel="0" collapsed="false">
      <c r="A29" s="50"/>
      <c r="B29" s="141" t="str">
        <f aca="false">$E$6</f>
        <v> Контроль и диагностика электронных приборов и
средств</v>
      </c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262"/>
      <c r="N29" s="262"/>
      <c r="O29" s="262"/>
      <c r="P29" s="67"/>
      <c r="Q29" s="57" t="s">
        <v>83</v>
      </c>
      <c r="R29" s="57"/>
      <c r="S29" s="58" t="n">
        <f aca="false">COUNTIF(M16:M21,"Успевает")</f>
        <v>0</v>
      </c>
    </row>
    <row r="30" customFormat="false" ht="15" hidden="false" customHeight="true" outlineLevel="0" collapsed="false">
      <c r="A30" s="50"/>
      <c r="B30" s="141" t="str">
        <f aca="false">$F$6</f>
        <v> ДВ №2 Методы контроля в микро- и
наноэлектронике</v>
      </c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262"/>
      <c r="N30" s="262"/>
      <c r="O30" s="262"/>
      <c r="P30" s="67"/>
      <c r="Q30" s="98" t="s">
        <v>84</v>
      </c>
      <c r="R30" s="98"/>
      <c r="S30" s="58" t="n">
        <f aca="false">COUNTIF(M16:M21,"Не успевает")</f>
        <v>0</v>
      </c>
    </row>
    <row r="31" customFormat="false" ht="15" hidden="false" customHeight="true" outlineLevel="0" collapsed="false">
      <c r="A31" s="50"/>
      <c r="B31" s="141" t="str">
        <f aca="false">$G$6</f>
        <v> Основы системного анализа</v>
      </c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262"/>
      <c r="N31" s="262"/>
      <c r="O31" s="262"/>
      <c r="P31" s="67"/>
      <c r="Q31" s="98" t="s">
        <v>85</v>
      </c>
      <c r="R31" s="98"/>
      <c r="S31" s="58" t="n">
        <f aca="false">COUNTIF(O16:O21,"Благодарность")</f>
        <v>0</v>
      </c>
    </row>
    <row r="32" s="45" customFormat="true" ht="15" hidden="false" customHeight="true" outlineLevel="0" collapsed="false">
      <c r="A32" s="50"/>
      <c r="B32" s="141" t="str">
        <f aca="false">$H$6</f>
        <v> Педагогическая практика</v>
      </c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262"/>
      <c r="N32" s="262"/>
      <c r="O32" s="262"/>
      <c r="P32" s="67"/>
      <c r="Q32" s="98" t="s">
        <v>86</v>
      </c>
      <c r="R32" s="98"/>
      <c r="S32" s="58" t="n">
        <f aca="false">COUNTIF(O13:O18,"Нормально")</f>
        <v>0</v>
      </c>
    </row>
    <row r="33" s="45" customFormat="true" ht="15" hidden="false" customHeight="true" outlineLevel="0" collapsed="false">
      <c r="A33" s="50"/>
      <c r="B33" s="141" t="str">
        <f aca="false">$I$6</f>
        <v> Проектно-технологическая практика</v>
      </c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262"/>
      <c r="N33" s="262"/>
      <c r="O33" s="262"/>
      <c r="P33" s="67"/>
      <c r="Q33" s="98" t="s">
        <v>87</v>
      </c>
      <c r="R33" s="98"/>
      <c r="S33" s="58" t="n">
        <f aca="false">COUNTIF(O13:O18,"Предупреждение")</f>
        <v>0</v>
      </c>
    </row>
    <row r="34" s="45" customFormat="true" ht="15" hidden="false" customHeight="true" outlineLevel="0" collapsed="false">
      <c r="A34" s="50"/>
      <c r="B34" s="141" t="str">
        <f aca="false">$J$6</f>
        <v> Сквозное автоматизированное проектирование
электронных средств (к.п.)</v>
      </c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262"/>
      <c r="N34" s="262"/>
      <c r="O34" s="262"/>
      <c r="P34" s="67"/>
      <c r="Q34" s="98" t="s">
        <v>88</v>
      </c>
      <c r="R34" s="98"/>
      <c r="S34" s="58" t="n">
        <f aca="false">COUNTIF(O13:O18,"Выговор")</f>
        <v>0</v>
      </c>
    </row>
    <row r="35" customFormat="false" ht="15" hidden="false" customHeight="true" outlineLevel="0" collapsed="false">
      <c r="A35" s="50"/>
      <c r="B35" s="141" t="str">
        <f aca="false">$K$6</f>
        <v> Специальная оценка условий труда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263"/>
      <c r="N35" s="263"/>
      <c r="O35" s="263"/>
      <c r="P35" s="67"/>
      <c r="Q35" s="70" t="s">
        <v>539</v>
      </c>
      <c r="R35" s="70"/>
      <c r="S35" s="236" t="n">
        <f aca="false">SUM(P13:P18)</f>
        <v>0</v>
      </c>
    </row>
    <row r="36" customFormat="false" ht="15" hidden="false" customHeight="true" outlineLevel="0" collapsed="false">
      <c r="A36" s="50"/>
      <c r="B36" s="139"/>
      <c r="C36" s="139"/>
      <c r="D36" s="139"/>
      <c r="E36" s="139"/>
      <c r="F36" s="139"/>
      <c r="G36" s="139"/>
      <c r="H36" s="139"/>
      <c r="I36" s="139"/>
      <c r="J36" s="139"/>
      <c r="K36" s="139"/>
      <c r="L36" s="139"/>
      <c r="M36" s="264"/>
      <c r="N36" s="264"/>
      <c r="O36" s="264"/>
      <c r="P36" s="67"/>
    </row>
    <row r="37" customFormat="false" ht="15" hidden="false" customHeight="true" outlineLevel="0" collapsed="false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48"/>
      <c r="S37" s="48"/>
    </row>
    <row r="38" customFormat="false" ht="15" hidden="false" customHeight="true" outlineLevel="0" collapsed="false">
      <c r="A38" s="50"/>
      <c r="B38" s="73" t="s">
        <v>405</v>
      </c>
      <c r="C38" s="265" t="s">
        <v>540</v>
      </c>
      <c r="D38" s="265"/>
      <c r="E38" s="67"/>
      <c r="F38" s="67"/>
      <c r="G38" s="52" t="s">
        <v>407</v>
      </c>
      <c r="H38" s="52" t="s">
        <v>500</v>
      </c>
      <c r="I38" s="52"/>
      <c r="J38" s="52"/>
      <c r="K38" s="52"/>
      <c r="L38" s="52"/>
      <c r="M38" s="52"/>
      <c r="N38" s="52"/>
      <c r="O38" s="52"/>
      <c r="P38" s="52"/>
      <c r="Q38" s="50"/>
      <c r="R38" s="48"/>
      <c r="S38" s="48"/>
    </row>
    <row r="39" customFormat="false" ht="15" hidden="false" customHeight="true" outlineLevel="0" collapsed="false">
      <c r="A39" s="50"/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0"/>
      <c r="M39" s="50"/>
      <c r="N39" s="50"/>
      <c r="O39" s="50"/>
      <c r="P39" s="50"/>
      <c r="Q39" s="50"/>
      <c r="R39" s="48"/>
      <c r="S39" s="48"/>
    </row>
    <row r="40" customFormat="false" ht="15" hidden="false" customHeight="true" outlineLevel="0" collapsed="false">
      <c r="A40" s="50"/>
      <c r="B40" s="50" t="s">
        <v>95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48"/>
      <c r="S40" s="48"/>
    </row>
    <row r="41" customFormat="false" ht="15" hidden="false" customHeight="true" outlineLevel="0" collapsed="false">
      <c r="A41" s="50"/>
      <c r="B41" s="50" t="s">
        <v>96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48"/>
      <c r="S41" s="48"/>
    </row>
    <row r="42" customFormat="false" ht="15" hidden="false" customHeight="true" outlineLevel="0" collapsed="false">
      <c r="A42" s="50"/>
      <c r="B42" s="50" t="s">
        <v>97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48"/>
      <c r="S42" s="48"/>
    </row>
    <row r="43" customFormat="false" ht="15" hidden="false" customHeight="true" outlineLevel="0" collapsed="false">
      <c r="A43" s="50"/>
      <c r="B43" s="50" t="s">
        <v>98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48"/>
      <c r="S43" s="48"/>
    </row>
    <row r="44" customFormat="false" ht="15" hidden="false" customHeight="true" outlineLevel="0" collapsed="false">
      <c r="A44" s="50"/>
      <c r="B44" s="50" t="s">
        <v>99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48"/>
      <c r="S44" s="48"/>
    </row>
    <row r="45" customFormat="false" ht="15" hidden="false" customHeight="true" outlineLevel="0" collapsed="false">
      <c r="A45" s="50"/>
      <c r="O45" s="50"/>
      <c r="P45" s="50"/>
      <c r="Q45" s="50"/>
      <c r="R45" s="48"/>
      <c r="S45" s="48"/>
    </row>
    <row r="46" customFormat="false" ht="15" hidden="false" customHeight="true" outlineLevel="0" collapsed="false">
      <c r="A46" s="50"/>
      <c r="O46" s="50"/>
      <c r="P46" s="50"/>
      <c r="Q46" s="50"/>
      <c r="R46" s="48"/>
      <c r="S46" s="48"/>
    </row>
    <row r="47" customFormat="false" ht="15.75" hidden="false" customHeight="false" outlineLevel="0" collapsed="false">
      <c r="A47" s="50"/>
      <c r="O47" s="50"/>
      <c r="P47" s="50"/>
      <c r="Q47" s="50"/>
      <c r="R47" s="48"/>
      <c r="S47" s="48"/>
    </row>
  </sheetData>
  <mergeCells count="38">
    <mergeCell ref="L2:M2"/>
    <mergeCell ref="A5:A7"/>
    <mergeCell ref="B5:B7"/>
    <mergeCell ref="C5:C7"/>
    <mergeCell ref="D5:D7"/>
    <mergeCell ref="E5:G5"/>
    <mergeCell ref="H5:K5"/>
    <mergeCell ref="L5:L7"/>
    <mergeCell ref="M5:M7"/>
    <mergeCell ref="N5:N7"/>
    <mergeCell ref="O5:O7"/>
    <mergeCell ref="P5:P7"/>
    <mergeCell ref="L26:M26"/>
    <mergeCell ref="B28:L28"/>
    <mergeCell ref="M28:O28"/>
    <mergeCell ref="Q28:R28"/>
    <mergeCell ref="B29:L29"/>
    <mergeCell ref="M29:O29"/>
    <mergeCell ref="Q29:R29"/>
    <mergeCell ref="B30:L30"/>
    <mergeCell ref="M30:O30"/>
    <mergeCell ref="Q30:R30"/>
    <mergeCell ref="B31:L31"/>
    <mergeCell ref="M31:O31"/>
    <mergeCell ref="Q31:R31"/>
    <mergeCell ref="B32:L32"/>
    <mergeCell ref="M32:O32"/>
    <mergeCell ref="B33:L33"/>
    <mergeCell ref="M33:O33"/>
    <mergeCell ref="Q33:R33"/>
    <mergeCell ref="B34:L34"/>
    <mergeCell ref="M34:O34"/>
    <mergeCell ref="Q34:R34"/>
    <mergeCell ref="B35:L35"/>
    <mergeCell ref="M35:O35"/>
    <mergeCell ref="Q35:R35"/>
    <mergeCell ref="M36:O36"/>
    <mergeCell ref="C38:D38"/>
  </mergeCells>
  <conditionalFormatting sqref="F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9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8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7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6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0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9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8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7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6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0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9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8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7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6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5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4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3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2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1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5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4">
    <cfRule type="colorScale" priority="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3">
    <cfRule type="colorScale" priority="2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2">
    <cfRule type="colorScale" priority="2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1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5">
    <cfRule type="colorScale" priority="3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4">
    <cfRule type="colorScale" priority="3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3">
    <cfRule type="colorScale" priority="3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2">
    <cfRule type="colorScale" priority="3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1">
    <cfRule type="colorScale" priority="3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5:H15 E15 K15">
    <cfRule type="colorScale" priority="3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:K10">
    <cfRule type="colorScale" priority="3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K9">
    <cfRule type="colorScale" priority="3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L21">
    <cfRule type="colorScale" priority="3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:L24">
    <cfRule type="colorScale" priority="3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K8 E16:E21 K16:K21 G16:H21">
    <cfRule type="colorScale" priority="4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1:E14 G11:H14 K11:K14">
    <cfRule type="colorScale" priority="4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S61"/>
  <sheetViews>
    <sheetView showFormulas="false" showGridLines="true" showRowColHeaders="true" showZeros="true" rightToLeft="false" tabSelected="false" showOutlineSymbols="true" defaultGridColor="true" view="normal" topLeftCell="A4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13"/>
    <col collapsed="false" customWidth="true" hidden="false" outlineLevel="0" max="3" min="3" style="0" width="18.29"/>
    <col collapsed="false" customWidth="true" hidden="false" outlineLevel="0" max="5" min="5" style="0" width="10"/>
    <col collapsed="false" customWidth="true" hidden="false" outlineLevel="0" max="9" min="9" style="0" width="12.15"/>
    <col collapsed="false" customWidth="true" hidden="false" outlineLevel="0" max="10" min="10" style="0" width="11.85"/>
    <col collapsed="false" customWidth="true" hidden="false" outlineLevel="0" max="11" min="11" style="0" width="11.29"/>
    <col collapsed="false" customWidth="true" hidden="false" outlineLevel="0" max="15" min="15" style="0" width="11.14"/>
    <col collapsed="false" customWidth="true" hidden="false" outlineLevel="0" max="16" min="16" style="0" width="11.29"/>
    <col collapsed="false" customWidth="true" hidden="false" outlineLevel="0" max="17" min="17" style="0" width="13.71"/>
    <col collapsed="false" customWidth="true" hidden="false" outlineLevel="0" max="18" min="18" style="0" width="5.86"/>
    <col collapsed="false" customWidth="true" hidden="false" outlineLevel="0" max="19" min="19" style="0" width="10.71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266"/>
      <c r="K1" s="3"/>
    </row>
    <row r="2" customFormat="false" ht="15" hidden="false" customHeight="false" outlineLevel="0" collapsed="false">
      <c r="M2" s="72"/>
      <c r="N2" s="5" t="s">
        <v>501</v>
      </c>
      <c r="O2" s="5"/>
      <c r="P2" s="267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ИУК2-11Б факультета ИУК МГТУ им. Н.Э. Баумана"</f>
        <v>Успеваемость студентов за 1 семестр 24/25 учебного года по группе ИУК2-11Б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24.5" hidden="false" customHeight="true" outlineLevel="0" collapsed="false">
      <c r="A6" s="8"/>
      <c r="B6" s="8"/>
      <c r="C6" s="8"/>
      <c r="D6" s="9"/>
      <c r="E6" s="15" t="s">
        <v>541</v>
      </c>
      <c r="F6" s="16" t="s">
        <v>542</v>
      </c>
      <c r="G6" s="16" t="s">
        <v>543</v>
      </c>
      <c r="H6" s="18" t="s">
        <v>544</v>
      </c>
      <c r="I6" s="268" t="s">
        <v>18</v>
      </c>
      <c r="J6" s="16" t="s">
        <v>144</v>
      </c>
      <c r="K6" s="16" t="s">
        <v>545</v>
      </c>
      <c r="L6" s="16" t="s">
        <v>546</v>
      </c>
      <c r="M6" s="18" t="s">
        <v>147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22" t="s">
        <v>547</v>
      </c>
      <c r="F7" s="23" t="s">
        <v>22</v>
      </c>
      <c r="G7" s="23" t="s">
        <v>25</v>
      </c>
      <c r="H7" s="24" t="s">
        <v>24</v>
      </c>
      <c r="I7" s="269" t="s">
        <v>27</v>
      </c>
      <c r="J7" s="23" t="s">
        <v>149</v>
      </c>
      <c r="K7" s="23" t="s">
        <v>548</v>
      </c>
      <c r="L7" s="23" t="s">
        <v>549</v>
      </c>
      <c r="M7" s="24" t="s">
        <v>30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550</v>
      </c>
      <c r="C8" s="25" t="s">
        <v>551</v>
      </c>
      <c r="D8" s="270"/>
      <c r="E8" s="271"/>
      <c r="F8" s="272"/>
      <c r="G8" s="272"/>
      <c r="H8" s="273"/>
      <c r="I8" s="271"/>
      <c r="J8" s="272"/>
      <c r="K8" s="274"/>
      <c r="L8" s="272"/>
      <c r="M8" s="275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84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552</v>
      </c>
      <c r="C9" s="37" t="s">
        <v>553</v>
      </c>
      <c r="D9" s="276"/>
      <c r="E9" s="277"/>
      <c r="F9" s="278"/>
      <c r="G9" s="278"/>
      <c r="H9" s="279"/>
      <c r="I9" s="277"/>
      <c r="J9" s="278"/>
      <c r="K9" s="280"/>
      <c r="L9" s="278"/>
      <c r="M9" s="281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4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554</v>
      </c>
      <c r="C10" s="37" t="s">
        <v>555</v>
      </c>
      <c r="D10" s="276"/>
      <c r="E10" s="282"/>
      <c r="F10" s="283"/>
      <c r="G10" s="283"/>
      <c r="H10" s="284"/>
      <c r="I10" s="282"/>
      <c r="J10" s="285"/>
      <c r="K10" s="283"/>
      <c r="L10" s="283"/>
      <c r="M10" s="286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4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556</v>
      </c>
      <c r="C11" s="37" t="s">
        <v>557</v>
      </c>
      <c r="D11" s="276"/>
      <c r="E11" s="277"/>
      <c r="F11" s="278"/>
      <c r="G11" s="278"/>
      <c r="H11" s="279"/>
      <c r="I11" s="277"/>
      <c r="J11" s="278"/>
      <c r="K11" s="280"/>
      <c r="L11" s="278"/>
      <c r="M11" s="281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4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558</v>
      </c>
      <c r="C12" s="37" t="s">
        <v>559</v>
      </c>
      <c r="D12" s="276"/>
      <c r="E12" s="277"/>
      <c r="F12" s="278"/>
      <c r="G12" s="278"/>
      <c r="H12" s="279"/>
      <c r="I12" s="277"/>
      <c r="J12" s="278"/>
      <c r="K12" s="280"/>
      <c r="L12" s="278"/>
      <c r="M12" s="281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4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560</v>
      </c>
      <c r="C13" s="37" t="s">
        <v>561</v>
      </c>
      <c r="D13" s="276"/>
      <c r="E13" s="277"/>
      <c r="F13" s="278"/>
      <c r="G13" s="278"/>
      <c r="H13" s="279"/>
      <c r="I13" s="277"/>
      <c r="J13" s="278"/>
      <c r="K13" s="280"/>
      <c r="L13" s="278"/>
      <c r="M13" s="281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4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562</v>
      </c>
      <c r="C14" s="37" t="s">
        <v>563</v>
      </c>
      <c r="D14" s="276"/>
      <c r="E14" s="277"/>
      <c r="F14" s="278"/>
      <c r="G14" s="278"/>
      <c r="H14" s="279"/>
      <c r="I14" s="277"/>
      <c r="J14" s="278"/>
      <c r="K14" s="280"/>
      <c r="L14" s="278"/>
      <c r="M14" s="281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4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564</v>
      </c>
      <c r="C15" s="37" t="s">
        <v>565</v>
      </c>
      <c r="D15" s="276"/>
      <c r="E15" s="277"/>
      <c r="F15" s="278"/>
      <c r="G15" s="278"/>
      <c r="H15" s="279"/>
      <c r="I15" s="277"/>
      <c r="J15" s="278"/>
      <c r="K15" s="280"/>
      <c r="L15" s="278"/>
      <c r="M15" s="281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4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566</v>
      </c>
      <c r="C16" s="37" t="s">
        <v>567</v>
      </c>
      <c r="D16" s="276"/>
      <c r="E16" s="277"/>
      <c r="F16" s="278"/>
      <c r="G16" s="278"/>
      <c r="H16" s="279"/>
      <c r="I16" s="287"/>
      <c r="J16" s="280"/>
      <c r="K16" s="280"/>
      <c r="L16" s="278"/>
      <c r="M16" s="281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4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568</v>
      </c>
      <c r="C17" s="37" t="s">
        <v>569</v>
      </c>
      <c r="D17" s="276"/>
      <c r="E17" s="277"/>
      <c r="F17" s="278"/>
      <c r="G17" s="278"/>
      <c r="H17" s="279"/>
      <c r="I17" s="287"/>
      <c r="J17" s="280"/>
      <c r="K17" s="280"/>
      <c r="L17" s="278"/>
      <c r="M17" s="281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4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570</v>
      </c>
      <c r="C18" s="37" t="s">
        <v>571</v>
      </c>
      <c r="D18" s="276"/>
      <c r="E18" s="277"/>
      <c r="F18" s="278"/>
      <c r="G18" s="278"/>
      <c r="H18" s="279"/>
      <c r="I18" s="287"/>
      <c r="J18" s="280"/>
      <c r="K18" s="280"/>
      <c r="L18" s="278"/>
      <c r="M18" s="281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4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572</v>
      </c>
      <c r="C19" s="37" t="s">
        <v>573</v>
      </c>
      <c r="D19" s="276"/>
      <c r="E19" s="277"/>
      <c r="F19" s="278"/>
      <c r="G19" s="278"/>
      <c r="H19" s="279"/>
      <c r="I19" s="287"/>
      <c r="J19" s="280"/>
      <c r="K19" s="280"/>
      <c r="L19" s="278"/>
      <c r="M19" s="281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4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574</v>
      </c>
      <c r="C20" s="37" t="s">
        <v>575</v>
      </c>
      <c r="D20" s="276"/>
      <c r="E20" s="277"/>
      <c r="F20" s="278"/>
      <c r="G20" s="278"/>
      <c r="H20" s="279"/>
      <c r="I20" s="287"/>
      <c r="J20" s="280"/>
      <c r="K20" s="280"/>
      <c r="L20" s="278"/>
      <c r="M20" s="281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4" t="str">
        <f aca="false">IF(E20&lt;&gt;"",IF(N20&lt;1.85,"Выговор",IF(AND(N20&gt;1.85,N20&lt;3),"Предупреждение",IF(AND(N20&gt;3,N20&lt;=4.65),"Нормально",IF(AND(N20&gt;4.65,N20&lt;5.1,MIN(E20:M20)&gt;=4),"Благодарность","Нормально")))),"")</f>
        <v/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576</v>
      </c>
      <c r="C21" s="37" t="s">
        <v>577</v>
      </c>
      <c r="D21" s="276"/>
      <c r="E21" s="277"/>
      <c r="F21" s="278"/>
      <c r="G21" s="278"/>
      <c r="H21" s="279"/>
      <c r="I21" s="287"/>
      <c r="J21" s="280"/>
      <c r="K21" s="280"/>
      <c r="L21" s="278"/>
      <c r="M21" s="286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4" t="str">
        <f aca="false">IF(E21&lt;&gt;"",IF(N21&lt;1.85,"Выговор",IF(AND(N21&gt;1.85,N21&lt;3),"Предупреждение",IF(AND(N21&gt;3,N21&lt;=4.65),"Нормально",IF(AND(N21&gt;4.65,N21&lt;5.1,MIN(E21:M21)&gt;=4),"Благодарность","Нормально")))),"")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578</v>
      </c>
      <c r="C22" s="37" t="s">
        <v>579</v>
      </c>
      <c r="D22" s="276"/>
      <c r="E22" s="277"/>
      <c r="F22" s="278"/>
      <c r="G22" s="278"/>
      <c r="H22" s="279"/>
      <c r="I22" s="287"/>
      <c r="J22" s="280"/>
      <c r="K22" s="280"/>
      <c r="L22" s="278"/>
      <c r="M22" s="281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4" t="str">
        <f aca="false">IF(E22&lt;&gt;"",IF(N22&lt;1.85,"Выговор",IF(AND(N22&gt;1.85,N22&lt;3),"Предупреждение",IF(AND(N22&gt;3,N22&lt;=4.65),"Нормально",IF(AND(N22&gt;4.65,N22&lt;5.1,MIN(E22:M22)&gt;=4),"Благодарность","Нормально")))),"")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580</v>
      </c>
      <c r="C23" s="37" t="s">
        <v>581</v>
      </c>
      <c r="D23" s="276"/>
      <c r="E23" s="277"/>
      <c r="F23" s="278"/>
      <c r="G23" s="278"/>
      <c r="H23" s="288"/>
      <c r="I23" s="277"/>
      <c r="J23" s="278"/>
      <c r="K23" s="278"/>
      <c r="L23" s="278"/>
      <c r="M23" s="289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4" t="str">
        <f aca="false">IF(E23&lt;&gt;"",IF(N23&lt;1.85,"Выговор",IF(AND(N23&gt;1.85,N23&lt;3),"Предупреждение",IF(AND(N23&gt;3,N23&lt;=4.65),"Нормально",IF(AND(N23&gt;4.65,N23&lt;5.1,MIN(E23:M23)&gt;=4),"Благодарность","Нормально")))),"")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582</v>
      </c>
      <c r="C24" s="37" t="s">
        <v>583</v>
      </c>
      <c r="D24" s="276"/>
      <c r="E24" s="277"/>
      <c r="F24" s="278"/>
      <c r="G24" s="278"/>
      <c r="H24" s="279"/>
      <c r="I24" s="287"/>
      <c r="J24" s="280"/>
      <c r="K24" s="280"/>
      <c r="L24" s="278"/>
      <c r="M24" s="281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4" t="str">
        <f aca="false">IF(E24&lt;&gt;"",IF(N24&lt;1.85,"Выговор",IF(AND(N24&gt;1.85,N24&lt;3),"Предупреждение",IF(AND(N24&gt;3,N24&lt;=4.65),"Нормально",IF(AND(N24&gt;4.65,N24&lt;5.1,MIN(E24:M24)&gt;=4),"Благодарность","Нормально")))),"")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584</v>
      </c>
      <c r="C25" s="37" t="s">
        <v>585</v>
      </c>
      <c r="D25" s="276"/>
      <c r="E25" s="277"/>
      <c r="F25" s="278"/>
      <c r="G25" s="278"/>
      <c r="H25" s="279"/>
      <c r="I25" s="287"/>
      <c r="J25" s="280"/>
      <c r="K25" s="280"/>
      <c r="L25" s="278"/>
      <c r="M25" s="281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4" t="str">
        <f aca="false">IF(E25&lt;&gt;"",IF(N25&lt;1.85,"Выговор",IF(AND(N25&gt;1.85,N25&lt;3),"Предупреждение",IF(AND(N25&gt;3,N25&lt;=4.65),"Нормально",IF(AND(N25&gt;4.65,N25&lt;5.1,MIN(E25:M25)&gt;=4),"Благодарность","Нормально")))),"")</f>
        <v/>
      </c>
      <c r="R25" s="36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586</v>
      </c>
      <c r="C26" s="37" t="s">
        <v>587</v>
      </c>
      <c r="D26" s="276"/>
      <c r="E26" s="277"/>
      <c r="F26" s="283"/>
      <c r="G26" s="278"/>
      <c r="H26" s="279"/>
      <c r="I26" s="290"/>
      <c r="J26" s="280"/>
      <c r="K26" s="283"/>
      <c r="L26" s="278"/>
      <c r="M26" s="286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4" t="str">
        <f aca="false">IF(E26&lt;&gt;"",IF(N26&lt;1.85,"Выговор",IF(AND(N26&gt;1.85,N26&lt;3),"Предупреждение",IF(AND(N26&gt;3,N26&lt;=4.65),"Нормально",IF(AND(N26&gt;4.65,N26&lt;5.1,MIN(E26:M26)&gt;=4),"Благодарность","Нормально")))),"")</f>
        <v/>
      </c>
      <c r="R26" s="36" t="n">
        <f aca="false">COUNTIF(E26:M26,2)+COUNTIF(E26:M26,1)+COUNTIF(E26:M26,0)</f>
        <v>0</v>
      </c>
    </row>
    <row r="27" customFormat="false" ht="14.25" hidden="false" customHeight="true" outlineLevel="0" collapsed="false">
      <c r="A27" s="37" t="n">
        <v>20</v>
      </c>
      <c r="B27" s="37" t="s">
        <v>588</v>
      </c>
      <c r="C27" s="37" t="s">
        <v>589</v>
      </c>
      <c r="D27" s="276"/>
      <c r="E27" s="277"/>
      <c r="F27" s="278"/>
      <c r="G27" s="278"/>
      <c r="H27" s="279"/>
      <c r="I27" s="287"/>
      <c r="J27" s="280"/>
      <c r="K27" s="280"/>
      <c r="L27" s="278"/>
      <c r="M27" s="281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4" t="str">
        <f aca="false">IF(E27&lt;&gt;"",IF(N27&lt;1.85,"Выговор",IF(AND(N27&gt;1.85,N27&lt;3),"Предупреждение",IF(AND(N27&gt;3,N27&lt;=4.65),"Нормально",IF(AND(N27&gt;4.65,N27&lt;5.1,MIN(E27:M27)&gt;=4),"Благодарность","Нормально")))),"")</f>
        <v/>
      </c>
      <c r="R27" s="36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590</v>
      </c>
      <c r="C28" s="37" t="s">
        <v>591</v>
      </c>
      <c r="D28" s="276"/>
      <c r="E28" s="277"/>
      <c r="F28" s="278"/>
      <c r="G28" s="278"/>
      <c r="H28" s="288"/>
      <c r="I28" s="277"/>
      <c r="J28" s="278"/>
      <c r="K28" s="278"/>
      <c r="L28" s="278"/>
      <c r="M28" s="289"/>
      <c r="N28" s="33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4" t="str">
        <f aca="false">IF(E28&lt;&gt;"",IF(N28&lt;1.85,"Выговор",IF(AND(N28&gt;1.85,N28&lt;3),"Предупреждение",IF(AND(N28&gt;3,N28&lt;=4.65),"Нормально",IF(AND(N28&gt;4.65,N28&lt;5.1,MIN(E28:M28)&gt;=4),"Благодарность","Нормально")))),"")</f>
        <v/>
      </c>
      <c r="R28" s="36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592</v>
      </c>
      <c r="C29" s="37" t="s">
        <v>593</v>
      </c>
      <c r="D29" s="276"/>
      <c r="E29" s="277"/>
      <c r="F29" s="278"/>
      <c r="G29" s="278"/>
      <c r="H29" s="288"/>
      <c r="I29" s="277"/>
      <c r="J29" s="278"/>
      <c r="K29" s="278"/>
      <c r="L29" s="278"/>
      <c r="M29" s="289"/>
      <c r="N29" s="33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4" t="str">
        <f aca="false">IF(E29&lt;&gt;"",IF(N29&lt;1.85,"Выговор",IF(AND(N29&gt;1.85,N29&lt;3),"Предупреждение",IF(AND(N29&gt;3,N29&lt;=4.65),"Нормально",IF(AND(N29&gt;4.65,N29&lt;5.1,MIN(E29:M29)&gt;=4),"Благодарность","Нормально")))),"")</f>
        <v/>
      </c>
      <c r="R29" s="36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594</v>
      </c>
      <c r="C30" s="37" t="s">
        <v>595</v>
      </c>
      <c r="D30" s="276"/>
      <c r="E30" s="277"/>
      <c r="F30" s="283"/>
      <c r="G30" s="278"/>
      <c r="H30" s="279"/>
      <c r="I30" s="290"/>
      <c r="J30" s="280"/>
      <c r="K30" s="283"/>
      <c r="L30" s="278"/>
      <c r="M30" s="286"/>
      <c r="N30" s="33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4" t="str">
        <f aca="false">IF(E30&lt;&gt;"",IF(N30&lt;1.85,"Выговор",IF(AND(N30&gt;1.85,N30&lt;3),"Предупреждение",IF(AND(N30&gt;3,N30&lt;=4.65),"Нормально",IF(AND(N30&gt;4.65,N30&lt;5.1,MIN(E30:M30)&gt;=4),"Благодарность","Нормально")))),"")</f>
        <v/>
      </c>
      <c r="R30" s="36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24</v>
      </c>
      <c r="B31" s="37" t="s">
        <v>596</v>
      </c>
      <c r="C31" s="37" t="s">
        <v>597</v>
      </c>
      <c r="D31" s="276"/>
      <c r="E31" s="277"/>
      <c r="F31" s="278"/>
      <c r="G31" s="278"/>
      <c r="H31" s="279"/>
      <c r="I31" s="287"/>
      <c r="J31" s="280"/>
      <c r="K31" s="280"/>
      <c r="L31" s="278"/>
      <c r="M31" s="281"/>
      <c r="N31" s="33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4" t="str">
        <f aca="false">IF(E31&lt;&gt;"",IF(N31&lt;1.85,"Выговор",IF(AND(N31&gt;1.85,N31&lt;3),"Предупреждение",IF(AND(N31&gt;3,N31&lt;=4.65),"Нормально",IF(AND(N31&gt;4.65,N31&lt;5.1,MIN(E31:M31)&gt;=4),"Благодарность","Нормально")))),"")</f>
        <v/>
      </c>
      <c r="R31" s="36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598</v>
      </c>
      <c r="C32" s="37" t="s">
        <v>599</v>
      </c>
      <c r="D32" s="276"/>
      <c r="E32" s="277"/>
      <c r="F32" s="278"/>
      <c r="G32" s="278"/>
      <c r="H32" s="288"/>
      <c r="I32" s="277"/>
      <c r="J32" s="278"/>
      <c r="K32" s="278"/>
      <c r="L32" s="278"/>
      <c r="M32" s="289"/>
      <c r="N32" s="33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4" t="str">
        <f aca="false">IF(E32&lt;&gt;"",IF(N32&lt;1.85,"Выговор",IF(AND(N32&gt;1.85,N32&lt;3),"Предупреждение",IF(AND(N32&gt;3,N32&lt;=4.65),"Нормально",IF(AND(N32&gt;4.65,N32&lt;5.1,MIN(E32:M32)&gt;=4),"Благодарность","Нормально")))),"")</f>
        <v/>
      </c>
      <c r="R32" s="36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26</v>
      </c>
      <c r="B33" s="37" t="s">
        <v>600</v>
      </c>
      <c r="C33" s="37" t="s">
        <v>601</v>
      </c>
      <c r="D33" s="276"/>
      <c r="E33" s="277"/>
      <c r="F33" s="278"/>
      <c r="G33" s="278"/>
      <c r="H33" s="288"/>
      <c r="I33" s="277"/>
      <c r="J33" s="278"/>
      <c r="K33" s="278"/>
      <c r="L33" s="278"/>
      <c r="M33" s="289"/>
      <c r="N33" s="33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4" t="str">
        <f aca="false">IF(E33&lt;&gt;"",IF(N33&lt;1.85,"Выговор",IF(AND(N33&gt;1.85,N33&lt;3),"Предупреждение",IF(AND(N33&gt;3,N33&lt;=4.65),"Нормально",IF(AND(N33&gt;4.65,N33&lt;5.1,MIN(E33:M33)&gt;=4),"Благодарность","Нормально")))),"")</f>
        <v/>
      </c>
      <c r="R33" s="36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27</v>
      </c>
      <c r="B34" s="37" t="s">
        <v>602</v>
      </c>
      <c r="C34" s="37" t="s">
        <v>603</v>
      </c>
      <c r="D34" s="276"/>
      <c r="E34" s="277"/>
      <c r="F34" s="278"/>
      <c r="G34" s="278"/>
      <c r="H34" s="288"/>
      <c r="I34" s="277"/>
      <c r="J34" s="278"/>
      <c r="K34" s="278"/>
      <c r="L34" s="278"/>
      <c r="M34" s="289"/>
      <c r="N34" s="33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4" t="str">
        <f aca="false">IF(E34&lt;&gt;"",IF(N34&lt;1.85,"Выговор",IF(AND(N34&gt;1.85,N34&lt;3),"Предупреждение",IF(AND(N34&gt;3,N34&lt;=4.65),"Нормально",IF(AND(N34&gt;4.65,N34&lt;5.1,MIN(E34:M34)&gt;=4),"Благодарность","Нормально")))),"")</f>
        <v/>
      </c>
      <c r="R34" s="36" t="n">
        <f aca="false">COUNTIF(E34:M34,2)+COUNTIF(E34:M34,1)+COUNTIF(E34:M34,0)</f>
        <v>0</v>
      </c>
    </row>
    <row r="35" s="45" customFormat="true" ht="15" hidden="false" customHeight="true" outlineLevel="0" collapsed="false">
      <c r="A35" s="37" t="n">
        <v>28</v>
      </c>
      <c r="B35" s="37" t="s">
        <v>604</v>
      </c>
      <c r="C35" s="37" t="s">
        <v>605</v>
      </c>
      <c r="D35" s="276"/>
      <c r="E35" s="277"/>
      <c r="F35" s="278"/>
      <c r="G35" s="278"/>
      <c r="H35" s="288"/>
      <c r="I35" s="277"/>
      <c r="J35" s="278"/>
      <c r="K35" s="278"/>
      <c r="L35" s="278"/>
      <c r="M35" s="289"/>
      <c r="N35" s="33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84" t="str">
        <f aca="false">IF(E35&lt;&gt;"",IF(N35&lt;1.85,"Выговор",IF(AND(N35&gt;1.85,N35&lt;3),"Предупреждение",IF(AND(N35&gt;3,N35&lt;=4.65),"Нормально",IF(AND(N35&gt;4.65,N35&lt;5.1,MIN(E35:M35)&gt;=4),"Благодарность","Нормально")))),"")</f>
        <v/>
      </c>
      <c r="R35" s="36" t="n">
        <f aca="false">COUNTIF(E35:M35,2)+COUNTIF(E35:M35,1)+COUNTIF(E35:M35,0)</f>
        <v>0</v>
      </c>
    </row>
    <row r="36" customFormat="false" ht="15" hidden="false" customHeight="true" outlineLevel="0" collapsed="false">
      <c r="A36" s="37" t="n">
        <v>29</v>
      </c>
      <c r="B36" s="37" t="s">
        <v>606</v>
      </c>
      <c r="C36" s="37" t="s">
        <v>607</v>
      </c>
      <c r="D36" s="276"/>
      <c r="E36" s="277"/>
      <c r="F36" s="278"/>
      <c r="G36" s="278"/>
      <c r="H36" s="279"/>
      <c r="I36" s="277"/>
      <c r="J36" s="278"/>
      <c r="K36" s="280"/>
      <c r="L36" s="278"/>
      <c r="M36" s="281"/>
      <c r="N36" s="33" t="str">
        <f aca="false">IFERROR(AVERAGE(E36:M36),"")</f>
        <v/>
      </c>
      <c r="O36" s="84" t="str">
        <f aca="false">IF(E36&lt;&gt;"",IF(COUNTIF(E36:M36,"&lt;3"),"Не успевает","Успевает"),"")</f>
        <v/>
      </c>
      <c r="P36" s="241" t="str">
        <f aca="false">IF(D36&lt;&gt;"",(30*(set!B$5)-D36)/(30*(set!B$5))*100,"")</f>
        <v/>
      </c>
      <c r="Q36" s="84" t="str">
        <f aca="false">IF(E36&lt;&gt;"",IF(N36&lt;1.85,"Выговор",IF(AND(N36&gt;1.85,N36&lt;3),"Предупреждение",IF(AND(N36&gt;3,N36&lt;=4.65),"Нормально",IF(AND(N36&gt;4.65,N36&lt;5.1,MIN(E36:M36)&gt;=4),"Благодарность","Нормально")))),"")</f>
        <v/>
      </c>
      <c r="R36" s="36" t="n">
        <f aca="false">COUNTIF(E36:M36,2)+COUNTIF(E36:M36,1)+COUNTIF(E36:M36,0)</f>
        <v>0</v>
      </c>
    </row>
    <row r="37" customFormat="false" ht="15" hidden="false" customHeight="true" outlineLevel="0" collapsed="false">
      <c r="A37" s="0" t="s">
        <v>77</v>
      </c>
      <c r="D37" s="209"/>
      <c r="E37" s="210" t="e">
        <f aca="false">AVERAGE(E8:E36)</f>
        <v>#DIV/0!</v>
      </c>
      <c r="F37" s="210" t="e">
        <f aca="false">AVERAGE(F8:F36)</f>
        <v>#DIV/0!</v>
      </c>
      <c r="G37" s="210" t="e">
        <f aca="false">AVERAGE(G8:G36)</f>
        <v>#DIV/0!</v>
      </c>
      <c r="H37" s="210" t="e">
        <f aca="false">AVERAGE(H8:H36)</f>
        <v>#DIV/0!</v>
      </c>
      <c r="I37" s="210" t="e">
        <f aca="false">AVERAGE(I8:I36)</f>
        <v>#DIV/0!</v>
      </c>
      <c r="J37" s="210" t="e">
        <f aca="false">AVERAGE(J8:J36)</f>
        <v>#DIV/0!</v>
      </c>
      <c r="K37" s="210" t="e">
        <f aca="false">AVERAGE(K8:K36)</f>
        <v>#DIV/0!</v>
      </c>
      <c r="L37" s="210" t="e">
        <f aca="false">AVERAGE(L8:L36)</f>
        <v>#DIV/0!</v>
      </c>
      <c r="M37" s="210" t="e">
        <f aca="false">AVERAGE(M8:M36)</f>
        <v>#DIV/0!</v>
      </c>
      <c r="N37" s="48"/>
      <c r="O37" s="47"/>
      <c r="P37" s="48"/>
    </row>
    <row r="38" customFormat="false" ht="15" hidden="false" customHeight="true" outlineLevel="0" collapsed="false">
      <c r="A38" s="0" t="s">
        <v>78</v>
      </c>
      <c r="D38" s="209"/>
      <c r="E38" s="137" t="e">
        <f aca="false">(COUNTIF(E8:E36,5)+COUNTIF(E8:E36,4)+COUNTIF(E8:E36,3))/$O$42*100</f>
        <v>#DIV/0!</v>
      </c>
      <c r="F38" s="137" t="e">
        <f aca="false">(COUNTIF(F8:F36,5)+COUNTIF(F8:F36,4)+COUNTIF(F8:F36,3))/$O$42*100</f>
        <v>#DIV/0!</v>
      </c>
      <c r="G38" s="137" t="e">
        <f aca="false">(COUNTIF(G8:G36,5)+COUNTIF(G8:G36,4)+COUNTIF(G8:G36,3))/$O$42*100</f>
        <v>#DIV/0!</v>
      </c>
      <c r="H38" s="137" t="e">
        <f aca="false">(COUNTIF(H8:H36,5)+COUNTIF(H8:H36,4)+COUNTIF(H8:H36,3))/$O$42*100</f>
        <v>#DIV/0!</v>
      </c>
      <c r="I38" s="137" t="e">
        <f aca="false">(COUNTIF(I8:I36,5)+COUNTIF(I8:I36,4)+COUNTIF(I8:I36,3))/$O$42*100</f>
        <v>#DIV/0!</v>
      </c>
      <c r="J38" s="137" t="e">
        <f aca="false">(COUNTIF(J8:J36,5)+COUNTIF(J8:J36,4)+COUNTIF(J8:J36,3))/$O$42*100</f>
        <v>#DIV/0!</v>
      </c>
      <c r="K38" s="137" t="e">
        <f aca="false">(COUNTIF(K8:K36,5)+COUNTIF(K8:K36,4)+COUNTIF(K8:K36,3))/$O$42*100</f>
        <v>#DIV/0!</v>
      </c>
      <c r="L38" s="137" t="e">
        <f aca="false">(COUNTIF(L8:L36,5)+COUNTIF(L8:L36,4)+COUNTIF(L8:L36,3))/$O$42*100</f>
        <v>#DIV/0!</v>
      </c>
      <c r="M38" s="137" t="e">
        <f aca="false">(COUNTIF(M8:M36,5)+COUNTIF(M8:M36,4)+COUNTIF(M8:M36,3))/$O$42*100</f>
        <v>#DIV/0!</v>
      </c>
      <c r="N38" s="48"/>
      <c r="O38" s="47"/>
      <c r="P38" s="48"/>
    </row>
    <row r="39" customFormat="false" ht="15" hidden="false" customHeight="true" outlineLevel="0" collapsed="false"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</row>
    <row r="40" customFormat="false" ht="15" hidden="false" customHeight="true" outlineLevel="0" collapsed="false">
      <c r="B40" s="50"/>
      <c r="C40" s="50" t="s">
        <v>8</v>
      </c>
      <c r="D40" s="51" t="str">
        <f aca="false">IFERROR(AVERAGE(N8:N28),"")</f>
        <v/>
      </c>
      <c r="E40" s="52" t="s">
        <v>9</v>
      </c>
      <c r="F40" s="52"/>
      <c r="G40" s="53" t="str">
        <f aca="false">IFERROR(COUNTIF(O8:O36,"Успевает")/O42*100,"")</f>
        <v/>
      </c>
      <c r="H40" s="53"/>
      <c r="I40" s="291" t="s">
        <v>79</v>
      </c>
      <c r="J40" s="291"/>
      <c r="K40" s="55" t="str">
        <f aca="false">IFERROR(AVERAGE(P8:P36),"")</f>
        <v/>
      </c>
      <c r="L40" s="52"/>
      <c r="M40" s="158"/>
      <c r="N40" s="48"/>
      <c r="O40" s="48"/>
      <c r="P40" s="48"/>
      <c r="Q40" s="48"/>
      <c r="R40" s="48"/>
    </row>
    <row r="41" customFormat="false" ht="15" hidden="false" customHeight="true" outlineLevel="0" collapsed="false">
      <c r="B41" s="50"/>
      <c r="C41" s="50"/>
      <c r="D41" s="50"/>
      <c r="E41" s="56"/>
      <c r="F41" s="56"/>
      <c r="G41" s="56"/>
      <c r="H41" s="56"/>
      <c r="I41" s="56"/>
      <c r="J41" s="56"/>
      <c r="K41" s="56"/>
      <c r="L41" s="56"/>
      <c r="M41" s="56"/>
      <c r="S41" s="60"/>
    </row>
    <row r="42" customFormat="false" ht="15" hidden="false" customHeight="true" outlineLevel="0" collapsed="false">
      <c r="A42" s="50"/>
      <c r="B42" s="261" t="s">
        <v>81</v>
      </c>
      <c r="C42" s="261"/>
      <c r="D42" s="261"/>
      <c r="E42" s="261"/>
      <c r="F42" s="261"/>
      <c r="G42" s="261"/>
      <c r="H42" s="261"/>
      <c r="I42" s="261"/>
      <c r="J42" s="292" t="s">
        <v>82</v>
      </c>
      <c r="K42" s="292"/>
      <c r="L42" s="96"/>
      <c r="M42" s="57" t="s">
        <v>80</v>
      </c>
      <c r="N42" s="57"/>
      <c r="O42" s="58" t="n">
        <f aca="false">SUM(O43:O44)</f>
        <v>0</v>
      </c>
      <c r="P42" s="293"/>
      <c r="Q42" s="293"/>
      <c r="R42" s="293"/>
    </row>
    <row r="43" customFormat="false" ht="15" hidden="false" customHeight="true" outlineLevel="0" collapsed="false">
      <c r="A43" s="50"/>
      <c r="B43" s="141" t="str">
        <f aca="false">$E$6</f>
        <v> Алгоритмизация и программирование</v>
      </c>
      <c r="C43" s="141"/>
      <c r="D43" s="141"/>
      <c r="E43" s="141"/>
      <c r="F43" s="141"/>
      <c r="G43" s="141"/>
      <c r="H43" s="141"/>
      <c r="I43" s="141"/>
      <c r="J43" s="294"/>
      <c r="K43" s="294"/>
      <c r="L43" s="295"/>
      <c r="M43" s="57" t="s">
        <v>83</v>
      </c>
      <c r="N43" s="57"/>
      <c r="O43" s="58" t="n">
        <f aca="false">COUNTIF(O8:O36,"Успевает")</f>
        <v>0</v>
      </c>
      <c r="P43" s="293"/>
      <c r="Q43" s="293"/>
      <c r="R43" s="293"/>
    </row>
    <row r="44" customFormat="false" ht="15" hidden="false" customHeight="true" outlineLevel="0" collapsed="false">
      <c r="A44" s="50"/>
      <c r="B44" s="141" t="str">
        <f aca="false">$F$6</f>
        <v> Аналитическая геометрия и линейная алгебра</v>
      </c>
      <c r="C44" s="141"/>
      <c r="D44" s="141"/>
      <c r="E44" s="141"/>
      <c r="F44" s="141"/>
      <c r="G44" s="141"/>
      <c r="H44" s="141"/>
      <c r="I44" s="141"/>
      <c r="J44" s="294"/>
      <c r="K44" s="294"/>
      <c r="L44" s="295"/>
      <c r="M44" s="98" t="s">
        <v>84</v>
      </c>
      <c r="N44" s="98"/>
      <c r="O44" s="58" t="n">
        <f aca="false">COUNTIF(O8:O36,"Не успевает")</f>
        <v>0</v>
      </c>
      <c r="P44" s="293"/>
      <c r="Q44" s="293"/>
      <c r="R44" s="296"/>
    </row>
    <row r="45" customFormat="false" ht="15" hidden="false" customHeight="true" outlineLevel="0" collapsed="false">
      <c r="A45" s="50"/>
      <c r="B45" s="141" t="str">
        <f aca="false">$G$6</f>
        <v> Инженерная графика</v>
      </c>
      <c r="C45" s="141"/>
      <c r="D45" s="141"/>
      <c r="E45" s="141"/>
      <c r="F45" s="141"/>
      <c r="G45" s="141"/>
      <c r="H45" s="141"/>
      <c r="I45" s="141"/>
      <c r="J45" s="294"/>
      <c r="K45" s="294"/>
      <c r="L45" s="295"/>
      <c r="M45" s="98" t="s">
        <v>85</v>
      </c>
      <c r="N45" s="98"/>
      <c r="O45" s="58" t="n">
        <f aca="false">COUNTIF(Q8:Q36,"Благодарность")</f>
        <v>0</v>
      </c>
      <c r="P45" s="293"/>
      <c r="Q45" s="293"/>
      <c r="R45" s="293"/>
    </row>
    <row r="46" customFormat="false" ht="15" hidden="false" customHeight="true" outlineLevel="0" collapsed="false">
      <c r="A46" s="50"/>
      <c r="B46" s="141" t="str">
        <f aca="false">$H$6</f>
        <v> Математический анализ</v>
      </c>
      <c r="C46" s="141"/>
      <c r="D46" s="141"/>
      <c r="E46" s="141"/>
      <c r="F46" s="141"/>
      <c r="G46" s="141"/>
      <c r="H46" s="141"/>
      <c r="I46" s="141"/>
      <c r="J46" s="294"/>
      <c r="K46" s="294"/>
      <c r="L46" s="295"/>
      <c r="M46" s="98" t="s">
        <v>86</v>
      </c>
      <c r="N46" s="98"/>
      <c r="O46" s="58" t="n">
        <f aca="false">COUNTIF(Q8:Q36,"Нормально")</f>
        <v>0</v>
      </c>
      <c r="P46" s="293"/>
      <c r="Q46" s="293"/>
      <c r="R46" s="297"/>
    </row>
    <row r="47" customFormat="false" ht="15" hidden="false" customHeight="true" outlineLevel="0" collapsed="false">
      <c r="A47" s="50"/>
      <c r="B47" s="141" t="str">
        <f aca="false">$I$6</f>
        <v>Иностранный язык</v>
      </c>
      <c r="C47" s="141"/>
      <c r="D47" s="141"/>
      <c r="E47" s="141"/>
      <c r="F47" s="141"/>
      <c r="G47" s="141"/>
      <c r="H47" s="141"/>
      <c r="I47" s="141"/>
      <c r="J47" s="285"/>
      <c r="K47" s="285"/>
      <c r="L47" s="295"/>
      <c r="M47" s="98" t="s">
        <v>87</v>
      </c>
      <c r="N47" s="98"/>
      <c r="O47" s="58" t="n">
        <f aca="false">COUNTIF(Q8:Q36,"Предупреждение")</f>
        <v>0</v>
      </c>
      <c r="P47" s="293"/>
      <c r="Q47" s="293"/>
      <c r="R47" s="297"/>
    </row>
    <row r="48" customFormat="false" ht="15" hidden="false" customHeight="true" outlineLevel="0" collapsed="false">
      <c r="A48" s="50"/>
      <c r="B48" s="141" t="str">
        <f aca="false">$J$6</f>
        <v> История России</v>
      </c>
      <c r="C48" s="141"/>
      <c r="D48" s="141"/>
      <c r="E48" s="141"/>
      <c r="F48" s="141"/>
      <c r="G48" s="141"/>
      <c r="H48" s="141"/>
      <c r="I48" s="141"/>
      <c r="J48" s="285"/>
      <c r="K48" s="285"/>
      <c r="L48" s="295"/>
      <c r="M48" s="98" t="s">
        <v>88</v>
      </c>
      <c r="N48" s="98"/>
      <c r="O48" s="58" t="n">
        <f aca="false">COUNTIF(Q8:Q36,"Выговор")</f>
        <v>0</v>
      </c>
      <c r="P48" s="293"/>
      <c r="Q48" s="293"/>
      <c r="R48" s="297"/>
    </row>
    <row r="49" customFormat="false" ht="15" hidden="false" customHeight="true" outlineLevel="0" collapsed="false">
      <c r="A49" s="50"/>
      <c r="B49" s="141" t="str">
        <f aca="false">$K$6</f>
        <v>Ознакомительная практика</v>
      </c>
      <c r="C49" s="141"/>
      <c r="D49" s="141"/>
      <c r="E49" s="141"/>
      <c r="F49" s="141"/>
      <c r="G49" s="141"/>
      <c r="H49" s="141"/>
      <c r="I49" s="141"/>
      <c r="J49" s="285"/>
      <c r="K49" s="285"/>
      <c r="L49" s="295"/>
      <c r="M49" s="70" t="s">
        <v>12</v>
      </c>
      <c r="N49" s="70"/>
      <c r="O49" s="186" t="n">
        <f aca="false">SUM(R8:R36)</f>
        <v>0</v>
      </c>
      <c r="P49" s="298"/>
      <c r="Q49" s="297"/>
      <c r="R49" s="297"/>
    </row>
    <row r="50" customFormat="false" ht="15" hidden="false" customHeight="true" outlineLevel="0" collapsed="false">
      <c r="A50" s="50"/>
      <c r="B50" s="141" t="str">
        <f aca="false">$L$6</f>
        <v> Теоретическая информатика</v>
      </c>
      <c r="C50" s="141"/>
      <c r="D50" s="141"/>
      <c r="E50" s="141"/>
      <c r="F50" s="141"/>
      <c r="G50" s="141"/>
      <c r="H50" s="141"/>
      <c r="I50" s="141"/>
      <c r="J50" s="285"/>
      <c r="K50" s="285"/>
      <c r="L50" s="295"/>
      <c r="M50" s="59"/>
      <c r="N50" s="59"/>
      <c r="O50" s="72"/>
      <c r="P50" s="298"/>
      <c r="Q50" s="297"/>
      <c r="R50" s="297"/>
    </row>
    <row r="51" customFormat="false" ht="15" hidden="false" customHeight="true" outlineLevel="0" collapsed="false">
      <c r="A51" s="50"/>
      <c r="B51" s="141" t="str">
        <f aca="false">$M$6</f>
        <v>Физическая культура и спорт</v>
      </c>
      <c r="C51" s="141"/>
      <c r="D51" s="141"/>
      <c r="E51" s="141"/>
      <c r="F51" s="141"/>
      <c r="G51" s="141"/>
      <c r="H51" s="141"/>
      <c r="I51" s="141"/>
      <c r="J51" s="285"/>
      <c r="K51" s="285"/>
      <c r="L51" s="295"/>
      <c r="M51" s="59"/>
      <c r="N51" s="59"/>
      <c r="O51" s="72"/>
      <c r="P51" s="298"/>
      <c r="Q51" s="297"/>
      <c r="R51" s="297"/>
    </row>
    <row r="52" customFormat="false" ht="15" hidden="false" customHeight="true" outlineLevel="0" collapsed="false">
      <c r="A52" s="50"/>
      <c r="L52" s="48"/>
      <c r="M52" s="48"/>
      <c r="N52" s="48"/>
      <c r="O52" s="48"/>
      <c r="P52" s="48"/>
      <c r="Q52" s="48"/>
      <c r="R52" s="48"/>
    </row>
    <row r="53" customFormat="false" ht="15" hidden="false" customHeight="true" outlineLevel="0" collapsed="false">
      <c r="A53" s="50"/>
      <c r="B53" s="73" t="s">
        <v>89</v>
      </c>
      <c r="C53" s="299" t="s">
        <v>608</v>
      </c>
      <c r="D53" s="73"/>
      <c r="E53" s="67"/>
      <c r="F53" s="52" t="s">
        <v>407</v>
      </c>
      <c r="G53" s="300" t="s">
        <v>609</v>
      </c>
      <c r="H53" s="300"/>
      <c r="I53" s="52"/>
      <c r="J53" s="52"/>
      <c r="K53" s="52"/>
      <c r="M53" s="48"/>
      <c r="N53" s="48"/>
      <c r="O53" s="48"/>
      <c r="P53" s="48"/>
      <c r="Q53" s="48"/>
      <c r="R53" s="48"/>
    </row>
    <row r="54" customFormat="false" ht="15" hidden="false" customHeight="true" outlineLevel="0" collapsed="false">
      <c r="A54" s="50"/>
      <c r="B54" s="52"/>
      <c r="C54" s="52"/>
      <c r="D54" s="52"/>
      <c r="E54" s="52"/>
      <c r="F54" s="52"/>
      <c r="G54" s="52"/>
      <c r="H54" s="52"/>
      <c r="I54" s="52"/>
      <c r="J54" s="52"/>
      <c r="K54" s="50"/>
      <c r="L54" s="52"/>
      <c r="M54" s="48"/>
      <c r="N54" s="48"/>
      <c r="O54" s="48"/>
      <c r="P54" s="48"/>
      <c r="Q54" s="48"/>
      <c r="R54" s="48"/>
    </row>
    <row r="55" customFormat="false" ht="15" hidden="false" customHeight="true" outlineLevel="0" collapsed="false">
      <c r="A55" s="50"/>
      <c r="B55" s="50" t="s">
        <v>95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48"/>
      <c r="N55" s="48"/>
      <c r="O55" s="48"/>
      <c r="P55" s="48"/>
      <c r="Q55" s="48"/>
      <c r="R55" s="48"/>
    </row>
    <row r="56" customFormat="false" ht="15" hidden="false" customHeight="true" outlineLevel="0" collapsed="false">
      <c r="A56" s="50"/>
      <c r="B56" s="50" t="s">
        <v>96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48"/>
      <c r="N56" s="48"/>
      <c r="O56" s="48"/>
      <c r="P56" s="48"/>
      <c r="Q56" s="48"/>
      <c r="R56" s="48"/>
    </row>
    <row r="57" customFormat="false" ht="15" hidden="false" customHeight="true" outlineLevel="0" collapsed="false">
      <c r="A57" s="50"/>
      <c r="B57" s="50" t="s">
        <v>97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48"/>
      <c r="N57" s="48"/>
      <c r="O57" s="48"/>
      <c r="P57" s="48"/>
      <c r="Q57" s="48"/>
      <c r="R57" s="48"/>
    </row>
    <row r="58" customFormat="false" ht="15" hidden="false" customHeight="true" outlineLevel="0" collapsed="false">
      <c r="B58" s="50" t="s">
        <v>98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48"/>
    </row>
    <row r="59" customFormat="false" ht="15" hidden="false" customHeight="true" outlineLevel="0" collapsed="false">
      <c r="B59" s="50" t="s">
        <v>99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48"/>
    </row>
    <row r="60" customFormat="false" ht="15" hidden="false" customHeight="true" outlineLevel="0" collapsed="false"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</row>
    <row r="61" customFormat="false" ht="15.75" hidden="false" customHeight="false" outlineLevel="0" collapsed="false">
      <c r="L61" s="50"/>
    </row>
  </sheetData>
  <mergeCells count="42">
    <mergeCell ref="E1:H1"/>
    <mergeCell ref="N2:O2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B42:I42"/>
    <mergeCell ref="J42:K42"/>
    <mergeCell ref="M42:N42"/>
    <mergeCell ref="B43:I43"/>
    <mergeCell ref="J43:K43"/>
    <mergeCell ref="M43:N43"/>
    <mergeCell ref="B44:I44"/>
    <mergeCell ref="J44:K44"/>
    <mergeCell ref="M44:N44"/>
    <mergeCell ref="B45:I45"/>
    <mergeCell ref="J45:K45"/>
    <mergeCell ref="M45:N45"/>
    <mergeCell ref="B46:I46"/>
    <mergeCell ref="J46:K46"/>
    <mergeCell ref="M46:N46"/>
    <mergeCell ref="B47:I47"/>
    <mergeCell ref="J47:K47"/>
    <mergeCell ref="M47:N47"/>
    <mergeCell ref="B48:I48"/>
    <mergeCell ref="J48:K48"/>
    <mergeCell ref="M48:N48"/>
    <mergeCell ref="B49:I49"/>
    <mergeCell ref="J49:K49"/>
    <mergeCell ref="M49:N49"/>
    <mergeCell ref="B50:I50"/>
    <mergeCell ref="J50:K50"/>
    <mergeCell ref="B51:I51"/>
    <mergeCell ref="J51:K51"/>
  </mergeCells>
  <conditionalFormatting sqref="K3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3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3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30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3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30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30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30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30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30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0:H32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6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6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6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6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6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6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6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6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6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6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1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1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1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1">
    <cfRule type="colorScale" priority="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0">
    <cfRule type="colorScale" priority="2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0">
    <cfRule type="colorScale" priority="2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0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0">
    <cfRule type="colorScale" priority="3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8:H29 G33:H36">
    <cfRule type="colorScale" priority="3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6">
    <cfRule type="colorScale" priority="3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29 I8:J29 I33:J36 E33:E36">
    <cfRule type="colorScale" priority="3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0:E32 I30:J32">
    <cfRule type="colorScale" priority="3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8:M29 K33:M36">
    <cfRule type="colorScale" priority="3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30:M32">
    <cfRule type="colorScale" priority="3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3:M23">
    <cfRule type="colorScale" priority="3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7:E38 F38:M38">
    <cfRule type="colorScale" priority="3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37:M37">
    <cfRule type="colorScale" priority="3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8:M29 F8:F29 F33:F36 G33:M35">
    <cfRule type="colorScale" priority="4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2:M32 F30:F32">
    <cfRule type="colorScale" priority="4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2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10.14"/>
    <col collapsed="false" customWidth="true" hidden="false" outlineLevel="0" max="3" min="3" style="0" width="19.86"/>
    <col collapsed="false" customWidth="true" hidden="false" outlineLevel="0" max="5" min="5" style="0" width="10"/>
    <col collapsed="false" customWidth="false" hidden="false" outlineLevel="0" max="13" min="13" style="45" width="9.14"/>
    <col collapsed="false" customWidth="true" hidden="false" outlineLevel="0" max="15" min="15" style="0" width="10.29"/>
    <col collapsed="false" customWidth="true" hidden="false" outlineLevel="0" max="16" min="16" style="0" width="10.57"/>
    <col collapsed="false" customWidth="true" hidden="false" outlineLevel="0" max="17" min="17" style="0" width="13.15"/>
    <col collapsed="false" customWidth="true" hidden="false" outlineLevel="0" max="18" min="18" style="0" width="8.29"/>
    <col collapsed="false" customWidth="true" hidden="false" outlineLevel="0" max="19" min="19" style="0" width="13"/>
    <col collapsed="false" customWidth="true" hidden="false" outlineLevel="0" max="20" min="20" style="0" width="5.86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6"/>
      <c r="P2" s="267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ИУК2-12Б факультета ИУК МГТУ им. Н.Э. Баумана"</f>
        <v>Успеваемость студентов за 1 семестр 24/25 учебного года по группе ИУК2-12Б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5" hidden="false" customHeight="false" outlineLevel="0" collapsed="false">
      <c r="A6" s="8"/>
      <c r="B6" s="8"/>
      <c r="C6" s="8"/>
      <c r="D6" s="301"/>
      <c r="E6" s="15" t="s">
        <v>541</v>
      </c>
      <c r="F6" s="16" t="s">
        <v>542</v>
      </c>
      <c r="G6" s="16" t="s">
        <v>543</v>
      </c>
      <c r="H6" s="18" t="s">
        <v>544</v>
      </c>
      <c r="I6" s="15" t="s">
        <v>18</v>
      </c>
      <c r="J6" s="16" t="s">
        <v>144</v>
      </c>
      <c r="K6" s="16" t="s">
        <v>545</v>
      </c>
      <c r="L6" s="16" t="s">
        <v>546</v>
      </c>
      <c r="M6" s="18" t="s">
        <v>147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301"/>
      <c r="E7" s="22" t="s">
        <v>547</v>
      </c>
      <c r="F7" s="23" t="s">
        <v>22</v>
      </c>
      <c r="G7" s="23" t="s">
        <v>25</v>
      </c>
      <c r="H7" s="24" t="s">
        <v>24</v>
      </c>
      <c r="I7" s="22" t="s">
        <v>27</v>
      </c>
      <c r="J7" s="23" t="s">
        <v>149</v>
      </c>
      <c r="K7" s="23" t="s">
        <v>548</v>
      </c>
      <c r="L7" s="23" t="s">
        <v>549</v>
      </c>
      <c r="M7" s="24" t="s">
        <v>30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610</v>
      </c>
      <c r="C8" s="25" t="s">
        <v>611</v>
      </c>
      <c r="D8" s="302"/>
      <c r="E8" s="303"/>
      <c r="F8" s="304"/>
      <c r="G8" s="304"/>
      <c r="H8" s="305"/>
      <c r="I8" s="303"/>
      <c r="J8" s="304"/>
      <c r="K8" s="304"/>
      <c r="L8" s="304"/>
      <c r="M8" s="306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84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612</v>
      </c>
      <c r="C9" s="37" t="s">
        <v>613</v>
      </c>
      <c r="D9" s="195"/>
      <c r="E9" s="307"/>
      <c r="F9" s="308"/>
      <c r="G9" s="308"/>
      <c r="H9" s="309"/>
      <c r="I9" s="307"/>
      <c r="J9" s="308"/>
      <c r="K9" s="308"/>
      <c r="L9" s="308"/>
      <c r="M9" s="310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4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614</v>
      </c>
      <c r="C10" s="37" t="s">
        <v>615</v>
      </c>
      <c r="D10" s="195"/>
      <c r="E10" s="307"/>
      <c r="F10" s="308"/>
      <c r="G10" s="308"/>
      <c r="H10" s="309"/>
      <c r="I10" s="307"/>
      <c r="J10" s="308"/>
      <c r="K10" s="308"/>
      <c r="L10" s="308"/>
      <c r="M10" s="310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4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616</v>
      </c>
      <c r="C11" s="37" t="s">
        <v>617</v>
      </c>
      <c r="D11" s="195"/>
      <c r="E11" s="307"/>
      <c r="F11" s="308"/>
      <c r="G11" s="308"/>
      <c r="H11" s="309"/>
      <c r="I11" s="307"/>
      <c r="J11" s="308"/>
      <c r="K11" s="308"/>
      <c r="L11" s="308"/>
      <c r="M11" s="310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4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618</v>
      </c>
      <c r="C12" s="37" t="s">
        <v>619</v>
      </c>
      <c r="D12" s="311"/>
      <c r="E12" s="312"/>
      <c r="F12" s="313"/>
      <c r="G12" s="314"/>
      <c r="H12" s="315"/>
      <c r="I12" s="316"/>
      <c r="J12" s="313"/>
      <c r="K12" s="314"/>
      <c r="L12" s="314"/>
      <c r="M12" s="310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4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620</v>
      </c>
      <c r="C13" s="37" t="s">
        <v>621</v>
      </c>
      <c r="D13" s="311"/>
      <c r="E13" s="317"/>
      <c r="F13" s="318"/>
      <c r="G13" s="308"/>
      <c r="H13" s="41"/>
      <c r="I13" s="307"/>
      <c r="J13" s="318"/>
      <c r="K13" s="308"/>
      <c r="L13" s="308"/>
      <c r="M13" s="310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4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622</v>
      </c>
      <c r="C14" s="37" t="s">
        <v>623</v>
      </c>
      <c r="D14" s="195"/>
      <c r="E14" s="307"/>
      <c r="F14" s="308"/>
      <c r="G14" s="308"/>
      <c r="H14" s="309"/>
      <c r="I14" s="307"/>
      <c r="J14" s="308"/>
      <c r="K14" s="308"/>
      <c r="L14" s="308"/>
      <c r="M14" s="310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4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624</v>
      </c>
      <c r="C15" s="37" t="s">
        <v>625</v>
      </c>
      <c r="D15" s="195"/>
      <c r="E15" s="307"/>
      <c r="F15" s="308"/>
      <c r="G15" s="308"/>
      <c r="H15" s="309"/>
      <c r="I15" s="307"/>
      <c r="J15" s="308"/>
      <c r="K15" s="308"/>
      <c r="L15" s="308"/>
      <c r="M15" s="310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4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626</v>
      </c>
      <c r="C16" s="37" t="s">
        <v>627</v>
      </c>
      <c r="D16" s="195"/>
      <c r="E16" s="307"/>
      <c r="F16" s="308"/>
      <c r="G16" s="308"/>
      <c r="H16" s="309"/>
      <c r="I16" s="307"/>
      <c r="J16" s="308"/>
      <c r="K16" s="308"/>
      <c r="L16" s="308"/>
      <c r="M16" s="310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4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628</v>
      </c>
      <c r="C17" s="37" t="s">
        <v>629</v>
      </c>
      <c r="D17" s="195"/>
      <c r="E17" s="307"/>
      <c r="F17" s="308"/>
      <c r="G17" s="308"/>
      <c r="H17" s="309"/>
      <c r="I17" s="307"/>
      <c r="J17" s="308"/>
      <c r="K17" s="308"/>
      <c r="L17" s="308"/>
      <c r="M17" s="310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4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630</v>
      </c>
      <c r="C18" s="37" t="s">
        <v>631</v>
      </c>
      <c r="D18" s="195"/>
      <c r="E18" s="307"/>
      <c r="F18" s="308"/>
      <c r="G18" s="308"/>
      <c r="H18" s="309"/>
      <c r="I18" s="307"/>
      <c r="J18" s="308"/>
      <c r="K18" s="308"/>
      <c r="L18" s="308"/>
      <c r="M18" s="310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4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632</v>
      </c>
      <c r="C19" s="37" t="s">
        <v>633</v>
      </c>
      <c r="D19" s="195"/>
      <c r="E19" s="307"/>
      <c r="F19" s="308"/>
      <c r="G19" s="308"/>
      <c r="H19" s="309"/>
      <c r="I19" s="307"/>
      <c r="J19" s="308"/>
      <c r="K19" s="308"/>
      <c r="L19" s="308"/>
      <c r="M19" s="310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4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634</v>
      </c>
      <c r="C20" s="37" t="s">
        <v>635</v>
      </c>
      <c r="D20" s="195"/>
      <c r="E20" s="307"/>
      <c r="F20" s="308"/>
      <c r="G20" s="308"/>
      <c r="H20" s="309"/>
      <c r="I20" s="307"/>
      <c r="J20" s="308"/>
      <c r="K20" s="308"/>
      <c r="L20" s="308"/>
      <c r="M20" s="310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4" t="str">
        <f aca="false">IF(E20&lt;&gt;"",IF(N20&lt;1.85,"Выговор",IF(AND(N20&gt;1.85,N20&lt;3),"Предупреждение",IF(AND(N20&gt;3,N20&lt;=4.65),"Нормально",IF(AND(N20&gt;4.65,N20&lt;5.1,MIN(E20:M20)&gt;=4),"Благодарность","Нормально")))),"")</f>
        <v/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85" t="n">
        <v>14</v>
      </c>
      <c r="B21" s="37" t="s">
        <v>636</v>
      </c>
      <c r="C21" s="37" t="s">
        <v>637</v>
      </c>
      <c r="D21" s="195"/>
      <c r="E21" s="307"/>
      <c r="F21" s="308"/>
      <c r="G21" s="308"/>
      <c r="H21" s="309"/>
      <c r="I21" s="307"/>
      <c r="J21" s="308"/>
      <c r="K21" s="308"/>
      <c r="L21" s="308"/>
      <c r="M21" s="310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4" t="str">
        <f aca="false">IF(E21&lt;&gt;"",IF(N21&lt;1.85,"Выговор",IF(AND(N21&gt;1.85,N21&lt;3),"Предупреждение",IF(AND(N21&gt;3,N21&lt;=4.65),"Нормально",IF(AND(N21&gt;4.65,N21&lt;5.1,MIN(E21:M21)&gt;=4),"Благодарность","Нормально")))),"")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638</v>
      </c>
      <c r="C22" s="37" t="s">
        <v>639</v>
      </c>
      <c r="D22" s="195"/>
      <c r="E22" s="307"/>
      <c r="F22" s="308"/>
      <c r="G22" s="308"/>
      <c r="H22" s="309"/>
      <c r="I22" s="307"/>
      <c r="J22" s="308"/>
      <c r="K22" s="308"/>
      <c r="L22" s="308"/>
      <c r="M22" s="310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4" t="str">
        <f aca="false">IF(E22&lt;&gt;"",IF(N22&lt;1.85,"Выговор",IF(AND(N22&gt;1.85,N22&lt;3),"Предупреждение",IF(AND(N22&gt;3,N22&lt;=4.65),"Нормально",IF(AND(N22&gt;4.65,N22&lt;5.1,MIN(E22:M22)&gt;=4),"Благодарность","Нормально")))),"")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85" t="n">
        <v>16</v>
      </c>
      <c r="B23" s="37" t="s">
        <v>640</v>
      </c>
      <c r="C23" s="37" t="s">
        <v>641</v>
      </c>
      <c r="D23" s="195"/>
      <c r="E23" s="307"/>
      <c r="F23" s="308"/>
      <c r="G23" s="308"/>
      <c r="H23" s="309"/>
      <c r="I23" s="307"/>
      <c r="J23" s="308"/>
      <c r="K23" s="308"/>
      <c r="L23" s="308"/>
      <c r="M23" s="310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4" t="str">
        <f aca="false">IF(E23&lt;&gt;"",IF(N23&lt;1.85,"Выговор",IF(AND(N23&gt;1.85,N23&lt;3),"Предупреждение",IF(AND(N23&gt;3,N23&lt;=4.65),"Нормально",IF(AND(N23&gt;4.65,N23&lt;5.1,MIN(E23:M23)&gt;=4),"Благодарность","Нормально")))),"")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642</v>
      </c>
      <c r="C24" s="37" t="s">
        <v>643</v>
      </c>
      <c r="D24" s="195"/>
      <c r="E24" s="307"/>
      <c r="F24" s="314"/>
      <c r="G24" s="308"/>
      <c r="H24" s="309"/>
      <c r="I24" s="316"/>
      <c r="J24" s="308"/>
      <c r="K24" s="308"/>
      <c r="L24" s="314"/>
      <c r="M24" s="310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4" t="str">
        <f aca="false">IF(E24&lt;&gt;"",IF(N24&lt;1.85,"Выговор",IF(AND(N24&gt;1.85,N24&lt;3),"Предупреждение",IF(AND(N24&gt;3,N24&lt;=4.65),"Нормально",IF(AND(N24&gt;4.65,N24&lt;5.1,MIN(E24:M24)&gt;=4),"Благодарность","Нормально")))),"")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85" t="n">
        <v>18</v>
      </c>
      <c r="B25" s="37" t="s">
        <v>644</v>
      </c>
      <c r="C25" s="37" t="s">
        <v>645</v>
      </c>
      <c r="D25" s="195"/>
      <c r="E25" s="307"/>
      <c r="F25" s="308"/>
      <c r="G25" s="308"/>
      <c r="H25" s="309"/>
      <c r="I25" s="307"/>
      <c r="J25" s="308"/>
      <c r="K25" s="308"/>
      <c r="L25" s="308"/>
      <c r="M25" s="310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4" t="str">
        <f aca="false">IF(E25&lt;&gt;"",IF(N25&lt;1.85,"Выговор",IF(AND(N25&gt;1.85,N25&lt;3),"Предупреждение",IF(AND(N25&gt;3,N25&lt;=4.65),"Нормально",IF(AND(N25&gt;4.65,N25&lt;5.1,MIN(E25:M25)&gt;=4),"Благодарность","Нормально")))),"")</f>
        <v/>
      </c>
      <c r="R25" s="36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646</v>
      </c>
      <c r="C26" s="37" t="s">
        <v>647</v>
      </c>
      <c r="D26" s="195"/>
      <c r="E26" s="307"/>
      <c r="F26" s="308"/>
      <c r="G26" s="308"/>
      <c r="H26" s="309"/>
      <c r="I26" s="307"/>
      <c r="J26" s="308"/>
      <c r="K26" s="308"/>
      <c r="L26" s="308"/>
      <c r="M26" s="310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4" t="str">
        <f aca="false">IF(E26&lt;&gt;"",IF(N26&lt;1.85,"Выговор",IF(AND(N26&gt;1.85,N26&lt;3),"Предупреждение",IF(AND(N26&gt;3,N26&lt;=4.65),"Нормально",IF(AND(N26&gt;4.65,N26&lt;5.1,MIN(E26:M26)&gt;=4),"Благодарность","Нормально")))),"")</f>
        <v/>
      </c>
      <c r="R26" s="36" t="n">
        <f aca="false">COUNTIF(E26:M26,2)+COUNTIF(E26:M26,1)+COUNTIF(E26:M26,0)</f>
        <v>0</v>
      </c>
    </row>
    <row r="27" customFormat="false" ht="15" hidden="false" customHeight="true" outlineLevel="0" collapsed="false">
      <c r="A27" s="85" t="n">
        <v>20</v>
      </c>
      <c r="B27" s="37" t="s">
        <v>648</v>
      </c>
      <c r="C27" s="37" t="s">
        <v>649</v>
      </c>
      <c r="D27" s="195"/>
      <c r="E27" s="307"/>
      <c r="F27" s="308"/>
      <c r="G27" s="308"/>
      <c r="H27" s="309"/>
      <c r="I27" s="307"/>
      <c r="J27" s="308"/>
      <c r="K27" s="308"/>
      <c r="L27" s="308"/>
      <c r="M27" s="310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4" t="str">
        <f aca="false">IF(E27&lt;&gt;"",IF(N27&lt;1.85,"Выговор",IF(AND(N27&gt;1.85,N27&lt;3),"Предупреждение",IF(AND(N27&gt;3,N27&lt;=4.65),"Нормально",IF(AND(N27&gt;4.65,N27&lt;5.1,MIN(E27:M27)&gt;=4),"Благодарность","Нормально")))),"")</f>
        <v/>
      </c>
      <c r="R27" s="36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650</v>
      </c>
      <c r="C28" s="37" t="s">
        <v>651</v>
      </c>
      <c r="D28" s="195"/>
      <c r="E28" s="307"/>
      <c r="F28" s="308"/>
      <c r="G28" s="308"/>
      <c r="H28" s="309"/>
      <c r="I28" s="307"/>
      <c r="J28" s="308"/>
      <c r="K28" s="308"/>
      <c r="L28" s="308"/>
      <c r="M28" s="310"/>
      <c r="N28" s="33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4" t="str">
        <f aca="false">IF(E28&lt;&gt;"",IF(N28&lt;1.85,"Выговор",IF(AND(N28&gt;1.85,N28&lt;3),"Предупреждение",IF(AND(N28&gt;3,N28&lt;=4.65),"Нормально",IF(AND(N28&gt;4.65,N28&lt;5.1,MIN(E28:M28)&gt;=4),"Благодарность","Нормально")))),"")</f>
        <v/>
      </c>
      <c r="R28" s="36" t="n">
        <f aca="false">COUNTIF(E28:M28,2)+COUNTIF(E28:M28,1)+COUNTIF(E28:M28,0)</f>
        <v>0</v>
      </c>
    </row>
    <row r="29" customFormat="false" ht="15" hidden="false" customHeight="true" outlineLevel="0" collapsed="false">
      <c r="A29" s="85" t="n">
        <v>22</v>
      </c>
      <c r="B29" s="37" t="s">
        <v>652</v>
      </c>
      <c r="C29" s="37" t="s">
        <v>653</v>
      </c>
      <c r="D29" s="195"/>
      <c r="E29" s="307"/>
      <c r="F29" s="308"/>
      <c r="G29" s="308"/>
      <c r="H29" s="309"/>
      <c r="I29" s="307"/>
      <c r="J29" s="308"/>
      <c r="K29" s="308"/>
      <c r="L29" s="308"/>
      <c r="M29" s="310"/>
      <c r="N29" s="33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4" t="str">
        <f aca="false">IF(E29&lt;&gt;"",IF(N29&lt;1.85,"Выговор",IF(AND(N29&gt;1.85,N29&lt;3),"Предупреждение",IF(AND(N29&gt;3,N29&lt;=4.65),"Нормально",IF(AND(N29&gt;4.65,N29&lt;5.1,MIN(E29:M29)&gt;=4),"Благодарность","Нормально")))),"")</f>
        <v/>
      </c>
      <c r="R29" s="36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45" t="s">
        <v>654</v>
      </c>
      <c r="C30" s="37" t="s">
        <v>655</v>
      </c>
      <c r="D30" s="195"/>
      <c r="E30" s="307"/>
      <c r="F30" s="308"/>
      <c r="G30" s="308"/>
      <c r="H30" s="309"/>
      <c r="I30" s="307"/>
      <c r="J30" s="308"/>
      <c r="K30" s="308"/>
      <c r="L30" s="308"/>
      <c r="M30" s="310"/>
      <c r="N30" s="33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4" t="str">
        <f aca="false">IF(E30&lt;&gt;"",IF(N30&lt;1.85,"Выговор",IF(AND(N30&gt;1.85,N30&lt;3),"Предупреждение",IF(AND(N30&gt;3,N30&lt;=4.65),"Нормально",IF(AND(N30&gt;4.65,N30&lt;5.1,MIN(E30:M30)&gt;=4),"Благодарность","Нормально")))),"")</f>
        <v/>
      </c>
      <c r="R30" s="36" t="n">
        <f aca="false">COUNTIF(E30:M30,2)+COUNTIF(E30:M30,1)+COUNTIF(E30:M30,0)</f>
        <v>0</v>
      </c>
    </row>
    <row r="31" customFormat="false" ht="15" hidden="false" customHeight="true" outlineLevel="0" collapsed="false">
      <c r="A31" s="85" t="n">
        <v>24</v>
      </c>
      <c r="B31" s="37" t="s">
        <v>656</v>
      </c>
      <c r="C31" s="37" t="s">
        <v>657</v>
      </c>
      <c r="D31" s="195"/>
      <c r="E31" s="307"/>
      <c r="F31" s="308"/>
      <c r="G31" s="308"/>
      <c r="H31" s="309"/>
      <c r="I31" s="307"/>
      <c r="J31" s="308"/>
      <c r="K31" s="308"/>
      <c r="L31" s="308"/>
      <c r="M31" s="310"/>
      <c r="N31" s="33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4" t="str">
        <f aca="false">IF(E31&lt;&gt;"",IF(N31&lt;1.85,"Выговор",IF(AND(N31&gt;1.85,N31&lt;3),"Предупреждение",IF(AND(N31&gt;3,N31&lt;=4.65),"Нормально",IF(AND(N31&gt;4.65,N31&lt;5.1,MIN(E31:M31)&gt;=4),"Благодарность","Нормально")))),"")</f>
        <v/>
      </c>
      <c r="R31" s="36" t="n">
        <f aca="false">COUNTIF(E31:M31,2)+COUNTIF(E31:M31,1)+COUNTIF(E31:M31,0)</f>
        <v>0</v>
      </c>
    </row>
    <row r="32" customFormat="false" ht="15" hidden="false" customHeight="true" outlineLevel="0" collapsed="false">
      <c r="A32" s="37" t="n">
        <v>25</v>
      </c>
      <c r="B32" s="37" t="s">
        <v>658</v>
      </c>
      <c r="C32" s="37" t="s">
        <v>659</v>
      </c>
      <c r="D32" s="195"/>
      <c r="E32" s="307"/>
      <c r="F32" s="308"/>
      <c r="G32" s="308"/>
      <c r="H32" s="309"/>
      <c r="I32" s="307"/>
      <c r="J32" s="308"/>
      <c r="K32" s="308"/>
      <c r="L32" s="308"/>
      <c r="M32" s="310"/>
      <c r="N32" s="33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4" t="str">
        <f aca="false">IF(E32&lt;&gt;"",IF(N32&lt;1.85,"Выговор",IF(AND(N32&gt;1.85,N32&lt;3),"Предупреждение",IF(AND(N32&gt;3,N32&lt;=4.65),"Нормально",IF(AND(N32&gt;4.65,N32&lt;5.1,MIN(E32:M32)&gt;=4),"Благодарность","Нормально")))),"")</f>
        <v/>
      </c>
      <c r="R32" s="36" t="n">
        <f aca="false">COUNTIF(E32:M32,2)+COUNTIF(E32:M32,1)+COUNTIF(E32:M32,0)</f>
        <v>0</v>
      </c>
    </row>
    <row r="33" customFormat="false" ht="15" hidden="false" customHeight="true" outlineLevel="0" collapsed="false">
      <c r="A33" s="37" t="n">
        <v>26</v>
      </c>
      <c r="B33" s="37" t="s">
        <v>660</v>
      </c>
      <c r="C33" s="37" t="s">
        <v>661</v>
      </c>
      <c r="D33" s="195"/>
      <c r="E33" s="307"/>
      <c r="F33" s="308"/>
      <c r="G33" s="308"/>
      <c r="H33" s="309"/>
      <c r="I33" s="307"/>
      <c r="J33" s="314"/>
      <c r="K33" s="308"/>
      <c r="L33" s="314"/>
      <c r="M33" s="310"/>
      <c r="N33" s="33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4" t="str">
        <f aca="false">IF(E33&lt;&gt;"",IF(N33&lt;1.85,"Выговор",IF(AND(N33&gt;1.85,N33&lt;3),"Предупреждение",IF(AND(N33&gt;3,N33&lt;=4.65),"Нормально",IF(AND(N33&gt;4.65,N33&lt;5.1,MIN(E33:M33)&gt;=4),"Благодарность","Нормально")))),"")</f>
        <v/>
      </c>
      <c r="R33" s="36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27</v>
      </c>
      <c r="B34" s="37" t="s">
        <v>662</v>
      </c>
      <c r="C34" s="37" t="s">
        <v>663</v>
      </c>
      <c r="D34" s="195"/>
      <c r="E34" s="307"/>
      <c r="F34" s="308"/>
      <c r="G34" s="308"/>
      <c r="H34" s="309"/>
      <c r="I34" s="307"/>
      <c r="J34" s="308"/>
      <c r="K34" s="308"/>
      <c r="L34" s="308"/>
      <c r="M34" s="310"/>
      <c r="N34" s="33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4" t="str">
        <f aca="false">IF(E34&lt;&gt;"",IF(N34&lt;1.85,"Выговор",IF(AND(N34&gt;1.85,N34&lt;3),"Предупреждение",IF(AND(N34&gt;3,N34&lt;=4.65),"Нормально",IF(AND(N34&gt;4.65,N34&lt;5.1,MIN(E34:M34)&gt;=4),"Благодарность","Нормально")))),"")</f>
        <v/>
      </c>
      <c r="R34" s="36" t="n">
        <f aca="false">COUNTIF(E34:M34,2)+COUNTIF(E34:M34,1)+COUNTIF(E34:M34,0)</f>
        <v>0</v>
      </c>
    </row>
    <row r="35" s="45" customFormat="true" ht="15" hidden="false" customHeight="true" outlineLevel="0" collapsed="false">
      <c r="A35" s="37" t="n">
        <v>28</v>
      </c>
      <c r="B35" s="37" t="s">
        <v>664</v>
      </c>
      <c r="C35" s="37" t="s">
        <v>665</v>
      </c>
      <c r="D35" s="195"/>
      <c r="E35" s="307"/>
      <c r="F35" s="308"/>
      <c r="G35" s="308"/>
      <c r="H35" s="309"/>
      <c r="I35" s="307"/>
      <c r="J35" s="308"/>
      <c r="K35" s="308"/>
      <c r="L35" s="308"/>
      <c r="M35" s="310"/>
      <c r="N35" s="33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84" t="str">
        <f aca="false">IF(E35&lt;&gt;"",IF(N35&lt;1.85,"Выговор",IF(AND(N35&gt;1.85,N35&lt;3),"Предупреждение",IF(AND(N35&gt;3,N35&lt;=4.65),"Нормально",IF(AND(N35&gt;4.65,N35&lt;5.1,MIN(E35:M35)&gt;=4),"Благодарность","Нормально")))),"")</f>
        <v/>
      </c>
      <c r="R35" s="36" t="n">
        <f aca="false">COUNTIF(E35:M35,2)+COUNTIF(E35:M35,1)+COUNTIF(E35:M35,0)</f>
        <v>0</v>
      </c>
    </row>
    <row r="36" s="45" customFormat="true" ht="15" hidden="false" customHeight="true" outlineLevel="0" collapsed="false">
      <c r="A36" s="85" t="n">
        <v>29</v>
      </c>
      <c r="B36" s="37" t="s">
        <v>666</v>
      </c>
      <c r="C36" s="37" t="s">
        <v>667</v>
      </c>
      <c r="D36" s="195"/>
      <c r="E36" s="307"/>
      <c r="F36" s="308"/>
      <c r="G36" s="308"/>
      <c r="H36" s="309"/>
      <c r="I36" s="307"/>
      <c r="J36" s="314"/>
      <c r="K36" s="308"/>
      <c r="L36" s="314"/>
      <c r="M36" s="310"/>
      <c r="N36" s="33" t="str">
        <f aca="false">IFERROR(AVERAGE(E36:M36),"")</f>
        <v/>
      </c>
      <c r="O36" s="84" t="str">
        <f aca="false">IF(E36&lt;&gt;"",IF(COUNTIF(E36:M36,"&lt;3"),"Не успевает","Успевает"),"")</f>
        <v/>
      </c>
      <c r="P36" s="241" t="str">
        <f aca="false">IF(D36&lt;&gt;"",(30*(set!B$5)-D36)/(30*(set!B$5))*100,"")</f>
        <v/>
      </c>
      <c r="Q36" s="84" t="str">
        <f aca="false">IF(E36&lt;&gt;"",IF(N36&lt;1.85,"Выговор",IF(AND(N36&gt;1.85,N36&lt;3),"Предупреждение",IF(AND(N36&gt;3,N36&lt;=4.65),"Нормально",IF(AND(N36&gt;4.65,N36&lt;5.1,MIN(E36:M36)&gt;=4),"Благодарность","Нормально")))),"")</f>
        <v/>
      </c>
      <c r="R36" s="36" t="n">
        <f aca="false">COUNTIF(E36:M36,2)+COUNTIF(E36:M36,1)+COUNTIF(E36:M36,0)</f>
        <v>0</v>
      </c>
    </row>
    <row r="37" customFormat="false" ht="15" hidden="false" customHeight="true" outlineLevel="0" collapsed="false">
      <c r="A37" s="85" t="n">
        <v>30</v>
      </c>
      <c r="B37" s="37" t="s">
        <v>668</v>
      </c>
      <c r="C37" s="37" t="s">
        <v>669</v>
      </c>
      <c r="D37" s="195"/>
      <c r="E37" s="307"/>
      <c r="F37" s="308"/>
      <c r="G37" s="308"/>
      <c r="H37" s="309"/>
      <c r="I37" s="307"/>
      <c r="J37" s="308"/>
      <c r="K37" s="308"/>
      <c r="L37" s="308"/>
      <c r="M37" s="310"/>
      <c r="N37" s="33" t="str">
        <f aca="false">IFERROR(AVERAGE(E37:M37),"")</f>
        <v/>
      </c>
      <c r="O37" s="84" t="str">
        <f aca="false">IF(E37&lt;&gt;"",IF(COUNTIF(E37:M37,"&lt;3"),"Не успевает","Успевает"),"")</f>
        <v/>
      </c>
      <c r="P37" s="241" t="str">
        <f aca="false">IF(D37&lt;&gt;"",(30*(set!B$5)-D37)/(30*(set!B$5))*100,"")</f>
        <v/>
      </c>
      <c r="Q37" s="84" t="str">
        <f aca="false">IF(E37&lt;&gt;"",IF(N37&lt;1.85,"Выговор",IF(AND(N37&gt;1.85,N37&lt;3),"Предупреждение",IF(AND(N37&gt;3,N37&lt;=4.65),"Нормально",IF(AND(N37&gt;4.65,N37&lt;5.1,MIN(E37:M37)&gt;=4),"Благодарность","Нормально")))),"")</f>
        <v/>
      </c>
      <c r="R37" s="36" t="n">
        <f aca="false">COUNTIF(E37:M37,2)+COUNTIF(E37:M37,1)+COUNTIF(E37:M37,0)</f>
        <v>0</v>
      </c>
    </row>
    <row r="38" customFormat="false" ht="15" hidden="false" customHeight="true" outlineLevel="0" collapsed="false">
      <c r="A38" s="0" t="s">
        <v>77</v>
      </c>
      <c r="D38" s="209"/>
      <c r="E38" s="210" t="e">
        <f aca="false">AVERAGE(E9:E37)</f>
        <v>#DIV/0!</v>
      </c>
      <c r="F38" s="210" t="e">
        <f aca="false">AVERAGE(F9:F37)</f>
        <v>#DIV/0!</v>
      </c>
      <c r="G38" s="210" t="e">
        <f aca="false">AVERAGE(G9:G37)</f>
        <v>#DIV/0!</v>
      </c>
      <c r="H38" s="210" t="e">
        <f aca="false">AVERAGE(H9:H37)</f>
        <v>#DIV/0!</v>
      </c>
      <c r="I38" s="210" t="e">
        <f aca="false">AVERAGE(I9:I37)</f>
        <v>#DIV/0!</v>
      </c>
      <c r="J38" s="210" t="e">
        <f aca="false">AVERAGE(J9:J37)</f>
        <v>#DIV/0!</v>
      </c>
      <c r="K38" s="210" t="e">
        <f aca="false">AVERAGE(K9:K37)</f>
        <v>#DIV/0!</v>
      </c>
      <c r="L38" s="210" t="e">
        <f aca="false">AVERAGE(L9:L37)</f>
        <v>#DIV/0!</v>
      </c>
      <c r="M38" s="210" t="e">
        <f aca="false">AVERAGE(M9:M37)</f>
        <v>#DIV/0!</v>
      </c>
      <c r="N38" s="48"/>
      <c r="O38" s="47"/>
      <c r="P38" s="48"/>
    </row>
    <row r="39" customFormat="false" ht="15" hidden="false" customHeight="true" outlineLevel="0" collapsed="false">
      <c r="A39" s="0" t="s">
        <v>78</v>
      </c>
      <c r="E39" s="137" t="e">
        <f aca="false">(COUNTIF(E8:E37,5)+COUNTIF(E8:E37,4)+COUNTIF(E8:E37,3))/$P$43*100</f>
        <v>#DIV/0!</v>
      </c>
      <c r="F39" s="137" t="e">
        <f aca="false">(COUNTIF(F8:F37,5)+COUNTIF(F8:F37,4)+COUNTIF(F8:F37,3))/$P$43*100</f>
        <v>#DIV/0!</v>
      </c>
      <c r="G39" s="137" t="e">
        <f aca="false">(COUNTIF(G8:G37,5)+COUNTIF(G8:G37,4)+COUNTIF(G8:G37,3))/$P$43*100</f>
        <v>#DIV/0!</v>
      </c>
      <c r="H39" s="137" t="e">
        <f aca="false">(COUNTIF(H8:H37,5)+COUNTIF(H8:H37,4)+COUNTIF(H8:H37,3))/$P$43*100</f>
        <v>#DIV/0!</v>
      </c>
      <c r="I39" s="137" t="e">
        <f aca="false">(COUNTIF(I8:I37,5)+COUNTIF(I8:I37,4)+COUNTIF(I8:I37,3))/$P$43*100</f>
        <v>#DIV/0!</v>
      </c>
      <c r="J39" s="137" t="e">
        <f aca="false">(COUNTIF(J8:J37,5)+COUNTIF(J8:J37,4)+COUNTIF(J8:J37,3))/$P$43*100</f>
        <v>#DIV/0!</v>
      </c>
      <c r="K39" s="137" t="e">
        <f aca="false">(COUNTIF(K8:K37,5)+COUNTIF(K8:K37,4)+COUNTIF(K8:K37,3))/$P$43*100</f>
        <v>#DIV/0!</v>
      </c>
      <c r="L39" s="137" t="e">
        <f aca="false">(COUNTIF(L8:L37,5)+COUNTIF(L8:L37,4)+COUNTIF(L8:L37,3))/$P$43*100</f>
        <v>#DIV/0!</v>
      </c>
      <c r="M39" s="137" t="e">
        <f aca="false">(COUNTIF(M8:M37,5)+COUNTIF(M8:M37,4)+COUNTIF(M8:M37,3))/$P$43*100</f>
        <v>#DIV/0!</v>
      </c>
      <c r="N39" s="48"/>
      <c r="O39" s="48"/>
      <c r="P39" s="48"/>
      <c r="Q39" s="48"/>
    </row>
    <row r="40" customFormat="false" ht="15" hidden="false" customHeight="true" outlineLevel="0" collapsed="false"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</row>
    <row r="41" customFormat="false" ht="15" hidden="false" customHeight="true" outlineLevel="0" collapsed="false">
      <c r="B41" s="50"/>
      <c r="C41" s="50" t="s">
        <v>8</v>
      </c>
      <c r="D41" s="51" t="str">
        <f aca="false">IFERROR(AVERAGE(N8:N37),"")</f>
        <v/>
      </c>
      <c r="E41" s="52" t="s">
        <v>9</v>
      </c>
      <c r="F41" s="52"/>
      <c r="G41" s="53" t="str">
        <f aca="false">IFERROR(COUNTIF(O8:O37,"Успевает")/P43*100,"")</f>
        <v/>
      </c>
      <c r="H41" s="319" t="s">
        <v>79</v>
      </c>
      <c r="I41" s="319"/>
      <c r="J41" s="55" t="str">
        <f aca="false">IFERROR(AVERAGE(P8:P37),"")</f>
        <v/>
      </c>
      <c r="K41" s="52"/>
      <c r="L41" s="52"/>
      <c r="M41" s="52"/>
      <c r="N41" s="48"/>
      <c r="O41" s="48"/>
      <c r="P41" s="48"/>
      <c r="Q41" s="48"/>
      <c r="R41" s="48"/>
    </row>
    <row r="42" customFormat="false" ht="15" hidden="false" customHeight="true" outlineLevel="0" collapsed="false">
      <c r="B42" s="50"/>
      <c r="C42" s="50"/>
      <c r="D42" s="50"/>
      <c r="E42" s="56"/>
      <c r="F42" s="56"/>
      <c r="G42" s="56"/>
      <c r="H42" s="56"/>
      <c r="I42" s="56"/>
      <c r="J42" s="56"/>
      <c r="K42" s="56"/>
      <c r="L42" s="56"/>
      <c r="M42" s="56"/>
      <c r="S42" s="60"/>
    </row>
    <row r="43" customFormat="false" ht="15" hidden="false" customHeight="true" outlineLevel="0" collapsed="false">
      <c r="A43" s="50"/>
      <c r="B43" s="261" t="s">
        <v>81</v>
      </c>
      <c r="C43" s="261"/>
      <c r="D43" s="261"/>
      <c r="E43" s="261"/>
      <c r="F43" s="261"/>
      <c r="G43" s="261"/>
      <c r="H43" s="261"/>
      <c r="I43" s="261"/>
      <c r="J43" s="292" t="s">
        <v>82</v>
      </c>
      <c r="K43" s="292"/>
      <c r="L43" s="292"/>
      <c r="M43" s="320"/>
      <c r="N43" s="321" t="s">
        <v>80</v>
      </c>
      <c r="O43" s="321"/>
      <c r="P43" s="231" t="n">
        <f aca="false">SUM(P44:P45)</f>
        <v>0</v>
      </c>
      <c r="Q43" s="293"/>
      <c r="R43" s="293"/>
      <c r="S43" s="293"/>
    </row>
    <row r="44" customFormat="false" ht="15" hidden="false" customHeight="true" outlineLevel="0" collapsed="false">
      <c r="A44" s="50"/>
      <c r="B44" s="141" t="str">
        <f aca="false">$E$6</f>
        <v> Алгоритмизация и программирование</v>
      </c>
      <c r="C44" s="141"/>
      <c r="D44" s="141"/>
      <c r="E44" s="141"/>
      <c r="F44" s="141"/>
      <c r="G44" s="141"/>
      <c r="H44" s="141"/>
      <c r="I44" s="141"/>
      <c r="J44" s="322" t="s">
        <v>670</v>
      </c>
      <c r="K44" s="322"/>
      <c r="L44" s="322"/>
      <c r="M44" s="96"/>
      <c r="N44" s="321" t="s">
        <v>83</v>
      </c>
      <c r="O44" s="321"/>
      <c r="P44" s="231" t="n">
        <f aca="false">COUNTIF(O8:O37,"Успевает")</f>
        <v>0</v>
      </c>
      <c r="Q44" s="293"/>
      <c r="R44" s="293"/>
      <c r="S44" s="293"/>
    </row>
    <row r="45" customFormat="false" ht="15" hidden="false" customHeight="true" outlineLevel="0" collapsed="false">
      <c r="A45" s="50"/>
      <c r="B45" s="141" t="str">
        <f aca="false">$F$6</f>
        <v> Аналитическая геометрия и линейная алгебра</v>
      </c>
      <c r="C45" s="141"/>
      <c r="D45" s="141"/>
      <c r="E45" s="141"/>
      <c r="F45" s="141"/>
      <c r="G45" s="141"/>
      <c r="H45" s="141"/>
      <c r="I45" s="141"/>
      <c r="J45" s="322" t="s">
        <v>671</v>
      </c>
      <c r="K45" s="322"/>
      <c r="L45" s="322"/>
      <c r="M45" s="96"/>
      <c r="N45" s="323" t="s">
        <v>84</v>
      </c>
      <c r="O45" s="323"/>
      <c r="P45" s="231" t="n">
        <f aca="false">COUNTIF(O8:O37,"Не успевает")</f>
        <v>0</v>
      </c>
      <c r="Q45" s="293"/>
      <c r="R45" s="293"/>
      <c r="S45" s="296"/>
    </row>
    <row r="46" customFormat="false" ht="15" hidden="false" customHeight="true" outlineLevel="0" collapsed="false">
      <c r="A46" s="50"/>
      <c r="B46" s="141" t="str">
        <f aca="false">$G$6</f>
        <v> Инженерная графика</v>
      </c>
      <c r="C46" s="141"/>
      <c r="D46" s="141"/>
      <c r="E46" s="141"/>
      <c r="F46" s="141"/>
      <c r="G46" s="141"/>
      <c r="H46" s="141"/>
      <c r="I46" s="141"/>
      <c r="J46" s="322" t="s">
        <v>670</v>
      </c>
      <c r="K46" s="322"/>
      <c r="L46" s="322"/>
      <c r="M46" s="96"/>
      <c r="N46" s="323" t="s">
        <v>85</v>
      </c>
      <c r="O46" s="323"/>
      <c r="P46" s="231" t="n">
        <f aca="false">COUNTIF(Q8:Q37,"Благодарность")</f>
        <v>0</v>
      </c>
      <c r="Q46" s="293"/>
      <c r="R46" s="293"/>
      <c r="S46" s="293"/>
    </row>
    <row r="47" customFormat="false" ht="15" hidden="false" customHeight="true" outlineLevel="0" collapsed="false">
      <c r="A47" s="50"/>
      <c r="B47" s="141" t="str">
        <f aca="false">$H$6</f>
        <v> Математический анализ</v>
      </c>
      <c r="C47" s="141"/>
      <c r="D47" s="141"/>
      <c r="E47" s="141"/>
      <c r="F47" s="141"/>
      <c r="G47" s="141"/>
      <c r="H47" s="141"/>
      <c r="I47" s="141"/>
      <c r="J47" s="322" t="s">
        <v>672</v>
      </c>
      <c r="K47" s="322"/>
      <c r="L47" s="322"/>
      <c r="M47" s="96"/>
      <c r="N47" s="323" t="s">
        <v>86</v>
      </c>
      <c r="O47" s="323"/>
      <c r="P47" s="231" t="n">
        <f aca="false">COUNTIF(Q8:Q37,"Нормально")</f>
        <v>0</v>
      </c>
      <c r="Q47" s="293"/>
      <c r="R47" s="293"/>
      <c r="S47" s="297"/>
    </row>
    <row r="48" customFormat="false" ht="15" hidden="false" customHeight="true" outlineLevel="0" collapsed="false">
      <c r="A48" s="50"/>
      <c r="B48" s="141" t="str">
        <f aca="false">$I$6</f>
        <v>Иностранный язык</v>
      </c>
      <c r="C48" s="141"/>
      <c r="D48" s="141"/>
      <c r="E48" s="141"/>
      <c r="F48" s="141"/>
      <c r="G48" s="141"/>
      <c r="H48" s="141"/>
      <c r="I48" s="141"/>
      <c r="J48" s="322" t="s">
        <v>673</v>
      </c>
      <c r="K48" s="322"/>
      <c r="L48" s="322"/>
      <c r="M48" s="96"/>
      <c r="N48" s="323" t="s">
        <v>87</v>
      </c>
      <c r="O48" s="323"/>
      <c r="P48" s="231" t="n">
        <f aca="false">COUNTIF(Q8:Q37,"Предупреждение")</f>
        <v>0</v>
      </c>
      <c r="Q48" s="293"/>
      <c r="R48" s="293"/>
      <c r="S48" s="297"/>
    </row>
    <row r="49" customFormat="false" ht="15" hidden="false" customHeight="true" outlineLevel="0" collapsed="false">
      <c r="A49" s="50"/>
      <c r="B49" s="141" t="str">
        <f aca="false">$J$6</f>
        <v> История России</v>
      </c>
      <c r="C49" s="141"/>
      <c r="D49" s="141"/>
      <c r="E49" s="141"/>
      <c r="F49" s="141"/>
      <c r="G49" s="141"/>
      <c r="H49" s="141"/>
      <c r="I49" s="141"/>
      <c r="J49" s="322" t="s">
        <v>674</v>
      </c>
      <c r="K49" s="322"/>
      <c r="L49" s="322"/>
      <c r="M49" s="96"/>
      <c r="N49" s="323" t="s">
        <v>88</v>
      </c>
      <c r="O49" s="323"/>
      <c r="P49" s="231" t="n">
        <f aca="false">COUNTIF(Q8:Q37,"Выговор")</f>
        <v>0</v>
      </c>
      <c r="Q49" s="293"/>
      <c r="R49" s="293"/>
      <c r="S49" s="297"/>
    </row>
    <row r="50" customFormat="false" ht="15" hidden="false" customHeight="true" outlineLevel="0" collapsed="false">
      <c r="A50" s="50"/>
      <c r="B50" s="141" t="str">
        <f aca="false">$K$6</f>
        <v>Ознакомительная практика</v>
      </c>
      <c r="C50" s="141"/>
      <c r="D50" s="141"/>
      <c r="E50" s="141"/>
      <c r="F50" s="141"/>
      <c r="G50" s="141"/>
      <c r="H50" s="141"/>
      <c r="I50" s="141"/>
      <c r="J50" s="322" t="s">
        <v>675</v>
      </c>
      <c r="K50" s="322"/>
      <c r="L50" s="322"/>
      <c r="M50" s="96"/>
      <c r="N50" s="324" t="s">
        <v>12</v>
      </c>
      <c r="O50" s="324"/>
      <c r="P50" s="236" t="n">
        <f aca="false">SUM(R8:R37)</f>
        <v>0</v>
      </c>
      <c r="Q50" s="298"/>
      <c r="R50" s="297"/>
      <c r="S50" s="297"/>
    </row>
    <row r="51" customFormat="false" ht="15" hidden="false" customHeight="true" outlineLevel="0" collapsed="false">
      <c r="A51" s="50"/>
      <c r="B51" s="141" t="str">
        <f aca="false">$L$6</f>
        <v> Теоретическая информатика</v>
      </c>
      <c r="C51" s="141"/>
      <c r="D51" s="141"/>
      <c r="E51" s="141"/>
      <c r="F51" s="141"/>
      <c r="G51" s="141"/>
      <c r="H51" s="141"/>
      <c r="I51" s="141"/>
      <c r="J51" s="322" t="s">
        <v>676</v>
      </c>
      <c r="K51" s="322"/>
      <c r="L51" s="322"/>
      <c r="M51" s="96"/>
      <c r="N51" s="59"/>
      <c r="O51" s="59"/>
      <c r="Q51" s="298"/>
      <c r="R51" s="297"/>
      <c r="S51" s="297"/>
    </row>
    <row r="52" customFormat="false" ht="15" hidden="false" customHeight="true" outlineLevel="0" collapsed="false">
      <c r="A52" s="50"/>
      <c r="B52" s="141" t="str">
        <f aca="false">$M$6</f>
        <v>Физическая культура и спорт</v>
      </c>
      <c r="C52" s="141"/>
      <c r="D52" s="141"/>
      <c r="E52" s="141"/>
      <c r="F52" s="141"/>
      <c r="G52" s="141"/>
      <c r="H52" s="141"/>
      <c r="I52" s="141"/>
      <c r="J52" s="322" t="s">
        <v>677</v>
      </c>
      <c r="K52" s="322"/>
      <c r="L52" s="322"/>
      <c r="M52" s="96"/>
      <c r="N52" s="64"/>
      <c r="O52" s="64"/>
      <c r="Q52" s="293"/>
      <c r="R52" s="293"/>
      <c r="S52" s="293"/>
    </row>
    <row r="53" s="45" customFormat="true" ht="15" hidden="false" customHeight="true" outlineLevel="0" collapsed="false">
      <c r="A53" s="50"/>
      <c r="B53" s="325"/>
      <c r="C53" s="325"/>
      <c r="D53" s="325"/>
      <c r="E53" s="325"/>
      <c r="F53" s="325"/>
      <c r="G53" s="325"/>
      <c r="H53" s="325"/>
      <c r="I53" s="325"/>
      <c r="J53" s="197"/>
      <c r="K53" s="197"/>
      <c r="L53" s="197"/>
      <c r="M53" s="326"/>
      <c r="N53" s="64"/>
      <c r="O53" s="64"/>
      <c r="Q53" s="293"/>
      <c r="R53" s="293"/>
      <c r="S53" s="293"/>
    </row>
    <row r="54" customFormat="false" ht="15" hidden="false" customHeight="true" outlineLevel="0" collapsed="false">
      <c r="A54" s="50"/>
      <c r="B54" s="73" t="s">
        <v>405</v>
      </c>
      <c r="C54" s="327" t="s">
        <v>678</v>
      </c>
      <c r="D54" s="327"/>
      <c r="E54" s="67"/>
      <c r="F54" s="52" t="s">
        <v>369</v>
      </c>
      <c r="G54" s="52" t="s">
        <v>609</v>
      </c>
      <c r="H54" s="52"/>
      <c r="I54" s="52"/>
      <c r="J54" s="52"/>
      <c r="K54" s="52"/>
      <c r="L54" s="50"/>
      <c r="M54" s="50"/>
      <c r="N54" s="48"/>
      <c r="O54" s="48"/>
      <c r="P54" s="48"/>
      <c r="Q54" s="48"/>
      <c r="R54" s="48"/>
    </row>
    <row r="55" customFormat="false" ht="15" hidden="false" customHeight="true" outlineLevel="0" collapsed="false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48"/>
      <c r="O55" s="48"/>
      <c r="P55" s="48"/>
      <c r="Q55" s="48"/>
      <c r="R55" s="48"/>
    </row>
    <row r="56" customFormat="false" ht="15" hidden="false" customHeight="true" outlineLevel="0" collapsed="false">
      <c r="A56" s="50"/>
      <c r="B56" s="52"/>
      <c r="C56" s="52"/>
      <c r="D56" s="52"/>
      <c r="E56" s="52"/>
      <c r="F56" s="52"/>
      <c r="G56" s="52"/>
      <c r="H56" s="52"/>
      <c r="I56" s="52"/>
      <c r="J56" s="50"/>
      <c r="K56" s="50"/>
      <c r="L56" s="50"/>
      <c r="M56" s="50"/>
      <c r="N56" s="48"/>
      <c r="O56" s="48"/>
      <c r="P56" s="48"/>
      <c r="Q56" s="48"/>
      <c r="R56" s="48"/>
    </row>
    <row r="57" customFormat="false" ht="15" hidden="false" customHeight="true" outlineLevel="0" collapsed="false">
      <c r="A57" s="50"/>
      <c r="B57" s="50" t="s">
        <v>95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8"/>
      <c r="O57" s="48"/>
      <c r="P57" s="48"/>
      <c r="Q57" s="48"/>
      <c r="R57" s="48"/>
    </row>
    <row r="58" customFormat="false" ht="15" hidden="false" customHeight="true" outlineLevel="0" collapsed="false">
      <c r="A58" s="50"/>
      <c r="B58" s="50" t="s">
        <v>96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48"/>
      <c r="O58" s="48"/>
      <c r="P58" s="48"/>
      <c r="Q58" s="48"/>
      <c r="R58" s="48"/>
    </row>
    <row r="59" customFormat="false" ht="15" hidden="false" customHeight="true" outlineLevel="0" collapsed="false">
      <c r="A59" s="50"/>
      <c r="B59" s="50" t="s">
        <v>97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48"/>
      <c r="O59" s="48"/>
      <c r="P59" s="48"/>
      <c r="Q59" s="48"/>
      <c r="R59" s="48"/>
    </row>
    <row r="60" customFormat="false" ht="15" hidden="false" customHeight="true" outlineLevel="0" collapsed="false">
      <c r="A60" s="50"/>
      <c r="B60" s="50" t="s">
        <v>98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48"/>
      <c r="O60" s="48"/>
      <c r="P60" s="48"/>
      <c r="Q60" s="48"/>
      <c r="R60" s="48"/>
    </row>
    <row r="61" customFormat="false" ht="15" hidden="false" customHeight="true" outlineLevel="0" collapsed="false">
      <c r="B61" s="50" t="s">
        <v>99</v>
      </c>
      <c r="C61" s="50"/>
      <c r="D61" s="50"/>
      <c r="E61" s="50"/>
      <c r="F61" s="50"/>
      <c r="G61" s="50"/>
      <c r="H61" s="50"/>
      <c r="I61" s="50"/>
      <c r="J61" s="50"/>
      <c r="K61" s="50"/>
    </row>
    <row r="62" customFormat="false" ht="15" hidden="false" customHeight="true" outlineLevel="0" collapsed="false"/>
  </sheetData>
  <mergeCells count="44">
    <mergeCell ref="E1:H1"/>
    <mergeCell ref="L2:N2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41:I41"/>
    <mergeCell ref="B43:I43"/>
    <mergeCell ref="J43:L43"/>
    <mergeCell ref="N43:O43"/>
    <mergeCell ref="B44:I44"/>
    <mergeCell ref="J44:L44"/>
    <mergeCell ref="N44:O44"/>
    <mergeCell ref="B45:I45"/>
    <mergeCell ref="J45:L45"/>
    <mergeCell ref="N45:O45"/>
    <mergeCell ref="B46:I46"/>
    <mergeCell ref="J46:L46"/>
    <mergeCell ref="N46:O46"/>
    <mergeCell ref="B47:I47"/>
    <mergeCell ref="J47:L47"/>
    <mergeCell ref="N47:O47"/>
    <mergeCell ref="B48:I48"/>
    <mergeCell ref="J48:L48"/>
    <mergeCell ref="N48:O48"/>
    <mergeCell ref="B49:I49"/>
    <mergeCell ref="J49:L49"/>
    <mergeCell ref="N49:O49"/>
    <mergeCell ref="B50:I50"/>
    <mergeCell ref="J50:L50"/>
    <mergeCell ref="N50:O50"/>
    <mergeCell ref="B51:I51"/>
    <mergeCell ref="J51:L51"/>
    <mergeCell ref="B52:I52"/>
    <mergeCell ref="J52:L52"/>
    <mergeCell ref="C54:D54"/>
  </mergeCells>
  <conditionalFormatting sqref="L36:M36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36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35:I36 F35:F36 K35:K36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34:I34 F34 K3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3:M3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33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37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32:I33 F32:F33 K32:K33 H37 K37 F37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7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5:M31 G25:G31 E25:E31 J25:J3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5:M31 E25:E31 G25:G31 J25:J3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2:M33 G32:G33 E32:E33 J32:J33 J37 E37 G37 L37:M37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2:M33 E32:E33 G32:G33 J32:J33 J37 G37 E37 L37:M37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5:I31 F25:F31 K25:K31 E8:M11 F12:M13 E14:M24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4:M34 G34 E34 J34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4:M34 E34 G34 J34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5:M36 G35:G36 E35:E36 J35:J36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5:M36 E35:E36 G35:G36 J35:J36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8:M38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59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C29" activeCellId="0" sqref="C29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10.14"/>
    <col collapsed="false" customWidth="true" hidden="false" outlineLevel="0" max="3" min="3" style="0" width="19.57"/>
    <col collapsed="false" customWidth="true" hidden="false" outlineLevel="0" max="5" min="5" style="0" width="10"/>
    <col collapsed="false" customWidth="true" hidden="false" outlineLevel="0" max="15" min="15" style="0" width="10.29"/>
    <col collapsed="false" customWidth="true" hidden="false" outlineLevel="0" max="16" min="16" style="0" width="11.43"/>
    <col collapsed="false" customWidth="true" hidden="false" outlineLevel="0" max="17" min="17" style="0" width="12.15"/>
    <col collapsed="false" customWidth="true" hidden="false" outlineLevel="0" max="18" min="18" style="0" width="9"/>
    <col collapsed="false" customWidth="true" hidden="false" outlineLevel="0" max="19" min="19" style="0" width="15.29"/>
    <col collapsed="false" customWidth="true" hidden="false" outlineLevel="0" max="20" min="20" style="0" width="5.71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6"/>
      <c r="P2" s="267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ИУК2-13Б факультета ИУК МГТУ им. Н.Э. Баумана"</f>
        <v>Успеваемость студентов за 1 семестр 24/25 учебного года по группе ИУК2-13Б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12.5" hidden="false" customHeight="true" outlineLevel="0" collapsed="false">
      <c r="A6" s="8"/>
      <c r="B6" s="8"/>
      <c r="C6" s="8"/>
      <c r="D6" s="301"/>
      <c r="E6" s="15" t="s">
        <v>541</v>
      </c>
      <c r="F6" s="16" t="s">
        <v>542</v>
      </c>
      <c r="G6" s="16" t="s">
        <v>543</v>
      </c>
      <c r="H6" s="18" t="s">
        <v>544</v>
      </c>
      <c r="I6" s="268" t="s">
        <v>18</v>
      </c>
      <c r="J6" s="16" t="s">
        <v>144</v>
      </c>
      <c r="K6" s="16" t="s">
        <v>546</v>
      </c>
      <c r="L6" s="16" t="s">
        <v>679</v>
      </c>
      <c r="M6" s="18" t="s">
        <v>147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301"/>
      <c r="E7" s="22" t="s">
        <v>547</v>
      </c>
      <c r="F7" s="23" t="s">
        <v>22</v>
      </c>
      <c r="G7" s="23" t="s">
        <v>25</v>
      </c>
      <c r="H7" s="24" t="s">
        <v>24</v>
      </c>
      <c r="I7" s="269" t="s">
        <v>27</v>
      </c>
      <c r="J7" s="23" t="s">
        <v>149</v>
      </c>
      <c r="K7" s="23" t="s">
        <v>549</v>
      </c>
      <c r="L7" s="23" t="s">
        <v>548</v>
      </c>
      <c r="M7" s="24" t="s">
        <v>30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680</v>
      </c>
      <c r="C8" s="25" t="s">
        <v>681</v>
      </c>
      <c r="D8" s="202"/>
      <c r="E8" s="328"/>
      <c r="F8" s="329"/>
      <c r="G8" s="329"/>
      <c r="H8" s="330"/>
      <c r="I8" s="328"/>
      <c r="J8" s="329"/>
      <c r="K8" s="329"/>
      <c r="L8" s="329"/>
      <c r="M8" s="330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84" t="str">
        <f aca="false">IF(E8&lt;&gt;"",IF(N8&lt;1.85,"Выговор",IF(AND(N8&gt;1.85,N8&lt;3),"Предупреждение",IF(AND(N8&gt;3,N8&lt;=4.65),"Нормально",IF(AND(N8&gt;4.65,N8&lt;5.1,MIN(E8:M8)&gt;=4),"Благодарность","Нормально")))),"")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682</v>
      </c>
      <c r="C9" s="37" t="s">
        <v>683</v>
      </c>
      <c r="D9" s="160"/>
      <c r="E9" s="331"/>
      <c r="F9" s="332"/>
      <c r="G9" s="314"/>
      <c r="H9" s="333"/>
      <c r="I9" s="331"/>
      <c r="J9" s="314"/>
      <c r="K9" s="332"/>
      <c r="L9" s="314"/>
      <c r="M9" s="333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117" t="str">
        <f aca="false">IF(E9&lt;&gt;"",IF(N9&lt;1.85,"Выговор",IF(AND(N9&gt;1.85,N9&lt;3),"Предупреждение",IF(AND(N9&gt;3,N9&lt;=4.65),"Нормально",IF(AND(N9&gt;4.65,N9&lt;5.1,MIN(E9:M9)&gt;=4),"Благодарность","Нормально")))),"")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684</v>
      </c>
      <c r="C10" s="37" t="s">
        <v>685</v>
      </c>
      <c r="D10" s="160"/>
      <c r="E10" s="331"/>
      <c r="F10" s="332"/>
      <c r="G10" s="314"/>
      <c r="H10" s="333"/>
      <c r="I10" s="331"/>
      <c r="J10" s="314"/>
      <c r="K10" s="332"/>
      <c r="L10" s="314"/>
      <c r="M10" s="333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117" t="str">
        <f aca="false">IF(E10&lt;&gt;"",IF(N10&lt;1.85,"Выговор",IF(AND(N10&gt;1.85,N10&lt;3),"Предупреждение",IF(AND(N10&gt;3,N10&lt;=4.65),"Нормально",IF(AND(N10&gt;4.65,N10&lt;5.1,MIN(E10:M10)&gt;=4),"Благодарность","Нормально")))),"")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686</v>
      </c>
      <c r="C11" s="37" t="s">
        <v>687</v>
      </c>
      <c r="D11" s="160"/>
      <c r="E11" s="331"/>
      <c r="F11" s="332"/>
      <c r="G11" s="332"/>
      <c r="H11" s="333"/>
      <c r="I11" s="331"/>
      <c r="J11" s="314"/>
      <c r="K11" s="332"/>
      <c r="L11" s="332"/>
      <c r="M11" s="333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117" t="str">
        <f aca="false">IF(E11&lt;&gt;"",IF(N11&lt;1.85,"Выговор",IF(AND(N11&gt;1.85,N11&lt;3),"Предупреждение",IF(AND(N11&gt;3,N11&lt;=4.65),"Нормально",IF(AND(N11&gt;4.65,N11&lt;5.1,MIN(E11:M11)&gt;=4),"Благодарность","Нормально")))),"")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688</v>
      </c>
      <c r="C12" s="37" t="s">
        <v>689</v>
      </c>
      <c r="D12" s="160"/>
      <c r="E12" s="331"/>
      <c r="F12" s="332"/>
      <c r="G12" s="314"/>
      <c r="H12" s="333"/>
      <c r="I12" s="331"/>
      <c r="J12" s="314"/>
      <c r="K12" s="332"/>
      <c r="L12" s="314"/>
      <c r="M12" s="333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117" t="str">
        <f aca="false">IF(E12&lt;&gt;"",IF(N12&lt;1.85,"Выговор",IF(AND(N12&gt;1.85,N12&lt;3),"Предупреждение",IF(AND(N12&gt;3,N12&lt;=4.65),"Нормально",IF(AND(N12&gt;4.65,N12&lt;5.1,MIN(E12:M12)&gt;=4),"Благодарность","Нормально")))),"")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690</v>
      </c>
      <c r="C13" s="37" t="s">
        <v>691</v>
      </c>
      <c r="D13" s="160"/>
      <c r="E13" s="316"/>
      <c r="F13" s="314"/>
      <c r="G13" s="314"/>
      <c r="H13" s="334"/>
      <c r="I13" s="316"/>
      <c r="J13" s="314"/>
      <c r="K13" s="314"/>
      <c r="L13" s="314"/>
      <c r="M13" s="333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117" t="str">
        <f aca="false">IF(E13&lt;&gt;"",IF(N13&lt;1.85,"Выговор",IF(AND(N13&gt;1.85,N13&lt;3),"Предупреждение",IF(AND(N13&gt;3,N13&lt;=4.65),"Нормально",IF(AND(N13&gt;4.65,N13&lt;5.1,MIN(E13:M13)&gt;=4),"Благодарность","Нормально")))),"")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692</v>
      </c>
      <c r="C14" s="37" t="s">
        <v>693</v>
      </c>
      <c r="D14" s="160"/>
      <c r="E14" s="316"/>
      <c r="F14" s="314"/>
      <c r="G14" s="314"/>
      <c r="H14" s="334"/>
      <c r="I14" s="316"/>
      <c r="J14" s="314"/>
      <c r="K14" s="314"/>
      <c r="L14" s="314"/>
      <c r="M14" s="333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117" t="str">
        <f aca="false">IF(E14&lt;&gt;"",IF(N14&lt;1.85,"Выговор",IF(AND(N14&gt;1.85,N14&lt;3),"Предупреждение",IF(AND(N14&gt;3,N14&lt;=4.65),"Нормально",IF(AND(N14&gt;4.65,N14&lt;5.1,MIN(E14:M14)&gt;=4),"Благодарность","Нормально")))),"")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694</v>
      </c>
      <c r="C15" s="37" t="s">
        <v>695</v>
      </c>
      <c r="D15" s="160"/>
      <c r="E15" s="316"/>
      <c r="F15" s="314"/>
      <c r="G15" s="314"/>
      <c r="H15" s="334"/>
      <c r="I15" s="316"/>
      <c r="J15" s="314"/>
      <c r="K15" s="314"/>
      <c r="L15" s="314"/>
      <c r="M15" s="333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117" t="str">
        <f aca="false">IF(E15&lt;&gt;"",IF(N15&lt;1.85,"Выговор",IF(AND(N15&gt;1.85,N15&lt;3),"Предупреждение",IF(AND(N15&gt;3,N15&lt;=4.65),"Нормально",IF(AND(N15&gt;4.65,N15&lt;5.1,MIN(E15:M15)&gt;=4),"Благодарность","Нормально")))),"")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85" t="n">
        <v>9</v>
      </c>
      <c r="B16" s="37" t="s">
        <v>696</v>
      </c>
      <c r="C16" s="37" t="s">
        <v>697</v>
      </c>
      <c r="D16" s="160"/>
      <c r="E16" s="316"/>
      <c r="F16" s="314"/>
      <c r="G16" s="314"/>
      <c r="H16" s="334"/>
      <c r="I16" s="316"/>
      <c r="J16" s="314"/>
      <c r="K16" s="314"/>
      <c r="L16" s="314"/>
      <c r="M16" s="333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117" t="str">
        <f aca="false">IF(E16&lt;&gt;"",IF(N16&lt;1.85,"Выговор",IF(AND(N16&gt;1.85,N16&lt;3),"Предупреждение",IF(AND(N16&gt;3,N16&lt;=4.65),"Нормально",IF(AND(N16&gt;4.65,N16&lt;5.1,MIN(E16:M16)&gt;=4),"Благодарность","Нормально")))),"")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698</v>
      </c>
      <c r="C17" s="37" t="s">
        <v>699</v>
      </c>
      <c r="D17" s="160"/>
      <c r="E17" s="316"/>
      <c r="F17" s="314"/>
      <c r="G17" s="314"/>
      <c r="H17" s="334"/>
      <c r="I17" s="316"/>
      <c r="J17" s="314"/>
      <c r="K17" s="314"/>
      <c r="L17" s="314"/>
      <c r="M17" s="333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117" t="str">
        <f aca="false">IF(E17&lt;&gt;"",IF(N17&lt;1.85,"Выговор",IF(AND(N17&gt;1.85,N17&lt;3),"Предупреждение",IF(AND(N17&gt;3,N17&lt;=4.65),"Нормально",IF(AND(N17&gt;4.65,N17&lt;5.1,MIN(E17:M17)&gt;=4),"Благодарность","Нормально")))),"")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700</v>
      </c>
      <c r="C18" s="37" t="s">
        <v>701</v>
      </c>
      <c r="D18" s="160"/>
      <c r="E18" s="316"/>
      <c r="F18" s="314"/>
      <c r="G18" s="314"/>
      <c r="H18" s="334"/>
      <c r="I18" s="316"/>
      <c r="J18" s="314"/>
      <c r="K18" s="314"/>
      <c r="L18" s="314"/>
      <c r="M18" s="333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117" t="str">
        <f aca="false">IF(E18&lt;&gt;"",IF(N18&lt;1.85,"Выговор",IF(AND(N18&gt;1.85,N18&lt;3),"Предупреждение",IF(AND(N18&gt;3,N18&lt;=4.65),"Нормально",IF(AND(N18&gt;4.65,N18&lt;5.1,MIN(E18:M18)&gt;=4),"Благодарность","Нормально")))),"")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702</v>
      </c>
      <c r="C19" s="37" t="s">
        <v>703</v>
      </c>
      <c r="D19" s="160"/>
      <c r="E19" s="316"/>
      <c r="F19" s="314"/>
      <c r="G19" s="314"/>
      <c r="H19" s="334"/>
      <c r="I19" s="316"/>
      <c r="J19" s="314"/>
      <c r="K19" s="314"/>
      <c r="L19" s="314"/>
      <c r="M19" s="333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117" t="str">
        <f aca="false">IF(E19&lt;&gt;"",IF(N19&lt;1.85,"Выговор",IF(AND(N19&gt;1.85,N19&lt;3),"Предупреждение",IF(AND(N19&gt;3,N19&lt;=4.65),"Нормально",IF(AND(N19&gt;4.65,N19&lt;5.1,MIN(E19:M19)&gt;=4),"Благодарность","Нормально")))),"")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85" t="n">
        <v>13</v>
      </c>
      <c r="B20" s="37" t="s">
        <v>704</v>
      </c>
      <c r="C20" s="37" t="s">
        <v>705</v>
      </c>
      <c r="D20" s="160"/>
      <c r="E20" s="316"/>
      <c r="F20" s="314"/>
      <c r="G20" s="314"/>
      <c r="H20" s="334"/>
      <c r="I20" s="316"/>
      <c r="J20" s="314"/>
      <c r="K20" s="314"/>
      <c r="L20" s="314"/>
      <c r="M20" s="333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117" t="str">
        <f aca="false">IF(E20&lt;&gt;"",IF(N20&lt;1.85,"Выговор",IF(AND(N20&gt;1.85,N20&lt;3),"Предупреждение",IF(AND(N20&gt;3,N20&lt;=4.65),"Нормально",IF(AND(N20&gt;4.65,N20&lt;5.1,MIN(E20:M20)&gt;=4),"Благодарность","Нормально")))),"")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706</v>
      </c>
      <c r="C21" s="37" t="s">
        <v>707</v>
      </c>
      <c r="D21" s="160"/>
      <c r="E21" s="316"/>
      <c r="F21" s="314"/>
      <c r="G21" s="314"/>
      <c r="H21" s="334"/>
      <c r="I21" s="316"/>
      <c r="J21" s="314"/>
      <c r="K21" s="314"/>
      <c r="L21" s="314"/>
      <c r="M21" s="333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117" t="str">
        <f aca="false">IF(E21&lt;&gt;"",IF(N21&lt;1.85,"Выговор",IF(AND(N21&gt;1.85,N21&lt;3),"Предупреждение",IF(AND(N21&gt;3,N21&lt;=4.65),"Нормально",IF(AND(N21&gt;4.65,N21&lt;5.1,MIN(E21:M21)&gt;=4),"Благодарность","Нормально")))),"")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708</v>
      </c>
      <c r="C22" s="37" t="s">
        <v>709</v>
      </c>
      <c r="D22" s="160"/>
      <c r="E22" s="316"/>
      <c r="F22" s="314"/>
      <c r="G22" s="314"/>
      <c r="H22" s="334"/>
      <c r="I22" s="316"/>
      <c r="J22" s="314"/>
      <c r="K22" s="314"/>
      <c r="L22" s="314"/>
      <c r="M22" s="333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117" t="str">
        <f aca="false">IF(E22&lt;&gt;"",IF(N22&lt;1.85,"Выговор",IF(AND(N22&gt;1.85,N22&lt;3),"Предупреждение",IF(AND(N22&gt;3,N22&lt;=4.65),"Нормально",IF(AND(N22&gt;4.65,N22&lt;5.1,MIN(E22:M22)&gt;=4),"Благодарность","Нормально")))),"")</f>
        <v/>
      </c>
      <c r="R22" s="118" t="n">
        <f aca="false">COUNTIF(E22:M22,2)+COUNTIF(E22:M22,1)+COUNTIF(E22:M22,0)</f>
        <v>0</v>
      </c>
    </row>
    <row r="23" s="45" customFormat="true" ht="15" hidden="false" customHeight="true" outlineLevel="0" collapsed="false">
      <c r="A23" s="37" t="n">
        <v>16</v>
      </c>
      <c r="B23" s="37" t="s">
        <v>710</v>
      </c>
      <c r="C23" s="37" t="s">
        <v>711</v>
      </c>
      <c r="D23" s="160"/>
      <c r="E23" s="316"/>
      <c r="F23" s="314"/>
      <c r="G23" s="314"/>
      <c r="H23" s="334"/>
      <c r="I23" s="316"/>
      <c r="J23" s="314"/>
      <c r="K23" s="314"/>
      <c r="L23" s="314"/>
      <c r="M23" s="333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117" t="str">
        <f aca="false">IF(E23&lt;&gt;"",IF(N23&lt;1.85,"Выговор",IF(AND(N23&gt;1.85,N23&lt;3),"Предупреждение",IF(AND(N23&gt;3,N23&lt;=4.65),"Нормально",IF(AND(N23&gt;4.65,N23&lt;5.1,MIN(E23:M23)&gt;=4),"Благодарность","Нормально")))),"")</f>
        <v/>
      </c>
      <c r="R23" s="118" t="n">
        <f aca="false">COUNTIF(E23:M23,2)+COUNTIF(E23:M23,1)+COUNTIF(E23:M23,0)</f>
        <v>0</v>
      </c>
    </row>
    <row r="24" s="45" customFormat="true" ht="15" hidden="false" customHeight="true" outlineLevel="0" collapsed="false">
      <c r="A24" s="85" t="n">
        <v>17</v>
      </c>
      <c r="B24" s="37" t="s">
        <v>712</v>
      </c>
      <c r="C24" s="37" t="s">
        <v>713</v>
      </c>
      <c r="D24" s="160"/>
      <c r="E24" s="316"/>
      <c r="F24" s="314"/>
      <c r="G24" s="314"/>
      <c r="H24" s="334"/>
      <c r="I24" s="316"/>
      <c r="J24" s="314"/>
      <c r="K24" s="314"/>
      <c r="L24" s="314"/>
      <c r="M24" s="333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117" t="str">
        <f aca="false">IF(E24&lt;&gt;"",IF(N24&lt;1.85,"Выговор",IF(AND(N24&gt;1.85,N24&lt;3),"Предупреждение",IF(AND(N24&gt;3,N24&lt;=4.65),"Нормально",IF(AND(N24&gt;4.65,N24&lt;5.1,MIN(E24:M24)&gt;=4),"Благодарность","Нормально")))),"")</f>
        <v/>
      </c>
      <c r="R24" s="118" t="n">
        <f aca="false">COUNTIF(E24:M24,2)+COUNTIF(E24:M24,1)+COUNTIF(E24:M24,0)</f>
        <v>0</v>
      </c>
    </row>
    <row r="25" s="45" customFormat="true" ht="15" hidden="false" customHeight="true" outlineLevel="0" collapsed="false">
      <c r="A25" s="85" t="n">
        <v>18</v>
      </c>
      <c r="B25" s="37" t="s">
        <v>714</v>
      </c>
      <c r="C25" s="37" t="s">
        <v>715</v>
      </c>
      <c r="D25" s="160"/>
      <c r="E25" s="316"/>
      <c r="F25" s="314"/>
      <c r="G25" s="314"/>
      <c r="H25" s="334"/>
      <c r="I25" s="316"/>
      <c r="J25" s="314"/>
      <c r="K25" s="314"/>
      <c r="L25" s="314"/>
      <c r="M25" s="333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117" t="str">
        <f aca="false">IF(E25&lt;&gt;"",IF(N25&lt;1.85,"Выговор",IF(AND(N25&gt;1.85,N25&lt;3),"Предупреждение",IF(AND(N25&gt;3,N25&lt;=4.65),"Нормально",IF(AND(N25&gt;4.65,N25&lt;5.1,MIN(E25:M25)&gt;=4),"Благодарность","Нормально")))),"")</f>
        <v/>
      </c>
      <c r="R25" s="118" t="n">
        <f aca="false">COUNTIF(E25:M25,2)+COUNTIF(E25:M25,1)+COUNTIF(E25:M25,0)</f>
        <v>0</v>
      </c>
    </row>
    <row r="26" s="45" customFormat="true" ht="15" hidden="false" customHeight="true" outlineLevel="0" collapsed="false">
      <c r="A26" s="85" t="n">
        <v>19</v>
      </c>
      <c r="B26" s="37" t="s">
        <v>716</v>
      </c>
      <c r="C26" s="37" t="s">
        <v>717</v>
      </c>
      <c r="D26" s="160"/>
      <c r="E26" s="316"/>
      <c r="F26" s="314"/>
      <c r="G26" s="314"/>
      <c r="H26" s="334"/>
      <c r="I26" s="316"/>
      <c r="J26" s="314"/>
      <c r="K26" s="314"/>
      <c r="L26" s="314"/>
      <c r="M26" s="333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117" t="str">
        <f aca="false">IF(E26&lt;&gt;"",IF(N26&lt;1.85,"Выговор",IF(AND(N26&gt;1.85,N26&lt;3),"Предупреждение",IF(AND(N26&gt;3,N26&lt;=4.65),"Нормально",IF(AND(N26&gt;4.65,N26&lt;5.1,MIN(E26:M26)&gt;=4),"Благодарность","Нормально")))),"")</f>
        <v/>
      </c>
      <c r="R26" s="118" t="n">
        <f aca="false">COUNTIF(E26:M26,2)+COUNTIF(E26:M26,1)+COUNTIF(E26:M26,0)</f>
        <v>0</v>
      </c>
    </row>
    <row r="27" s="45" customFormat="true" ht="15" hidden="false" customHeight="true" outlineLevel="0" collapsed="false">
      <c r="A27" s="85" t="n">
        <v>20</v>
      </c>
      <c r="B27" s="37" t="s">
        <v>718</v>
      </c>
      <c r="C27" s="37" t="s">
        <v>719</v>
      </c>
      <c r="D27" s="160"/>
      <c r="E27" s="316"/>
      <c r="F27" s="314"/>
      <c r="G27" s="314"/>
      <c r="H27" s="334"/>
      <c r="I27" s="316"/>
      <c r="J27" s="314"/>
      <c r="K27" s="314"/>
      <c r="L27" s="314"/>
      <c r="M27" s="333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117" t="str">
        <f aca="false">IF(E27&lt;&gt;"",IF(N27&lt;1.85,"Выговор",IF(AND(N27&gt;1.85,N27&lt;3),"Предупреждение",IF(AND(N27&gt;3,N27&lt;=4.65),"Нормально",IF(AND(N27&gt;4.65,N27&lt;5.1,MIN(E27:M27)&gt;=4),"Благодарность","Нормально")))),"")</f>
        <v/>
      </c>
      <c r="R27" s="118" t="n">
        <f aca="false">COUNTIF(E27:M27,2)+COUNTIF(E27:M27,1)+COUNTIF(E27:M27,0)</f>
        <v>0</v>
      </c>
    </row>
    <row r="28" s="45" customFormat="true" ht="15" hidden="false" customHeight="true" outlineLevel="0" collapsed="false">
      <c r="A28" s="85" t="n">
        <v>21</v>
      </c>
      <c r="B28" s="37" t="s">
        <v>720</v>
      </c>
      <c r="C28" s="37" t="s">
        <v>721</v>
      </c>
      <c r="D28" s="160"/>
      <c r="E28" s="316"/>
      <c r="F28" s="314"/>
      <c r="G28" s="314"/>
      <c r="H28" s="334"/>
      <c r="I28" s="316"/>
      <c r="J28" s="314"/>
      <c r="K28" s="314"/>
      <c r="L28" s="314"/>
      <c r="M28" s="333"/>
      <c r="N28" s="33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117" t="str">
        <f aca="false">IF(E28&lt;&gt;"",IF(N28&lt;1.85,"Выговор",IF(AND(N28&gt;1.85,N28&lt;3),"Предупреждение",IF(AND(N28&gt;3,N28&lt;=4.65),"Нормально",IF(AND(N28&gt;4.65,N28&lt;5.1,MIN(E28:M28)&gt;=4),"Благодарность","Нормально")))),"")</f>
        <v/>
      </c>
      <c r="R28" s="118" t="n">
        <f aca="false">COUNTIF(E28:M28,2)+COUNTIF(E28:M28,1)+COUNTIF(E28:M28,0)</f>
        <v>0</v>
      </c>
    </row>
    <row r="29" s="45" customFormat="true" ht="15" hidden="false" customHeight="true" outlineLevel="0" collapsed="false">
      <c r="A29" s="85" t="n">
        <v>22</v>
      </c>
      <c r="B29" s="37" t="s">
        <v>722</v>
      </c>
      <c r="C29" s="37" t="s">
        <v>723</v>
      </c>
      <c r="D29" s="160"/>
      <c r="E29" s="316"/>
      <c r="F29" s="314"/>
      <c r="G29" s="314"/>
      <c r="H29" s="334"/>
      <c r="I29" s="316"/>
      <c r="J29" s="314"/>
      <c r="K29" s="314"/>
      <c r="L29" s="314"/>
      <c r="M29" s="333"/>
      <c r="N29" s="33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117" t="str">
        <f aca="false">IF(E29&lt;&gt;"",IF(N29&lt;1.85,"Выговор",IF(AND(N29&gt;1.85,N29&lt;3),"Предупреждение",IF(AND(N29&gt;3,N29&lt;=4.65),"Нормально",IF(AND(N29&gt;4.65,N29&lt;5.1,MIN(E29:M29)&gt;=4),"Благодарность","Нормально")))),"")</f>
        <v/>
      </c>
      <c r="R29" s="118" t="n">
        <f aca="false">COUNTIF(E29:M29,2)+COUNTIF(E29:M29,1)+COUNTIF(E29:M29,0)</f>
        <v>0</v>
      </c>
    </row>
    <row r="30" s="45" customFormat="true" ht="15" hidden="false" customHeight="true" outlineLevel="0" collapsed="false">
      <c r="A30" s="85" t="n">
        <v>23</v>
      </c>
      <c r="B30" s="37" t="s">
        <v>724</v>
      </c>
      <c r="C30" s="37" t="s">
        <v>725</v>
      </c>
      <c r="D30" s="160"/>
      <c r="E30" s="316"/>
      <c r="F30" s="314"/>
      <c r="G30" s="314"/>
      <c r="H30" s="334"/>
      <c r="I30" s="316"/>
      <c r="J30" s="314"/>
      <c r="K30" s="314"/>
      <c r="L30" s="314"/>
      <c r="M30" s="333"/>
      <c r="N30" s="33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117" t="str">
        <f aca="false">IF(E30&lt;&gt;"",IF(N30&lt;1.85,"Выговор",IF(AND(N30&gt;1.85,N30&lt;3),"Предупреждение",IF(AND(N30&gt;3,N30&lt;=4.65),"Нормально",IF(AND(N30&gt;4.65,N30&lt;5.1,MIN(E30:M30)&gt;=4),"Благодарность","Нормально")))),"")</f>
        <v/>
      </c>
      <c r="R30" s="118" t="n">
        <f aca="false">COUNTIF(E30:M30,2)+COUNTIF(E30:M30,1)+COUNTIF(E30:M30,0)</f>
        <v>0</v>
      </c>
    </row>
    <row r="31" s="45" customFormat="true" ht="15" hidden="false" customHeight="true" outlineLevel="0" collapsed="false">
      <c r="A31" s="85" t="n">
        <v>24</v>
      </c>
      <c r="B31" s="37" t="s">
        <v>726</v>
      </c>
      <c r="C31" s="37" t="s">
        <v>727</v>
      </c>
      <c r="D31" s="160"/>
      <c r="E31" s="316"/>
      <c r="F31" s="314"/>
      <c r="G31" s="314"/>
      <c r="H31" s="334"/>
      <c r="I31" s="316"/>
      <c r="J31" s="314"/>
      <c r="K31" s="314"/>
      <c r="L31" s="314"/>
      <c r="M31" s="333"/>
      <c r="N31" s="33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117" t="str">
        <f aca="false">IF(E31&lt;&gt;"",IF(N31&lt;1.85,"Выговор",IF(AND(N31&gt;1.85,N31&lt;3),"Предупреждение",IF(AND(N31&gt;3,N31&lt;=4.65),"Нормально",IF(AND(N31&gt;4.65,N31&lt;5.1,MIN(E31:M31)&gt;=4),"Благодарность","Нормально")))),"")</f>
        <v/>
      </c>
      <c r="R31" s="118" t="n">
        <f aca="false">COUNTIF(E31:M31,2)+COUNTIF(E31:M31,1)+COUNTIF(E31:M31,0)</f>
        <v>0</v>
      </c>
    </row>
    <row r="32" s="45" customFormat="true" ht="15" hidden="false" customHeight="true" outlineLevel="0" collapsed="false">
      <c r="A32" s="85" t="n">
        <v>25</v>
      </c>
      <c r="B32" s="37" t="s">
        <v>728</v>
      </c>
      <c r="C32" s="37" t="s">
        <v>729</v>
      </c>
      <c r="D32" s="160"/>
      <c r="E32" s="316"/>
      <c r="F32" s="314"/>
      <c r="G32" s="314"/>
      <c r="H32" s="334"/>
      <c r="I32" s="316"/>
      <c r="J32" s="314"/>
      <c r="K32" s="314"/>
      <c r="L32" s="314"/>
      <c r="M32" s="333"/>
      <c r="N32" s="33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117" t="str">
        <f aca="false">IF(E32&lt;&gt;"",IF(N32&lt;1.85,"Выговор",IF(AND(N32&gt;1.85,N32&lt;3),"Предупреждение",IF(AND(N32&gt;3,N32&lt;=4.65),"Нормально",IF(AND(N32&gt;4.65,N32&lt;5.1,MIN(E32:M32)&gt;=4),"Благодарность","Нормально")))),"")</f>
        <v/>
      </c>
      <c r="R32" s="118" t="n">
        <f aca="false">COUNTIF(E32:M32,2)+COUNTIF(E32:M32,1)+COUNTIF(E32:M32,0)</f>
        <v>0</v>
      </c>
    </row>
    <row r="33" customFormat="false" ht="15" hidden="false" customHeight="true" outlineLevel="0" collapsed="false">
      <c r="A33" s="85" t="n">
        <v>26</v>
      </c>
      <c r="B33" s="37" t="s">
        <v>730</v>
      </c>
      <c r="C33" s="37" t="s">
        <v>731</v>
      </c>
      <c r="D33" s="160"/>
      <c r="E33" s="316"/>
      <c r="F33" s="314"/>
      <c r="G33" s="314"/>
      <c r="H33" s="334"/>
      <c r="I33" s="316"/>
      <c r="J33" s="314"/>
      <c r="K33" s="314"/>
      <c r="L33" s="314"/>
      <c r="M33" s="333"/>
      <c r="N33" s="33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117" t="str">
        <f aca="false">IF(E33&lt;&gt;"",IF(N33&lt;1.85,"Выговор",IF(AND(N33&gt;1.85,N33&lt;3),"Предупреждение",IF(AND(N33&gt;3,N33&lt;=4.65),"Нормально",IF(AND(N33&gt;4.65,N33&lt;5.1,MIN(E33:M33)&gt;=4),"Благодарность","Нормально")))),"")</f>
        <v/>
      </c>
      <c r="R33" s="118" t="n">
        <f aca="false">COUNTIF(E33:M33,2)+COUNTIF(E33:M33,1)+COUNTIF(E33:M33,0)</f>
        <v>0</v>
      </c>
    </row>
    <row r="34" customFormat="false" ht="15" hidden="false" customHeight="true" outlineLevel="0" collapsed="false">
      <c r="A34" s="0" t="s">
        <v>77</v>
      </c>
      <c r="D34" s="209"/>
      <c r="E34" s="210" t="e">
        <f aca="false">AVERAGE(E9:E33)</f>
        <v>#DIV/0!</v>
      </c>
      <c r="F34" s="210" t="e">
        <f aca="false">AVERAGE(F9:F33)</f>
        <v>#DIV/0!</v>
      </c>
      <c r="G34" s="210" t="e">
        <f aca="false">AVERAGE(G9:G33)</f>
        <v>#DIV/0!</v>
      </c>
      <c r="H34" s="210" t="e">
        <f aca="false">AVERAGE(H9:H33)</f>
        <v>#DIV/0!</v>
      </c>
      <c r="I34" s="210" t="e">
        <f aca="false">AVERAGE(I9:I33)</f>
        <v>#DIV/0!</v>
      </c>
      <c r="J34" s="210" t="e">
        <f aca="false">AVERAGE(J9:J33)</f>
        <v>#DIV/0!</v>
      </c>
      <c r="K34" s="210" t="e">
        <f aca="false">AVERAGE(K9:K33)</f>
        <v>#DIV/0!</v>
      </c>
      <c r="L34" s="210" t="e">
        <f aca="false">AVERAGE(L9:L33)</f>
        <v>#DIV/0!</v>
      </c>
      <c r="M34" s="210" t="e">
        <f aca="false">AVERAGE(M9:M33)</f>
        <v>#DIV/0!</v>
      </c>
      <c r="N34" s="48"/>
      <c r="O34" s="47"/>
      <c r="P34" s="48"/>
    </row>
    <row r="35" customFormat="false" ht="15" hidden="false" customHeight="true" outlineLevel="0" collapsed="false">
      <c r="A35" s="0" t="s">
        <v>78</v>
      </c>
      <c r="E35" s="137" t="e">
        <f aca="false">(COUNTIF(E8:E33,5)+COUNTIF(E8:E33,4)+COUNTIF(E8:E33,3))/$P$39*100</f>
        <v>#DIV/0!</v>
      </c>
      <c r="F35" s="137" t="e">
        <f aca="false">(COUNTIF(F8:F33,5)+COUNTIF(F8:F33,4)+COUNTIF(F8:F33,3))/$P$39*100</f>
        <v>#DIV/0!</v>
      </c>
      <c r="G35" s="137" t="e">
        <f aca="false">(COUNTIF(G8:G33,5)+COUNTIF(G8:G33,4)+COUNTIF(G8:G33,3))/$P$39*100</f>
        <v>#DIV/0!</v>
      </c>
      <c r="H35" s="137" t="e">
        <f aca="false">(COUNTIF(H8:H33,5)+COUNTIF(H8:H33,4)+COUNTIF(H8:H33,3))/$P$39*100</f>
        <v>#DIV/0!</v>
      </c>
      <c r="I35" s="137" t="e">
        <f aca="false">(COUNTIF(I8:I33,5)+COUNTIF(I8:I33,4)+COUNTIF(I8:I33,3))/$P$39*100</f>
        <v>#DIV/0!</v>
      </c>
      <c r="J35" s="137" t="e">
        <f aca="false">(COUNTIF(J8:J33,5)+COUNTIF(J8:J33,4)+COUNTIF(J8:J33,3))/$P$39*100</f>
        <v>#DIV/0!</v>
      </c>
      <c r="K35" s="137" t="e">
        <f aca="false">(COUNTIF(K8:K33,5)+COUNTIF(K8:K33,4)+COUNTIF(K8:K33,3))/$P$39*100</f>
        <v>#DIV/0!</v>
      </c>
      <c r="L35" s="137" t="e">
        <f aca="false">(COUNTIF(L8:L33,5)+COUNTIF(L8:L33,4)+COUNTIF(L8:L33,3))/$P$39*100</f>
        <v>#DIV/0!</v>
      </c>
      <c r="M35" s="137" t="e">
        <f aca="false">(COUNTIF(M8:M33,5)+COUNTIF(M8:M33,4)+COUNTIF(M8:M33,3))/$P$39*100</f>
        <v>#DIV/0!</v>
      </c>
      <c r="N35" s="48"/>
      <c r="O35" s="48"/>
      <c r="P35" s="48"/>
      <c r="Q35" s="48"/>
    </row>
    <row r="36" customFormat="false" ht="15" hidden="false" customHeight="true" outlineLevel="0" collapsed="false">
      <c r="E36" s="64"/>
      <c r="F36" s="64"/>
      <c r="G36" s="64"/>
      <c r="H36" s="64"/>
      <c r="I36" s="64"/>
      <c r="J36" s="64"/>
      <c r="K36" s="64"/>
      <c r="L36" s="64"/>
      <c r="M36" s="64"/>
      <c r="N36" s="48"/>
      <c r="O36" s="48"/>
      <c r="P36" s="48"/>
      <c r="Q36" s="48"/>
      <c r="R36" s="48"/>
    </row>
    <row r="37" customFormat="false" ht="15" hidden="false" customHeight="true" outlineLevel="0" collapsed="false">
      <c r="B37" s="50"/>
      <c r="C37" s="50" t="s">
        <v>8</v>
      </c>
      <c r="D37" s="51" t="str">
        <f aca="false">IFERROR(AVERAGE(N8:N33),"")</f>
        <v/>
      </c>
      <c r="E37" s="52" t="s">
        <v>9</v>
      </c>
      <c r="F37" s="52"/>
      <c r="G37" s="53" t="str">
        <f aca="false">IFERROR(COUNTIF(O8:O33,"Успевает")/P39*100,"")</f>
        <v/>
      </c>
      <c r="H37" s="319" t="s">
        <v>79</v>
      </c>
      <c r="I37" s="319"/>
      <c r="J37" s="55" t="str">
        <f aca="false">IFERROR(AVERAGE(P8:P33),"")</f>
        <v/>
      </c>
      <c r="K37" s="52"/>
      <c r="L37" s="52"/>
      <c r="M37" s="158"/>
      <c r="N37" s="48"/>
      <c r="O37" s="48"/>
      <c r="P37" s="48"/>
      <c r="Q37" s="48"/>
      <c r="R37" s="48"/>
    </row>
    <row r="38" customFormat="false" ht="15" hidden="false" customHeight="true" outlineLevel="0" collapsed="false">
      <c r="B38" s="50"/>
      <c r="C38" s="50"/>
      <c r="D38" s="50"/>
      <c r="E38" s="56"/>
      <c r="F38" s="56"/>
      <c r="G38" s="56"/>
      <c r="H38" s="56"/>
      <c r="I38" s="56"/>
      <c r="J38" s="56"/>
      <c r="K38" s="56"/>
      <c r="L38" s="56"/>
      <c r="M38" s="56"/>
      <c r="S38" s="60"/>
    </row>
    <row r="39" customFormat="false" ht="15" hidden="false" customHeight="true" outlineLevel="0" collapsed="false">
      <c r="A39" s="50"/>
      <c r="B39" s="261" t="s">
        <v>81</v>
      </c>
      <c r="C39" s="261"/>
      <c r="D39" s="261"/>
      <c r="E39" s="261"/>
      <c r="F39" s="261"/>
      <c r="G39" s="261"/>
      <c r="H39" s="261"/>
      <c r="I39" s="261"/>
      <c r="J39" s="292" t="s">
        <v>82</v>
      </c>
      <c r="K39" s="292"/>
      <c r="L39" s="292"/>
      <c r="M39" s="96"/>
      <c r="N39" s="57" t="s">
        <v>80</v>
      </c>
      <c r="O39" s="57"/>
      <c r="P39" s="58" t="n">
        <f aca="false">SUM(P40:P41)</f>
        <v>0</v>
      </c>
      <c r="Q39" s="293"/>
      <c r="R39" s="293"/>
      <c r="S39" s="293"/>
    </row>
    <row r="40" customFormat="false" ht="15" hidden="false" customHeight="true" outlineLevel="0" collapsed="false">
      <c r="A40" s="50"/>
      <c r="B40" s="141" t="str">
        <f aca="false">$E$6</f>
        <v> Алгоритмизация и программирование</v>
      </c>
      <c r="C40" s="141"/>
      <c r="D40" s="141"/>
      <c r="E40" s="141"/>
      <c r="F40" s="141"/>
      <c r="G40" s="141"/>
      <c r="H40" s="141"/>
      <c r="I40" s="141"/>
      <c r="J40" s="335"/>
      <c r="K40" s="335"/>
      <c r="L40" s="335"/>
      <c r="M40" s="97"/>
      <c r="N40" s="57" t="s">
        <v>83</v>
      </c>
      <c r="O40" s="57"/>
      <c r="P40" s="58" t="n">
        <f aca="false">COUNTIF(O8:O33,"Успевает")</f>
        <v>0</v>
      </c>
      <c r="Q40" s="293"/>
      <c r="R40" s="293"/>
      <c r="S40" s="293"/>
    </row>
    <row r="41" customFormat="false" ht="15" hidden="false" customHeight="true" outlineLevel="0" collapsed="false">
      <c r="A41" s="50"/>
      <c r="B41" s="141" t="str">
        <f aca="false">$F$6</f>
        <v> Аналитическая геометрия и линейная алгебра</v>
      </c>
      <c r="C41" s="141"/>
      <c r="D41" s="141"/>
      <c r="E41" s="141"/>
      <c r="F41" s="141"/>
      <c r="G41" s="141"/>
      <c r="H41" s="141"/>
      <c r="I41" s="141"/>
      <c r="J41" s="335"/>
      <c r="K41" s="335"/>
      <c r="L41" s="335"/>
      <c r="M41" s="97"/>
      <c r="N41" s="98" t="s">
        <v>84</v>
      </c>
      <c r="O41" s="98"/>
      <c r="P41" s="58" t="n">
        <f aca="false">COUNTIF(O8:O33,"Не успевает")</f>
        <v>0</v>
      </c>
      <c r="Q41" s="293"/>
      <c r="R41" s="293"/>
      <c r="S41" s="296"/>
    </row>
    <row r="42" customFormat="false" ht="15" hidden="false" customHeight="true" outlineLevel="0" collapsed="false">
      <c r="A42" s="50"/>
      <c r="B42" s="141" t="str">
        <f aca="false">$G$6</f>
        <v> Инженерная графика</v>
      </c>
      <c r="C42" s="141"/>
      <c r="D42" s="141"/>
      <c r="E42" s="141"/>
      <c r="F42" s="141"/>
      <c r="G42" s="141"/>
      <c r="H42" s="141"/>
      <c r="I42" s="141"/>
      <c r="J42" s="335"/>
      <c r="K42" s="335"/>
      <c r="L42" s="335"/>
      <c r="M42" s="97"/>
      <c r="N42" s="98" t="s">
        <v>85</v>
      </c>
      <c r="O42" s="98"/>
      <c r="P42" s="58" t="n">
        <f aca="false">COUNTIF(Q8:Q33,"Благодарность")</f>
        <v>0</v>
      </c>
      <c r="Q42" s="293"/>
      <c r="R42" s="293"/>
      <c r="S42" s="293"/>
    </row>
    <row r="43" customFormat="false" ht="15" hidden="false" customHeight="true" outlineLevel="0" collapsed="false">
      <c r="A43" s="50"/>
      <c r="B43" s="141" t="str">
        <f aca="false">$H$6</f>
        <v> Математический анализ</v>
      </c>
      <c r="C43" s="141"/>
      <c r="D43" s="141"/>
      <c r="E43" s="141"/>
      <c r="F43" s="141"/>
      <c r="G43" s="141"/>
      <c r="H43" s="141"/>
      <c r="I43" s="141"/>
      <c r="J43" s="335"/>
      <c r="K43" s="335"/>
      <c r="L43" s="335"/>
      <c r="M43" s="97"/>
      <c r="N43" s="98" t="s">
        <v>86</v>
      </c>
      <c r="O43" s="98"/>
      <c r="P43" s="58" t="n">
        <f aca="false">COUNTIF(Q8:Q33,"Нормально")</f>
        <v>0</v>
      </c>
      <c r="Q43" s="293"/>
      <c r="R43" s="293"/>
      <c r="S43" s="297"/>
    </row>
    <row r="44" customFormat="false" ht="15" hidden="false" customHeight="true" outlineLevel="0" collapsed="false">
      <c r="A44" s="50"/>
      <c r="B44" s="141" t="str">
        <f aca="false">$I$6</f>
        <v>Иностранный язык</v>
      </c>
      <c r="C44" s="141"/>
      <c r="D44" s="141"/>
      <c r="E44" s="141"/>
      <c r="F44" s="141"/>
      <c r="G44" s="141"/>
      <c r="H44" s="141"/>
      <c r="I44" s="141"/>
      <c r="J44" s="335"/>
      <c r="K44" s="335"/>
      <c r="L44" s="335"/>
      <c r="M44" s="97"/>
      <c r="N44" s="98" t="s">
        <v>87</v>
      </c>
      <c r="O44" s="98"/>
      <c r="P44" s="58" t="n">
        <f aca="false">COUNTIF(Q8:Q33,"Предупреждение")</f>
        <v>0</v>
      </c>
      <c r="Q44" s="293"/>
      <c r="R44" s="293"/>
      <c r="S44" s="297"/>
    </row>
    <row r="45" customFormat="false" ht="15" hidden="false" customHeight="true" outlineLevel="0" collapsed="false">
      <c r="A45" s="50"/>
      <c r="B45" s="141" t="str">
        <f aca="false">$J$6</f>
        <v> История России</v>
      </c>
      <c r="C45" s="141"/>
      <c r="D45" s="141"/>
      <c r="E45" s="141"/>
      <c r="F45" s="141"/>
      <c r="G45" s="141"/>
      <c r="H45" s="141"/>
      <c r="I45" s="141"/>
      <c r="J45" s="335"/>
      <c r="K45" s="335"/>
      <c r="L45" s="335"/>
      <c r="M45" s="97"/>
      <c r="N45" s="98" t="s">
        <v>88</v>
      </c>
      <c r="O45" s="98"/>
      <c r="P45" s="58" t="n">
        <f aca="false">COUNTIF(Q8:Q33,"Выговор")</f>
        <v>0</v>
      </c>
      <c r="Q45" s="293"/>
      <c r="R45" s="293"/>
      <c r="S45" s="297"/>
    </row>
    <row r="46" customFormat="false" ht="15" hidden="false" customHeight="true" outlineLevel="0" collapsed="false">
      <c r="A46" s="50"/>
      <c r="B46" s="141" t="str">
        <f aca="false">$K$6</f>
        <v> Теоретическая информатика</v>
      </c>
      <c r="C46" s="141"/>
      <c r="D46" s="141"/>
      <c r="E46" s="141"/>
      <c r="F46" s="141"/>
      <c r="G46" s="141"/>
      <c r="H46" s="141"/>
      <c r="I46" s="141"/>
      <c r="J46" s="335"/>
      <c r="K46" s="335"/>
      <c r="L46" s="335"/>
      <c r="M46" s="97"/>
      <c r="N46" s="336" t="s">
        <v>464</v>
      </c>
      <c r="O46" s="336"/>
      <c r="P46" s="186" t="n">
        <f aca="false">SUM(R8:R33)</f>
        <v>0</v>
      </c>
      <c r="Q46" s="298"/>
      <c r="R46" s="297"/>
      <c r="S46" s="297"/>
    </row>
    <row r="47" customFormat="false" ht="15" hidden="false" customHeight="true" outlineLevel="0" collapsed="false">
      <c r="A47" s="50"/>
      <c r="B47" s="141" t="str">
        <f aca="false">$L$6</f>
        <v> Учебно-технологический практикум</v>
      </c>
      <c r="C47" s="141"/>
      <c r="D47" s="141"/>
      <c r="E47" s="141"/>
      <c r="F47" s="141"/>
      <c r="G47" s="141"/>
      <c r="H47" s="141"/>
      <c r="I47" s="141"/>
      <c r="J47" s="335"/>
      <c r="K47" s="335"/>
      <c r="L47" s="335"/>
      <c r="M47" s="337"/>
      <c r="N47" s="64"/>
      <c r="O47" s="64"/>
      <c r="P47" s="72"/>
      <c r="Q47" s="298"/>
      <c r="R47" s="297"/>
      <c r="S47" s="297"/>
    </row>
    <row r="48" customFormat="false" ht="15" hidden="false" customHeight="true" outlineLevel="0" collapsed="false">
      <c r="A48" s="50"/>
      <c r="B48" s="141" t="str">
        <f aca="false">$M$6</f>
        <v>Физическая культура и спорт</v>
      </c>
      <c r="C48" s="141"/>
      <c r="D48" s="141"/>
      <c r="E48" s="141"/>
      <c r="F48" s="141"/>
      <c r="G48" s="141"/>
      <c r="H48" s="141"/>
      <c r="I48" s="141"/>
      <c r="J48" s="335"/>
      <c r="K48" s="335"/>
      <c r="L48" s="335"/>
      <c r="M48" s="97"/>
      <c r="N48" s="48"/>
      <c r="O48" s="48"/>
      <c r="Q48" s="293"/>
      <c r="R48" s="293"/>
      <c r="S48" s="293"/>
    </row>
    <row r="49" customFormat="false" ht="15" hidden="false" customHeight="true" outlineLevel="0" collapsed="false">
      <c r="A49" s="50"/>
      <c r="L49" s="50"/>
      <c r="M49" s="48"/>
      <c r="N49" s="48"/>
      <c r="O49" s="48"/>
      <c r="P49" s="48"/>
      <c r="Q49" s="48"/>
      <c r="R49" s="48"/>
    </row>
    <row r="50" customFormat="false" ht="15" hidden="false" customHeight="true" outlineLevel="0" collapsed="false">
      <c r="A50" s="50"/>
      <c r="B50" s="73" t="s">
        <v>405</v>
      </c>
      <c r="C50" s="327" t="s">
        <v>732</v>
      </c>
      <c r="D50" s="327"/>
      <c r="E50" s="67"/>
      <c r="F50" s="52" t="s">
        <v>369</v>
      </c>
      <c r="G50" s="52" t="s">
        <v>733</v>
      </c>
      <c r="H50" s="52"/>
      <c r="I50" s="52"/>
      <c r="J50" s="52"/>
      <c r="K50" s="52"/>
      <c r="L50" s="50"/>
      <c r="M50" s="48"/>
      <c r="N50" s="48"/>
      <c r="O50" s="48"/>
      <c r="P50" s="48"/>
      <c r="Q50" s="48"/>
      <c r="R50" s="48"/>
    </row>
    <row r="51" customFormat="false" ht="15" hidden="false" customHeight="tru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48"/>
      <c r="N51" s="48"/>
      <c r="O51" s="48"/>
      <c r="P51" s="48"/>
      <c r="Q51" s="48"/>
      <c r="R51" s="48"/>
    </row>
    <row r="52" customFormat="false" ht="15" hidden="false" customHeight="true" outlineLevel="0" collapsed="false">
      <c r="A52" s="50"/>
      <c r="B52" s="52"/>
      <c r="C52" s="52"/>
      <c r="D52" s="52"/>
      <c r="E52" s="52"/>
      <c r="F52" s="52"/>
      <c r="G52" s="52"/>
      <c r="H52" s="52"/>
      <c r="I52" s="52"/>
      <c r="J52" s="50"/>
      <c r="K52" s="50"/>
      <c r="L52" s="50"/>
      <c r="M52" s="48"/>
      <c r="N52" s="48"/>
      <c r="O52" s="48"/>
      <c r="P52" s="48"/>
      <c r="Q52" s="48"/>
      <c r="R52" s="48"/>
    </row>
    <row r="53" customFormat="false" ht="15" hidden="false" customHeight="true" outlineLevel="0" collapsed="false">
      <c r="A53" s="50"/>
      <c r="B53" s="50" t="s">
        <v>95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48"/>
      <c r="N53" s="48"/>
      <c r="O53" s="48"/>
      <c r="P53" s="48"/>
      <c r="Q53" s="48"/>
      <c r="R53" s="48"/>
    </row>
    <row r="54" customFormat="false" ht="15" hidden="false" customHeight="true" outlineLevel="0" collapsed="false">
      <c r="A54" s="50"/>
      <c r="B54" s="50" t="s">
        <v>96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48"/>
      <c r="P54" s="48"/>
      <c r="Q54" s="48"/>
      <c r="R54" s="48"/>
    </row>
    <row r="55" customFormat="false" ht="15" hidden="false" customHeight="true" outlineLevel="0" collapsed="false">
      <c r="A55" s="50"/>
      <c r="B55" s="50" t="s">
        <v>97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48"/>
      <c r="P55" s="48"/>
      <c r="Q55" s="48"/>
      <c r="R55" s="48"/>
    </row>
    <row r="56" customFormat="false" ht="15" hidden="false" customHeight="true" outlineLevel="0" collapsed="false">
      <c r="A56" s="50"/>
      <c r="B56" s="50" t="s">
        <v>98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48"/>
      <c r="P56" s="48"/>
      <c r="Q56" s="48"/>
      <c r="R56" s="48"/>
    </row>
    <row r="57" customFormat="false" ht="15" hidden="false" customHeight="true" outlineLevel="0" collapsed="false">
      <c r="B57" s="50" t="s">
        <v>99</v>
      </c>
      <c r="C57" s="50"/>
      <c r="D57" s="50"/>
      <c r="E57" s="50"/>
      <c r="F57" s="50"/>
      <c r="G57" s="50"/>
      <c r="H57" s="50"/>
      <c r="I57" s="50"/>
      <c r="J57" s="50"/>
      <c r="K57" s="50"/>
    </row>
    <row r="58" customFormat="false" ht="15" hidden="false" customHeight="true" outlineLevel="0" collapsed="false"/>
    <row r="59" customFormat="false" ht="15" hidden="false" customHeight="true" outlineLevel="0" collapsed="false"/>
  </sheetData>
  <mergeCells count="44">
    <mergeCell ref="E1:H1"/>
    <mergeCell ref="L2:N2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7:I37"/>
    <mergeCell ref="B39:I39"/>
    <mergeCell ref="J39:L39"/>
    <mergeCell ref="N39:O39"/>
    <mergeCell ref="B40:I40"/>
    <mergeCell ref="J40:L40"/>
    <mergeCell ref="N40:O40"/>
    <mergeCell ref="B41:I41"/>
    <mergeCell ref="J41:L41"/>
    <mergeCell ref="N41:O41"/>
    <mergeCell ref="B42:I42"/>
    <mergeCell ref="J42:L42"/>
    <mergeCell ref="N42:O42"/>
    <mergeCell ref="B43:I43"/>
    <mergeCell ref="J43:L43"/>
    <mergeCell ref="N43:O43"/>
    <mergeCell ref="B44:I44"/>
    <mergeCell ref="J44:L44"/>
    <mergeCell ref="N44:O44"/>
    <mergeCell ref="B45:I45"/>
    <mergeCell ref="J45:L45"/>
    <mergeCell ref="N45:O45"/>
    <mergeCell ref="B46:I46"/>
    <mergeCell ref="J46:L46"/>
    <mergeCell ref="N46:O46"/>
    <mergeCell ref="B47:I47"/>
    <mergeCell ref="J47:L47"/>
    <mergeCell ref="B48:I48"/>
    <mergeCell ref="J48:L48"/>
    <mergeCell ref="C50:D50"/>
  </mergeCells>
  <conditionalFormatting sqref="L29:M30 G29:G30 E29:E30 J29:J3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9:M30 E29:E30 G29:G30 J29:J3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9:I30 F29:F30 K29:K30 E28:M2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4:M3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1:M27 G21:G27 E21:E27 J21:J27 J31:J33 E31:E33 G31:G33 L31:M3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1:M27 E21:E27 G21:G27 J21:J27 J31:J33 G31:G33 E31:E33 L31:M33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1:I27 F21:F27 K21:K27 E8:M20 K31:K33 H31:I33 F31:F33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3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0"/>
  <sheetViews>
    <sheetView showFormulas="false" showGridLines="true" showRowColHeaders="true" showZeros="true" rightToLeft="false" tabSelected="false" showOutlineSymbols="true" defaultGridColor="true" view="normal" topLeftCell="A2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2" min="2" style="0" width="9.29"/>
    <col collapsed="false" customWidth="true" hidden="false" outlineLevel="0" max="3" min="3" style="0" width="18.29"/>
    <col collapsed="false" customWidth="true" hidden="false" outlineLevel="0" max="4" min="4" style="0" width="7.42"/>
    <col collapsed="false" customWidth="true" hidden="false" outlineLevel="0" max="5" min="5" style="0" width="10"/>
    <col collapsed="false" customWidth="true" hidden="false" outlineLevel="0" max="16" min="16" style="0" width="10.29"/>
    <col collapsed="false" customWidth="true" hidden="false" outlineLevel="0" max="18" min="18" style="0" width="11.14"/>
    <col collapsed="false" customWidth="true" hidden="false" outlineLevel="0" max="19" min="19" style="0" width="9.29"/>
    <col collapsed="false" customWidth="true" hidden="false" outlineLevel="0" max="20" min="20" style="0" width="4.42"/>
    <col collapsed="false" customWidth="true" hidden="false" outlineLevel="0" max="21" min="21" style="0" width="4.57"/>
    <col collapsed="false" customWidth="true" hidden="false" outlineLevel="0" max="22" min="22" style="0" width="4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 t="s">
        <v>1</v>
      </c>
      <c r="M2" s="72"/>
      <c r="N2" s="72"/>
      <c r="O2" s="338" t="n">
        <f aca="false">set!B4</f>
        <v>45608</v>
      </c>
      <c r="P2" s="338"/>
      <c r="Q2" s="72"/>
      <c r="R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ИУК2-31Б факультета ИУК МГТУ им. Н.Э. Баумана"</f>
        <v>Успеваемость студентов за 1 семестр 24/25 учебного года по группе ИУК2-31Б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1"/>
      <c r="O5" s="12" t="s">
        <v>8</v>
      </c>
      <c r="P5" s="13" t="s">
        <v>9</v>
      </c>
      <c r="Q5" s="13" t="s">
        <v>10</v>
      </c>
      <c r="R5" s="14" t="s">
        <v>11</v>
      </c>
      <c r="S5" s="14" t="s">
        <v>12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734</v>
      </c>
      <c r="F6" s="340" t="s">
        <v>735</v>
      </c>
      <c r="G6" s="340" t="s">
        <v>736</v>
      </c>
      <c r="H6" s="341" t="s">
        <v>737</v>
      </c>
      <c r="I6" s="339" t="s">
        <v>738</v>
      </c>
      <c r="J6" s="340" t="s">
        <v>18</v>
      </c>
      <c r="K6" s="340" t="s">
        <v>739</v>
      </c>
      <c r="L6" s="340" t="s">
        <v>170</v>
      </c>
      <c r="M6" s="340" t="s">
        <v>740</v>
      </c>
      <c r="N6" s="342" t="s">
        <v>297</v>
      </c>
      <c r="O6" s="12"/>
      <c r="P6" s="13"/>
      <c r="Q6" s="13"/>
      <c r="R6" s="14"/>
      <c r="S6" s="14"/>
    </row>
    <row r="7" customFormat="false" ht="17.9" hidden="false" customHeight="false" outlineLevel="0" collapsed="false">
      <c r="A7" s="8"/>
      <c r="B7" s="8"/>
      <c r="C7" s="8"/>
      <c r="D7" s="9"/>
      <c r="E7" s="343" t="s">
        <v>509</v>
      </c>
      <c r="F7" s="344" t="s">
        <v>741</v>
      </c>
      <c r="G7" s="344" t="s">
        <v>22</v>
      </c>
      <c r="H7" s="345" t="s">
        <v>549</v>
      </c>
      <c r="I7" s="343" t="s">
        <v>742</v>
      </c>
      <c r="J7" s="344" t="s">
        <v>27</v>
      </c>
      <c r="K7" s="344" t="s">
        <v>549</v>
      </c>
      <c r="L7" s="344" t="s">
        <v>175</v>
      </c>
      <c r="M7" s="344" t="s">
        <v>548</v>
      </c>
      <c r="N7" s="346" t="s">
        <v>176</v>
      </c>
      <c r="O7" s="12"/>
      <c r="P7" s="13"/>
      <c r="Q7" s="13"/>
      <c r="R7" s="14"/>
      <c r="S7" s="14"/>
    </row>
    <row r="8" customFormat="false" ht="15" hidden="false" customHeight="true" outlineLevel="0" collapsed="false">
      <c r="A8" s="25" t="n">
        <v>1</v>
      </c>
      <c r="B8" s="25" t="s">
        <v>743</v>
      </c>
      <c r="C8" s="25" t="s">
        <v>744</v>
      </c>
      <c r="D8" s="77"/>
      <c r="E8" s="81"/>
      <c r="F8" s="82"/>
      <c r="G8" s="82"/>
      <c r="H8" s="125"/>
      <c r="I8" s="81"/>
      <c r="J8" s="82"/>
      <c r="K8" s="82"/>
      <c r="L8" s="82"/>
      <c r="M8" s="82"/>
      <c r="N8" s="83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241" t="str">
        <f aca="false">IF(D8&lt;&gt;"",(30*(set!B$5)-D8)/(30*(set!B$5))*100,"")</f>
        <v/>
      </c>
      <c r="R8" s="84" t="str">
        <f aca="false">IF(E8&lt;&gt;"",IF(O8&lt;1.85,"Выговор",IF(AND(O8&gt;1.85,O8&lt;3),"Предупреждение",IF(AND(O8&gt;3,O8&lt;=4.65),"Нормально",IF(AND(O8&gt;4.65,O8&lt;5.1,MIN(E8:N8)&gt;=4),"Благодарность","Нормально")))),"")</f>
        <v/>
      </c>
      <c r="S8" s="36" t="n">
        <f aca="false">COUNTIF(E8:N8,2)+COUNTIF(E8:N8,1)+COUNTIF(E8:N8,0)</f>
        <v>0</v>
      </c>
    </row>
    <row r="9" s="45" customFormat="true" ht="15" hidden="false" customHeight="true" outlineLevel="0" collapsed="false">
      <c r="A9" s="85" t="n">
        <v>2</v>
      </c>
      <c r="B9" s="37" t="s">
        <v>745</v>
      </c>
      <c r="C9" s="37" t="s">
        <v>746</v>
      </c>
      <c r="D9" s="37"/>
      <c r="E9" s="86"/>
      <c r="F9" s="87"/>
      <c r="G9" s="87"/>
      <c r="H9" s="88"/>
      <c r="I9" s="86"/>
      <c r="J9" s="87"/>
      <c r="K9" s="87"/>
      <c r="L9" s="87"/>
      <c r="M9" s="87"/>
      <c r="N9" s="89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241" t="str">
        <f aca="false">IF(D9&lt;&gt;"",(30*(set!B$5)-D9)/(30*(set!B$5))*100,"")</f>
        <v/>
      </c>
      <c r="R9" s="84" t="str">
        <f aca="false">IF(E9&lt;&gt;"",IF(O9&lt;1.85,"Выговор",IF(AND(O9&gt;1.85,O9&lt;3),"Предупреждение",IF(AND(O9&gt;3,O9&lt;=4.65),"Нормально",IF(AND(O9&gt;4.65,O9&lt;5.1,MIN(E9:N9)&gt;=4),"Благодарность","Нормально")))),"")</f>
        <v/>
      </c>
      <c r="S9" s="36" t="n">
        <f aca="false">COUNTIF(E9:N9,2)+COUNTIF(E9:N9,1)+COUNTIF(E9:N9,0)</f>
        <v>0</v>
      </c>
    </row>
    <row r="10" s="45" customFormat="true" ht="15" hidden="false" customHeight="true" outlineLevel="0" collapsed="false">
      <c r="A10" s="37" t="n">
        <v>3</v>
      </c>
      <c r="B10" s="37" t="s">
        <v>747</v>
      </c>
      <c r="C10" s="37" t="s">
        <v>748</v>
      </c>
      <c r="D10" s="37"/>
      <c r="E10" s="86"/>
      <c r="F10" s="87"/>
      <c r="G10" s="87"/>
      <c r="H10" s="88"/>
      <c r="I10" s="86"/>
      <c r="J10" s="87"/>
      <c r="K10" s="87"/>
      <c r="L10" s="87"/>
      <c r="M10" s="87"/>
      <c r="N10" s="89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84" t="str">
        <f aca="false">IF(E10&lt;&gt;"",IF(O10&lt;1.85,"Выговор",IF(AND(O10&gt;1.85,O10&lt;3),"Предупреждение",IF(AND(O10&gt;3,O10&lt;=4.65),"Нормально",IF(AND(O10&gt;4.65,O10&lt;5.1,MIN(E10:N10)&gt;=4),"Благодарность","Нормально")))),"")</f>
        <v/>
      </c>
      <c r="S10" s="36" t="n">
        <f aca="false">COUNTIF(E10:N10,2)+COUNTIF(E10:N10,1)+COUNTIF(E10:N10,0)</f>
        <v>0</v>
      </c>
    </row>
    <row r="11" s="45" customFormat="true" ht="15" hidden="false" customHeight="true" outlineLevel="0" collapsed="false">
      <c r="A11" s="85" t="n">
        <v>4</v>
      </c>
      <c r="B11" s="37" t="s">
        <v>749</v>
      </c>
      <c r="C11" s="37" t="s">
        <v>750</v>
      </c>
      <c r="D11" s="37"/>
      <c r="E11" s="86"/>
      <c r="F11" s="87"/>
      <c r="G11" s="87"/>
      <c r="H11" s="88"/>
      <c r="I11" s="86"/>
      <c r="J11" s="87"/>
      <c r="K11" s="87"/>
      <c r="L11" s="87"/>
      <c r="M11" s="87"/>
      <c r="N11" s="89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84" t="str">
        <f aca="false">IF(E11&lt;&gt;"",IF(O11&lt;1.85,"Выговор",IF(AND(O11&gt;1.85,O11&lt;3),"Предупреждение",IF(AND(O11&gt;3,O11&lt;=4.65),"Нормально",IF(AND(O11&gt;4.65,O11&lt;5.1,MIN(E11:N11)&gt;=4),"Благодарность","Нормально")))),"")</f>
        <v/>
      </c>
      <c r="S11" s="36" t="n">
        <f aca="false">COUNTIF(E11:N11,2)+COUNTIF(E11:N11,1)+COUNTIF(E11:N11,0)</f>
        <v>0</v>
      </c>
    </row>
    <row r="12" customFormat="false" ht="15" hidden="false" customHeight="true" outlineLevel="0" collapsed="false">
      <c r="A12" s="85" t="n">
        <v>5</v>
      </c>
      <c r="B12" s="37" t="s">
        <v>751</v>
      </c>
      <c r="C12" s="37" t="s">
        <v>752</v>
      </c>
      <c r="D12" s="37"/>
      <c r="E12" s="86"/>
      <c r="F12" s="87"/>
      <c r="G12" s="87"/>
      <c r="H12" s="88"/>
      <c r="I12" s="86"/>
      <c r="J12" s="87"/>
      <c r="K12" s="87"/>
      <c r="L12" s="87"/>
      <c r="M12" s="87"/>
      <c r="N12" s="89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84" t="str">
        <f aca="false">IF(E12&lt;&gt;"",IF(O12&lt;1.85,"Выговор",IF(AND(O12&gt;1.85,O12&lt;3),"Предупреждение",IF(AND(O12&gt;3,O12&lt;=4.65),"Нормально",IF(AND(O12&gt;4.65,O12&lt;5.1,MIN(E12:N12)&gt;=4),"Благодарность","Нормально")))),"")</f>
        <v/>
      </c>
      <c r="S12" s="36" t="n">
        <f aca="false">COUNTIF(E12:N12,2)+COUNTIF(E12:N12,1)+COUNTIF(E12:N12,0)</f>
        <v>0</v>
      </c>
    </row>
    <row r="13" customFormat="false" ht="15" hidden="false" customHeight="true" outlineLevel="0" collapsed="false">
      <c r="A13" s="37" t="n">
        <v>6</v>
      </c>
      <c r="B13" s="37" t="s">
        <v>753</v>
      </c>
      <c r="C13" s="37" t="s">
        <v>754</v>
      </c>
      <c r="D13" s="37"/>
      <c r="E13" s="86"/>
      <c r="F13" s="87"/>
      <c r="G13" s="87"/>
      <c r="H13" s="88"/>
      <c r="I13" s="86"/>
      <c r="J13" s="87"/>
      <c r="K13" s="87"/>
      <c r="L13" s="87"/>
      <c r="M13" s="87"/>
      <c r="N13" s="89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241" t="str">
        <f aca="false">IF(D13&lt;&gt;"",(30*(set!B$5)-D13)/(30*(set!B$5))*100,"")</f>
        <v/>
      </c>
      <c r="R13" s="84" t="str">
        <f aca="false">IF(E13&lt;&gt;"",IF(O13&lt;1.85,"Выговор",IF(AND(O13&gt;1.85,O13&lt;3),"Предупреждение",IF(AND(O13&gt;3,O13&lt;=4.65),"Нормально",IF(AND(O13&gt;4.65,O13&lt;5.1,MIN(E13:N13)&gt;=4),"Благодарность","Нормально")))),"")</f>
        <v/>
      </c>
      <c r="S13" s="36" t="n">
        <f aca="false">COUNTIF(E13:N13,2)+COUNTIF(E13:N13,1)+COUNTIF(E13:N13,0)</f>
        <v>0</v>
      </c>
    </row>
    <row r="14" customFormat="false" ht="15" hidden="false" customHeight="true" outlineLevel="0" collapsed="false">
      <c r="A14" s="85" t="n">
        <v>7</v>
      </c>
      <c r="B14" s="37" t="s">
        <v>755</v>
      </c>
      <c r="C14" s="37" t="s">
        <v>756</v>
      </c>
      <c r="D14" s="37"/>
      <c r="E14" s="86"/>
      <c r="F14" s="87"/>
      <c r="G14" s="87"/>
      <c r="H14" s="88"/>
      <c r="I14" s="86"/>
      <c r="J14" s="87"/>
      <c r="K14" s="87"/>
      <c r="L14" s="87"/>
      <c r="M14" s="87"/>
      <c r="N14" s="89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241" t="str">
        <f aca="false">IF(D14&lt;&gt;"",(30*(set!B$5)-D14)/(30*(set!B$5))*100,"")</f>
        <v/>
      </c>
      <c r="R14" s="84" t="str">
        <f aca="false">IF(E14&lt;&gt;"",IF(O14&lt;1.85,"Выговор",IF(AND(O14&gt;1.85,O14&lt;3),"Предупреждение",IF(AND(O14&gt;3,O14&lt;=4.65),"Нормально",IF(AND(O14&gt;4.65,O14&lt;5.1,MIN(E14:N14)&gt;=4),"Благодарность","Нормально")))),"")</f>
        <v/>
      </c>
      <c r="S14" s="36" t="n">
        <f aca="false">COUNTIF(E14:N14,2)+COUNTIF(E14:N14,1)+COUNTIF(E14:N14,0)</f>
        <v>0</v>
      </c>
    </row>
    <row r="15" customFormat="false" ht="15" hidden="false" customHeight="true" outlineLevel="0" collapsed="false">
      <c r="A15" s="85" t="n">
        <v>8</v>
      </c>
      <c r="B15" s="37" t="s">
        <v>757</v>
      </c>
      <c r="C15" s="37" t="s">
        <v>758</v>
      </c>
      <c r="D15" s="37"/>
      <c r="E15" s="86"/>
      <c r="F15" s="87"/>
      <c r="G15" s="87"/>
      <c r="H15" s="88"/>
      <c r="I15" s="86"/>
      <c r="J15" s="87"/>
      <c r="K15" s="87"/>
      <c r="L15" s="87"/>
      <c r="M15" s="87"/>
      <c r="N15" s="89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241" t="str">
        <f aca="false">IF(D15&lt;&gt;"",(30*(set!B$5)-D15)/(30*(set!B$5))*100,"")</f>
        <v/>
      </c>
      <c r="R15" s="84" t="str">
        <f aca="false">IF(E15&lt;&gt;"",IF(O15&lt;1.85,"Выговор",IF(AND(O15&gt;1.85,O15&lt;3),"Предупреждение",IF(AND(O15&gt;3,O15&lt;=4.65),"Нормально",IF(AND(O15&gt;4.65,O15&lt;5.1,MIN(E15:N15)&gt;=4),"Благодарность","Нормально")))),"")</f>
        <v/>
      </c>
      <c r="S15" s="36" t="n">
        <f aca="false">COUNTIF(E15:N15,2)+COUNTIF(E15:N15,1)+COUNTIF(E15:N15,0)</f>
        <v>0</v>
      </c>
    </row>
    <row r="16" customFormat="false" ht="15" hidden="false" customHeight="true" outlineLevel="0" collapsed="false">
      <c r="A16" s="37" t="n">
        <v>9</v>
      </c>
      <c r="B16" s="37" t="s">
        <v>759</v>
      </c>
      <c r="C16" s="37" t="s">
        <v>760</v>
      </c>
      <c r="D16" s="37"/>
      <c r="E16" s="86"/>
      <c r="F16" s="87"/>
      <c r="G16" s="87"/>
      <c r="H16" s="88"/>
      <c r="I16" s="86"/>
      <c r="J16" s="87"/>
      <c r="K16" s="87"/>
      <c r="L16" s="87"/>
      <c r="M16" s="87"/>
      <c r="N16" s="89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241" t="str">
        <f aca="false">IF(D16&lt;&gt;"",(30*(set!B$5)-D16)/(30*(set!B$5))*100,"")</f>
        <v/>
      </c>
      <c r="R16" s="84" t="str">
        <f aca="false">IF(E16&lt;&gt;"",IF(O16&lt;1.85,"Выговор",IF(AND(O16&gt;1.85,O16&lt;3),"Предупреждение",IF(AND(O16&gt;3,O16&lt;=4.65),"Нормально",IF(AND(O16&gt;4.65,O16&lt;5.1,MIN(E16:N16)&gt;=4),"Благодарность","Нормально")))),"")</f>
        <v/>
      </c>
      <c r="S16" s="36" t="n">
        <f aca="false">COUNTIF(E16:N16,2)+COUNTIF(E16:N16,1)+COUNTIF(E16:N16,0)</f>
        <v>0</v>
      </c>
    </row>
    <row r="17" customFormat="false" ht="15" hidden="false" customHeight="true" outlineLevel="0" collapsed="false">
      <c r="A17" s="37" t="n">
        <v>10</v>
      </c>
      <c r="B17" s="37" t="s">
        <v>761</v>
      </c>
      <c r="C17" s="37" t="s">
        <v>762</v>
      </c>
      <c r="D17" s="37"/>
      <c r="E17" s="86"/>
      <c r="F17" s="87"/>
      <c r="G17" s="87"/>
      <c r="H17" s="88"/>
      <c r="I17" s="86"/>
      <c r="J17" s="87"/>
      <c r="K17" s="87"/>
      <c r="L17" s="87"/>
      <c r="M17" s="87"/>
      <c r="N17" s="89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241" t="str">
        <f aca="false">IF(D17&lt;&gt;"",(30*(set!B$5)-D17)/(30*(set!B$5))*100,"")</f>
        <v/>
      </c>
      <c r="R17" s="84" t="str">
        <f aca="false">IF(E17&lt;&gt;"",IF(O17&lt;1.85,"Выговор",IF(AND(O17&gt;1.85,O17&lt;3),"Предупреждение",IF(AND(O17&gt;3,O17&lt;=4.65),"Нормально",IF(AND(O17&gt;4.65,O17&lt;5.1,MIN(E17:N17)&gt;=4),"Благодарность","Нормально")))),"")</f>
        <v/>
      </c>
      <c r="S17" s="36" t="n">
        <f aca="false">COUNTIF(E17:N17,2)+COUNTIF(E17:N17,1)+COUNTIF(E17:N17,0)</f>
        <v>0</v>
      </c>
    </row>
    <row r="18" customFormat="false" ht="15" hidden="false" customHeight="true" outlineLevel="0" collapsed="false">
      <c r="A18" s="37" t="n">
        <v>11</v>
      </c>
      <c r="B18" s="37" t="s">
        <v>763</v>
      </c>
      <c r="C18" s="37" t="s">
        <v>764</v>
      </c>
      <c r="D18" s="37"/>
      <c r="E18" s="86"/>
      <c r="F18" s="87"/>
      <c r="G18" s="87"/>
      <c r="H18" s="88"/>
      <c r="I18" s="86"/>
      <c r="J18" s="87"/>
      <c r="K18" s="87"/>
      <c r="L18" s="87"/>
      <c r="M18" s="87"/>
      <c r="N18" s="89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241" t="str">
        <f aca="false">IF(D18&lt;&gt;"",(30*(set!B$5)-D18)/(30*(set!B$5))*100,"")</f>
        <v/>
      </c>
      <c r="R18" s="84" t="str">
        <f aca="false">IF(E18&lt;&gt;"",IF(O18&lt;1.85,"Выговор",IF(AND(O18&gt;1.85,O18&lt;3),"Предупреждение",IF(AND(O18&gt;3,O18&lt;=4.65),"Нормально",IF(AND(O18&gt;4.65,O18&lt;5.1,MIN(E18:N18)&gt;=4),"Благодарность","Нормально")))),"")</f>
        <v/>
      </c>
      <c r="S18" s="36" t="n">
        <f aca="false">COUNTIF(E18:N18,2)+COUNTIF(E18:N18,1)+COUNTIF(E18:N18,0)</f>
        <v>0</v>
      </c>
    </row>
    <row r="19" customFormat="false" ht="15" hidden="false" customHeight="true" outlineLevel="0" collapsed="false">
      <c r="A19" s="37" t="n">
        <v>12</v>
      </c>
      <c r="B19" s="37" t="s">
        <v>765</v>
      </c>
      <c r="C19" s="37" t="s">
        <v>766</v>
      </c>
      <c r="D19" s="37"/>
      <c r="E19" s="86"/>
      <c r="F19" s="87"/>
      <c r="G19" s="87"/>
      <c r="H19" s="88"/>
      <c r="I19" s="86"/>
      <c r="J19" s="87"/>
      <c r="K19" s="87"/>
      <c r="L19" s="87"/>
      <c r="M19" s="87"/>
      <c r="N19" s="89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241" t="str">
        <f aca="false">IF(D19&lt;&gt;"",(30*(set!B$5)-D19)/(30*(set!B$5))*100,"")</f>
        <v/>
      </c>
      <c r="R19" s="84" t="str">
        <f aca="false">IF(E19&lt;&gt;"",IF(O19&lt;1.85,"Выговор",IF(AND(O19&gt;1.85,O19&lt;3),"Предупреждение",IF(AND(O19&gt;3,O19&lt;=4.65),"Нормально",IF(AND(O19&gt;4.65,O19&lt;5.1,MIN(E19:N19)&gt;=4),"Благодарность","Нормально")))),"")</f>
        <v/>
      </c>
      <c r="S19" s="36" t="n">
        <f aca="false">COUNTIF(E19:N19,2)+COUNTIF(E19:N19,1)+COUNTIF(E19:N19,0)</f>
        <v>0</v>
      </c>
    </row>
    <row r="20" customFormat="false" ht="15" hidden="false" customHeight="true" outlineLevel="0" collapsed="false">
      <c r="A20" s="85" t="n">
        <v>13</v>
      </c>
      <c r="B20" s="37" t="s">
        <v>767</v>
      </c>
      <c r="C20" s="37" t="s">
        <v>768</v>
      </c>
      <c r="D20" s="37"/>
      <c r="E20" s="86"/>
      <c r="F20" s="87"/>
      <c r="G20" s="87"/>
      <c r="H20" s="88"/>
      <c r="I20" s="86"/>
      <c r="J20" s="87"/>
      <c r="K20" s="87"/>
      <c r="L20" s="87"/>
      <c r="M20" s="87"/>
      <c r="N20" s="89"/>
      <c r="O20" s="33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241" t="str">
        <f aca="false">IF(D20&lt;&gt;"",(30*(set!B$5)-D20)/(30*(set!B$5))*100,"")</f>
        <v/>
      </c>
      <c r="R20" s="84" t="str">
        <f aca="false">IF(E20&lt;&gt;"",IF(O20&lt;1.85,"Выговор",IF(AND(O20&gt;1.85,O20&lt;3),"Предупреждение",IF(AND(O20&gt;3,O20&lt;=4.65),"Нормально",IF(AND(O20&gt;4.65,O20&lt;5.1,MIN(E20:N20)&gt;=4),"Благодарность","Нормально")))),"")</f>
        <v/>
      </c>
      <c r="S20" s="36" t="n">
        <f aca="false">COUNTIF(E20:N20,2)+COUNTIF(E20:N20,1)+COUNTIF(E20:N20,0)</f>
        <v>0</v>
      </c>
    </row>
    <row r="21" customFormat="false" ht="15" hidden="false" customHeight="true" outlineLevel="0" collapsed="false">
      <c r="A21" s="37" t="n">
        <v>14</v>
      </c>
      <c r="B21" s="37" t="s">
        <v>769</v>
      </c>
      <c r="C21" s="37" t="s">
        <v>770</v>
      </c>
      <c r="D21" s="37"/>
      <c r="E21" s="86"/>
      <c r="F21" s="87"/>
      <c r="G21" s="87"/>
      <c r="H21" s="88"/>
      <c r="I21" s="86"/>
      <c r="J21" s="87"/>
      <c r="K21" s="87"/>
      <c r="L21" s="87"/>
      <c r="M21" s="87"/>
      <c r="N21" s="89"/>
      <c r="O21" s="33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241" t="str">
        <f aca="false">IF(D21&lt;&gt;"",(30*(set!B$5)-D21)/(30*(set!B$5))*100,"")</f>
        <v/>
      </c>
      <c r="R21" s="84" t="str">
        <f aca="false">IF(E21&lt;&gt;"",IF(O21&lt;1.85,"Выговор",IF(AND(O21&gt;1.85,O21&lt;3),"Предупреждение",IF(AND(O21&gt;3,O21&lt;=4.65),"Нормально",IF(AND(O21&gt;4.65,O21&lt;5.1,MIN(E21:N21)&gt;=4),"Благодарность","Нормально")))),"")</f>
        <v/>
      </c>
      <c r="S21" s="36" t="n">
        <f aca="false">COUNTIF(E21:N21,2)+COUNTIF(E21:N21,1)+COUNTIF(E21:N21,0)</f>
        <v>0</v>
      </c>
    </row>
    <row r="22" customFormat="false" ht="15" hidden="false" customHeight="true" outlineLevel="0" collapsed="false">
      <c r="A22" s="85" t="n">
        <v>15</v>
      </c>
      <c r="B22" s="37" t="s">
        <v>771</v>
      </c>
      <c r="C22" s="37" t="s">
        <v>772</v>
      </c>
      <c r="D22" s="37"/>
      <c r="E22" s="86"/>
      <c r="F22" s="87"/>
      <c r="G22" s="87"/>
      <c r="H22" s="88"/>
      <c r="I22" s="86"/>
      <c r="J22" s="87"/>
      <c r="K22" s="87"/>
      <c r="L22" s="87"/>
      <c r="M22" s="87"/>
      <c r="N22" s="89"/>
      <c r="O22" s="33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241" t="str">
        <f aca="false">IF(D22&lt;&gt;"",(30*(set!B$5)-D22)/(30*(set!B$5))*100,"")</f>
        <v/>
      </c>
      <c r="R22" s="84" t="str">
        <f aca="false">IF(E22&lt;&gt;"",IF(O22&lt;1.85,"Выговор",IF(AND(O22&gt;1.85,O22&lt;3),"Предупреждение",IF(AND(O22&gt;3,O22&lt;=4.65),"Нормально",IF(AND(O22&gt;4.65,O22&lt;5.1,MIN(E22:N22)&gt;=4),"Благодарность","Нормально")))),"")</f>
        <v/>
      </c>
      <c r="S22" s="36" t="n">
        <f aca="false">COUNTIF(E22:N22,2)+COUNTIF(E22:N22,1)+COUNTIF(E22:N22,0)</f>
        <v>0</v>
      </c>
    </row>
    <row r="23" customFormat="false" ht="15" hidden="false" customHeight="true" outlineLevel="0" collapsed="false">
      <c r="A23" s="37" t="n">
        <v>16</v>
      </c>
      <c r="B23" s="37" t="s">
        <v>773</v>
      </c>
      <c r="C23" s="37" t="s">
        <v>774</v>
      </c>
      <c r="D23" s="37"/>
      <c r="E23" s="86"/>
      <c r="F23" s="87"/>
      <c r="G23" s="87"/>
      <c r="H23" s="88"/>
      <c r="I23" s="86"/>
      <c r="J23" s="87"/>
      <c r="K23" s="87"/>
      <c r="L23" s="87"/>
      <c r="M23" s="87"/>
      <c r="N23" s="89"/>
      <c r="O23" s="33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241" t="str">
        <f aca="false">IF(D23&lt;&gt;"",(30*(set!B$5)-D23)/(30*(set!B$5))*100,"")</f>
        <v/>
      </c>
      <c r="R23" s="84" t="str">
        <f aca="false">IF(E23&lt;&gt;"",IF(O23&lt;1.85,"Выговор",IF(AND(O23&gt;1.85,O23&lt;3),"Предупреждение",IF(AND(O23&gt;3,O23&lt;=4.65),"Нормально",IF(AND(O23&gt;4.65,O23&lt;5.1,MIN(E23:N23)&gt;=4),"Благодарность","Нормально")))),"")</f>
        <v/>
      </c>
      <c r="S23" s="36" t="n">
        <f aca="false">COUNTIF(E23:N23,2)+COUNTIF(E23:N23,1)+COUNTIF(E23:N23,0)</f>
        <v>0</v>
      </c>
    </row>
    <row r="24" customFormat="false" ht="15" hidden="false" customHeight="true" outlineLevel="0" collapsed="false">
      <c r="A24" s="85" t="n">
        <v>17</v>
      </c>
      <c r="B24" s="37" t="s">
        <v>775</v>
      </c>
      <c r="C24" s="37" t="s">
        <v>776</v>
      </c>
      <c r="D24" s="37"/>
      <c r="E24" s="86"/>
      <c r="F24" s="87"/>
      <c r="G24" s="87"/>
      <c r="H24" s="88"/>
      <c r="I24" s="86"/>
      <c r="J24" s="87"/>
      <c r="K24" s="87"/>
      <c r="L24" s="87"/>
      <c r="M24" s="87"/>
      <c r="N24" s="89"/>
      <c r="O24" s="33" t="str">
        <f aca="false">IFERROR(AVERAGE(E24:N24),"")</f>
        <v/>
      </c>
      <c r="P24" s="84" t="str">
        <f aca="false">IF(E24&lt;&gt;"",IF(COUNTIF(E24:N24,"&lt;3"),"Не успевает","Успевает"),"")</f>
        <v/>
      </c>
      <c r="Q24" s="241" t="str">
        <f aca="false">IF(D24&lt;&gt;"",(30*(set!B$5)-D24)/(30*(set!B$5))*100,"")</f>
        <v/>
      </c>
      <c r="R24" s="84" t="str">
        <f aca="false">IF(E24&lt;&gt;"",IF(O24&lt;1.85,"Выговор",IF(AND(O24&gt;1.85,O24&lt;3),"Предупреждение",IF(AND(O24&gt;3,O24&lt;=4.65),"Нормально",IF(AND(O24&gt;4.65,O24&lt;5.1,MIN(E24:N24)&gt;=4),"Благодарность","Нормально")))),"")</f>
        <v/>
      </c>
      <c r="S24" s="36" t="n">
        <f aca="false">COUNTIF(E24:N24,2)+COUNTIF(E24:N24,1)+COUNTIF(E24:N24,0)</f>
        <v>0</v>
      </c>
    </row>
    <row r="25" customFormat="false" ht="15" hidden="false" customHeight="true" outlineLevel="0" collapsed="false">
      <c r="A25" s="85" t="n">
        <v>18</v>
      </c>
      <c r="B25" s="37" t="s">
        <v>777</v>
      </c>
      <c r="C25" s="37" t="s">
        <v>778</v>
      </c>
      <c r="D25" s="37"/>
      <c r="E25" s="86"/>
      <c r="F25" s="87"/>
      <c r="G25" s="87"/>
      <c r="H25" s="88"/>
      <c r="I25" s="86"/>
      <c r="J25" s="87"/>
      <c r="K25" s="87"/>
      <c r="L25" s="87"/>
      <c r="M25" s="87"/>
      <c r="N25" s="89"/>
      <c r="O25" s="33" t="str">
        <f aca="false">IFERROR(AVERAGE(E25:N25),"")</f>
        <v/>
      </c>
      <c r="P25" s="84" t="str">
        <f aca="false">IF(E25&lt;&gt;"",IF(COUNTIF(E25:N25,"&lt;3"),"Не успевает","Успевает"),"")</f>
        <v/>
      </c>
      <c r="Q25" s="241" t="str">
        <f aca="false">IF(D25&lt;&gt;"",(30*(set!B$5)-D25)/(30*(set!B$5))*100,"")</f>
        <v/>
      </c>
      <c r="R25" s="84" t="str">
        <f aca="false">IF(E25&lt;&gt;"",IF(O25&lt;1.85,"Выговор",IF(AND(O25&gt;1.85,O25&lt;3),"Предупреждение",IF(AND(O25&gt;3,O25&lt;=4.65),"Нормально",IF(AND(O25&gt;4.65,O25&lt;5.1,MIN(E25:N25)&gt;=4),"Благодарность","Нормально")))),"")</f>
        <v/>
      </c>
      <c r="S25" s="36" t="n">
        <f aca="false">COUNTIF(E25:N25,2)+COUNTIF(E25:N25,1)+COUNTIF(E25:N25,0)</f>
        <v>0</v>
      </c>
    </row>
    <row r="26" customFormat="false" ht="15" hidden="false" customHeight="true" outlineLevel="0" collapsed="false">
      <c r="A26" s="37" t="n">
        <v>19</v>
      </c>
      <c r="B26" s="37" t="s">
        <v>779</v>
      </c>
      <c r="C26" s="37" t="s">
        <v>780</v>
      </c>
      <c r="D26" s="37"/>
      <c r="E26" s="86"/>
      <c r="F26" s="87"/>
      <c r="G26" s="87"/>
      <c r="H26" s="88"/>
      <c r="I26" s="86"/>
      <c r="J26" s="87"/>
      <c r="K26" s="87"/>
      <c r="L26" s="87"/>
      <c r="M26" s="87"/>
      <c r="N26" s="89"/>
      <c r="O26" s="33" t="str">
        <f aca="false">IFERROR(AVERAGE(E26:N26),"")</f>
        <v/>
      </c>
      <c r="P26" s="84" t="str">
        <f aca="false">IF(E26&lt;&gt;"",IF(COUNTIF(E26:N26,"&lt;3"),"Не успевает","Успевает"),"")</f>
        <v/>
      </c>
      <c r="Q26" s="241" t="str">
        <f aca="false">IF(D26&lt;&gt;"",(30*(set!B$5)-D26)/(30*(set!B$5))*100,"")</f>
        <v/>
      </c>
      <c r="R26" s="84" t="str">
        <f aca="false">IF(E26&lt;&gt;"",IF(O26&lt;1.85,"Выговор",IF(AND(O26&gt;1.85,O26&lt;3),"Предупреждение",IF(AND(O26&gt;3,O26&lt;=4.65),"Нормально",IF(AND(O26&gt;4.65,O26&lt;5.1,MIN(E26:N26)&gt;=4),"Благодарность","Нормально")))),"")</f>
        <v/>
      </c>
      <c r="S26" s="36" t="n">
        <f aca="false">COUNTIF(E26:N26,2)+COUNTIF(E26:N26,1)+COUNTIF(E26:N26,0)</f>
        <v>0</v>
      </c>
    </row>
    <row r="27" s="45" customFormat="true" ht="15" hidden="false" customHeight="true" outlineLevel="0" collapsed="false">
      <c r="A27" s="85" t="n">
        <v>20</v>
      </c>
      <c r="B27" s="37" t="s">
        <v>781</v>
      </c>
      <c r="C27" s="37" t="s">
        <v>782</v>
      </c>
      <c r="D27" s="37"/>
      <c r="E27" s="86"/>
      <c r="F27" s="87"/>
      <c r="G27" s="87"/>
      <c r="H27" s="88"/>
      <c r="I27" s="86"/>
      <c r="J27" s="87"/>
      <c r="K27" s="87"/>
      <c r="L27" s="87"/>
      <c r="M27" s="87"/>
      <c r="N27" s="89"/>
      <c r="O27" s="33" t="str">
        <f aca="false">IFERROR(AVERAGE(E27:N27),"")</f>
        <v/>
      </c>
      <c r="P27" s="84" t="str">
        <f aca="false">IF(E27&lt;&gt;"",IF(COUNTIF(E27:N27,"&lt;3"),"Не успевает","Успевает"),"")</f>
        <v/>
      </c>
      <c r="Q27" s="241" t="str">
        <f aca="false">IF(D27&lt;&gt;"",(30*(set!B$5)-D27)/(30*(set!B$5))*100,"")</f>
        <v/>
      </c>
      <c r="R27" s="84" t="str">
        <f aca="false">IF(E27&lt;&gt;"",IF(O27&lt;1.85,"Выговор",IF(AND(O27&gt;1.85,O27&lt;3),"Предупреждение",IF(AND(O27&gt;3,O27&lt;=4.65),"Нормально",IF(AND(O27&gt;4.65,O27&lt;5.1,MIN(E27:N27)&gt;=4),"Благодарность","Нормально")))),"")</f>
        <v/>
      </c>
      <c r="S27" s="36" t="n">
        <f aca="false">COUNTIF(E27:N27,2)+COUNTIF(E27:N27,1)+COUNTIF(E27:N27,0)</f>
        <v>0</v>
      </c>
    </row>
    <row r="28" customFormat="false" ht="15" hidden="false" customHeight="true" outlineLevel="0" collapsed="false">
      <c r="A28" s="85" t="n">
        <v>21</v>
      </c>
      <c r="B28" s="37" t="s">
        <v>783</v>
      </c>
      <c r="C28" s="37" t="s">
        <v>784</v>
      </c>
      <c r="D28" s="37"/>
      <c r="E28" s="86"/>
      <c r="F28" s="87"/>
      <c r="G28" s="87"/>
      <c r="H28" s="88"/>
      <c r="I28" s="86"/>
      <c r="J28" s="87"/>
      <c r="K28" s="87"/>
      <c r="L28" s="87"/>
      <c r="M28" s="87"/>
      <c r="N28" s="89"/>
      <c r="O28" s="33" t="str">
        <f aca="false">IFERROR(AVERAGE(E28:N28),"")</f>
        <v/>
      </c>
      <c r="P28" s="84" t="str">
        <f aca="false">IF(E28&lt;&gt;"",IF(COUNTIF(E28:N28,"&lt;3"),"Не успевает","Успевает"),"")</f>
        <v/>
      </c>
      <c r="Q28" s="241" t="str">
        <f aca="false">IF(D28&lt;&gt;"",(30*(set!B$5)-D28)/(30*(set!B$5))*100,"")</f>
        <v/>
      </c>
      <c r="R28" s="84" t="str">
        <f aca="false">IF(E28&lt;&gt;"",IF(O28&lt;1.85,"Выговор",IF(AND(O28&gt;1.85,O28&lt;3),"Предупреждение",IF(AND(O28&gt;3,O28&lt;=4.65),"Нормально",IF(AND(O28&gt;4.65,O28&lt;5.1,MIN(E28:N28)&gt;=4),"Благодарность","Нормально")))),"")</f>
        <v/>
      </c>
      <c r="S28" s="36" t="n">
        <f aca="false">COUNTIF(E28:N28,2)+COUNTIF(E28:N28,1)+COUNTIF(E28:N28,0)</f>
        <v>0</v>
      </c>
    </row>
    <row r="29" customFormat="false" ht="15" hidden="false" customHeight="true" outlineLevel="0" collapsed="false">
      <c r="A29" s="85" t="n">
        <v>22</v>
      </c>
      <c r="B29" s="37" t="s">
        <v>785</v>
      </c>
      <c r="C29" s="37" t="s">
        <v>786</v>
      </c>
      <c r="D29" s="37"/>
      <c r="E29" s="86"/>
      <c r="F29" s="87"/>
      <c r="G29" s="87"/>
      <c r="H29" s="88"/>
      <c r="I29" s="86"/>
      <c r="J29" s="87"/>
      <c r="K29" s="87"/>
      <c r="L29" s="87"/>
      <c r="M29" s="87"/>
      <c r="N29" s="89"/>
      <c r="O29" s="33" t="str">
        <f aca="false">IFERROR(AVERAGE(E29:N29),"")</f>
        <v/>
      </c>
      <c r="P29" s="84" t="str">
        <f aca="false">IF(E29&lt;&gt;"",IF(COUNTIF(E29:N29,"&lt;3"),"Не успевает","Успевает"),"")</f>
        <v/>
      </c>
      <c r="Q29" s="241" t="str">
        <f aca="false">IF(D29&lt;&gt;"",(30*(set!B$5)-D29)/(30*(set!B$5))*100,"")</f>
        <v/>
      </c>
      <c r="R29" s="84" t="str">
        <f aca="false">IF(E29&lt;&gt;"",IF(O29&lt;1.85,"Выговор",IF(AND(O29&gt;1.85,O29&lt;3),"Предупреждение",IF(AND(O29&gt;3,O29&lt;=4.65),"Нормально",IF(AND(O29&gt;4.65,O29&lt;5.1,MIN(E29:N29)&gt;=4),"Благодарность","Нормально")))),"")</f>
        <v/>
      </c>
      <c r="S29" s="36" t="n">
        <f aca="false">COUNTIF(E29:N29,2)+COUNTIF(E29:N29,1)+COUNTIF(E29:N29,0)</f>
        <v>0</v>
      </c>
    </row>
    <row r="30" customFormat="false" ht="15" hidden="false" customHeight="true" outlineLevel="0" collapsed="false">
      <c r="A30" s="37" t="n">
        <v>23</v>
      </c>
      <c r="B30" s="37" t="s">
        <v>787</v>
      </c>
      <c r="C30" s="37" t="s">
        <v>788</v>
      </c>
      <c r="D30" s="37"/>
      <c r="E30" s="86"/>
      <c r="F30" s="87"/>
      <c r="G30" s="87"/>
      <c r="H30" s="88"/>
      <c r="I30" s="86"/>
      <c r="J30" s="87"/>
      <c r="K30" s="87"/>
      <c r="L30" s="87"/>
      <c r="M30" s="87"/>
      <c r="N30" s="89"/>
      <c r="O30" s="33" t="str">
        <f aca="false">IFERROR(AVERAGE(E30:N30),"")</f>
        <v/>
      </c>
      <c r="P30" s="84" t="str">
        <f aca="false">IF(E30&lt;&gt;"",IF(COUNTIF(E30:N30,"&lt;3"),"Не успевает","Успевает"),"")</f>
        <v/>
      </c>
      <c r="Q30" s="241" t="str">
        <f aca="false">IF(D30&lt;&gt;"",(30*(set!B$5)-D30)/(30*(set!B$5))*100,"")</f>
        <v/>
      </c>
      <c r="R30" s="84" t="str">
        <f aca="false">IF(E30&lt;&gt;"",IF(O30&lt;1.85,"Выговор",IF(AND(O30&gt;1.85,O30&lt;3),"Предупреждение",IF(AND(O30&gt;3,O30&lt;=4.65),"Нормально",IF(AND(O30&gt;4.65,O30&lt;5.1,MIN(E30:N30)&gt;=4),"Благодарность","Нормально")))),"")</f>
        <v/>
      </c>
      <c r="S30" s="36" t="n">
        <f aca="false">COUNTIF(E30:N30,2)+COUNTIF(E30:N30,1)+COUNTIF(E30:N30,0)</f>
        <v>0</v>
      </c>
    </row>
    <row r="31" customFormat="false" ht="15" hidden="false" customHeight="true" outlineLevel="0" collapsed="false">
      <c r="A31" s="85" t="n">
        <v>24</v>
      </c>
      <c r="B31" s="37" t="s">
        <v>789</v>
      </c>
      <c r="C31" s="37" t="s">
        <v>790</v>
      </c>
      <c r="D31" s="37"/>
      <c r="E31" s="86"/>
      <c r="F31" s="87"/>
      <c r="G31" s="87"/>
      <c r="H31" s="88"/>
      <c r="I31" s="86"/>
      <c r="J31" s="87"/>
      <c r="K31" s="87"/>
      <c r="L31" s="87"/>
      <c r="M31" s="87"/>
      <c r="N31" s="89"/>
      <c r="O31" s="33" t="str">
        <f aca="false">IFERROR(AVERAGE(E31:N31),"")</f>
        <v/>
      </c>
      <c r="P31" s="84" t="str">
        <f aca="false">IF(E31&lt;&gt;"",IF(COUNTIF(E31:N31,"&lt;3"),"Не успевает","Успевает"),"")</f>
        <v/>
      </c>
      <c r="Q31" s="241" t="str">
        <f aca="false">IF(D31&lt;&gt;"",(30*(set!B$5)-D31)/(30*(set!B$5))*100,"")</f>
        <v/>
      </c>
      <c r="R31" s="84" t="str">
        <f aca="false">IF(E31&lt;&gt;"",IF(O31&lt;1.85,"Выговор",IF(AND(O31&gt;1.85,O31&lt;3),"Предупреждение",IF(AND(O31&gt;3,O31&lt;=4.65),"Нормально",IF(AND(O31&gt;4.65,O31&lt;5.1,MIN(E31:N31)&gt;=4),"Благодарность","Нормально")))),"")</f>
        <v/>
      </c>
      <c r="S31" s="36" t="n">
        <f aca="false">COUNTIF(E31:N31,2)+COUNTIF(E31:N31,1)+COUNTIF(E31:N31,0)</f>
        <v>0</v>
      </c>
    </row>
    <row r="32" customFormat="false" ht="15" hidden="false" customHeight="true" outlineLevel="0" collapsed="false">
      <c r="A32" s="0" t="s">
        <v>77</v>
      </c>
      <c r="D32" s="209"/>
      <c r="E32" s="210" t="e">
        <f aca="false">AVERAGE(E8:E31)</f>
        <v>#DIV/0!</v>
      </c>
      <c r="F32" s="210" t="e">
        <f aca="false">AVERAGE(F8:F31)</f>
        <v>#DIV/0!</v>
      </c>
      <c r="G32" s="210" t="e">
        <f aca="false">AVERAGE(G8:G31)</f>
        <v>#DIV/0!</v>
      </c>
      <c r="H32" s="210" t="e">
        <f aca="false">AVERAGE(H8:H31)</f>
        <v>#DIV/0!</v>
      </c>
      <c r="I32" s="210" t="e">
        <f aca="false">AVERAGE(I8:I31)</f>
        <v>#DIV/0!</v>
      </c>
      <c r="J32" s="210" t="e">
        <f aca="false">AVERAGE(J8:J31)</f>
        <v>#DIV/0!</v>
      </c>
      <c r="K32" s="210" t="e">
        <f aca="false">AVERAGE(K8:K31)</f>
        <v>#DIV/0!</v>
      </c>
      <c r="L32" s="210" t="e">
        <f aca="false">AVERAGE(L8:L31)</f>
        <v>#DIV/0!</v>
      </c>
      <c r="M32" s="210" t="e">
        <f aca="false">AVERAGE(M8:M31)</f>
        <v>#DIV/0!</v>
      </c>
      <c r="N32" s="210" t="e">
        <f aca="false">AVERAGE(N8:N31)</f>
        <v>#DIV/0!</v>
      </c>
      <c r="O32" s="47"/>
      <c r="P32" s="48"/>
      <c r="Q32" s="48"/>
      <c r="R32" s="48"/>
    </row>
    <row r="33" customFormat="false" ht="15" hidden="false" customHeight="true" outlineLevel="0" collapsed="false">
      <c r="A33" s="0" t="s">
        <v>78</v>
      </c>
      <c r="D33" s="209"/>
      <c r="E33" s="137" t="e">
        <f aca="false">(COUNTIF(E8:E31,5)+COUNTIF(E8:E31,4)+COUNTIF(E8:E31,3))/$Q$38*100</f>
        <v>#DIV/0!</v>
      </c>
      <c r="F33" s="137" t="e">
        <f aca="false">(COUNTIF(F8:F31,5)+COUNTIF(F8:F31,4)+COUNTIF(F8:F31,3))/$Q$38*100</f>
        <v>#DIV/0!</v>
      </c>
      <c r="G33" s="137" t="e">
        <f aca="false">(COUNTIF(G8:G31,5)+COUNTIF(G8:G31,4)+COUNTIF(G8:G31,3))/$Q$38*100</f>
        <v>#DIV/0!</v>
      </c>
      <c r="H33" s="137" t="e">
        <f aca="false">(COUNTIF(H8:H31,5)+COUNTIF(H8:H31,4)+COUNTIF(H8:H31,3))/$Q$38*100</f>
        <v>#DIV/0!</v>
      </c>
      <c r="I33" s="137" t="e">
        <f aca="false">(COUNTIF(I8:I31,5)+COUNTIF(I8:I31,4)+COUNTIF(I8:I31,3))/$Q$38*100</f>
        <v>#DIV/0!</v>
      </c>
      <c r="J33" s="137" t="e">
        <f aca="false">(COUNTIF(J8:J31,5)+COUNTIF(J8:J31,4)+COUNTIF(J8:J31,3))/$Q$38*100</f>
        <v>#DIV/0!</v>
      </c>
      <c r="K33" s="137" t="e">
        <f aca="false">(COUNTIF(K8:K31,5)+COUNTIF(K8:K31,4)+COUNTIF(K8:K31,3))/$Q$38*100</f>
        <v>#DIV/0!</v>
      </c>
      <c r="L33" s="137" t="e">
        <f aca="false">(COUNTIF(L8:L31,5)+COUNTIF(L8:L31,4)+COUNTIF(L8:L31,3))/$Q$38*100</f>
        <v>#DIV/0!</v>
      </c>
      <c r="M33" s="137" t="e">
        <f aca="false">(COUNTIF(M8:M31,5)+COUNTIF(M8:M31,4)+COUNTIF(M8:M31,3))/$Q$38*100</f>
        <v>#DIV/0!</v>
      </c>
      <c r="N33" s="137" t="e">
        <f aca="false">(COUNTIF(N8:N31,5)+COUNTIF(N8:N31,4)+COUNTIF(N8:N31,3))/$Q$38*100</f>
        <v>#DIV/0!</v>
      </c>
      <c r="O33" s="47"/>
      <c r="P33" s="48"/>
      <c r="Q33" s="48"/>
      <c r="R33" s="48"/>
    </row>
    <row r="34" customFormat="false" ht="15" hidden="false" customHeight="true" outlineLevel="0" collapsed="false">
      <c r="D34" s="209"/>
      <c r="E34" s="210"/>
      <c r="F34" s="210"/>
      <c r="G34" s="210"/>
      <c r="H34" s="210"/>
      <c r="I34" s="210"/>
      <c r="J34" s="210"/>
      <c r="K34" s="210"/>
      <c r="L34" s="210"/>
      <c r="M34" s="210"/>
      <c r="N34" s="210"/>
      <c r="O34" s="47"/>
      <c r="P34" s="48"/>
      <c r="Q34" s="48"/>
      <c r="R34" s="48"/>
    </row>
    <row r="35" customFormat="false" ht="15" hidden="false" customHeight="true" outlineLevel="0" collapsed="false"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</row>
    <row r="36" customFormat="false" ht="15" hidden="false" customHeight="true" outlineLevel="0" collapsed="false">
      <c r="B36" s="50"/>
      <c r="C36" s="50" t="s">
        <v>8</v>
      </c>
      <c r="D36" s="51" t="str">
        <f aca="false">IFERROR(AVERAGE(O8:O31),"")</f>
        <v/>
      </c>
      <c r="E36" s="52" t="s">
        <v>9</v>
      </c>
      <c r="F36" s="52"/>
      <c r="G36" s="53" t="str">
        <f aca="false">IFERROR(COUNTIF(P8:P31,"Успевает")/Q38*100,"")</f>
        <v/>
      </c>
      <c r="H36" s="54" t="s">
        <v>79</v>
      </c>
      <c r="I36" s="54"/>
      <c r="J36" s="55" t="str">
        <f aca="false">IFERROR(AVERAGE(Q8:Q31),"")</f>
        <v/>
      </c>
      <c r="K36" s="52"/>
      <c r="L36" s="52"/>
      <c r="M36" s="52"/>
      <c r="N36" s="52"/>
      <c r="O36" s="52"/>
      <c r="P36" s="52"/>
      <c r="Q36" s="158"/>
      <c r="R36" s="48"/>
      <c r="S36" s="48"/>
    </row>
    <row r="37" customFormat="false" ht="15" hidden="false" customHeight="true" outlineLevel="0" collapsed="false">
      <c r="B37" s="50"/>
      <c r="C37" s="50"/>
      <c r="D37" s="50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</row>
    <row r="38" customFormat="false" ht="15" hidden="false" customHeight="true" outlineLevel="0" collapsed="false">
      <c r="A38" s="50"/>
      <c r="B38" s="61" t="s">
        <v>81</v>
      </c>
      <c r="C38" s="61"/>
      <c r="D38" s="61"/>
      <c r="E38" s="61"/>
      <c r="F38" s="61"/>
      <c r="G38" s="61"/>
      <c r="H38" s="61"/>
      <c r="I38" s="61"/>
      <c r="J38" s="61"/>
      <c r="K38" s="347" t="s">
        <v>82</v>
      </c>
      <c r="L38" s="347"/>
      <c r="M38" s="347"/>
      <c r="N38" s="347"/>
      <c r="O38" s="57" t="s">
        <v>80</v>
      </c>
      <c r="P38" s="57"/>
      <c r="Q38" s="58" t="n">
        <f aca="false">SUM(Q39:Q40)</f>
        <v>0</v>
      </c>
    </row>
    <row r="39" customFormat="false" ht="15" hidden="false" customHeight="true" outlineLevel="0" collapsed="false">
      <c r="A39" s="50"/>
      <c r="B39" s="65" t="str">
        <f aca="false">$E$6</f>
        <v> Основы электроники</v>
      </c>
      <c r="C39" s="65"/>
      <c r="D39" s="65"/>
      <c r="E39" s="65"/>
      <c r="F39" s="65"/>
      <c r="G39" s="65"/>
      <c r="H39" s="65"/>
      <c r="I39" s="65"/>
      <c r="J39" s="65"/>
      <c r="K39" s="348"/>
      <c r="L39" s="348"/>
      <c r="M39" s="348"/>
      <c r="N39" s="348"/>
      <c r="O39" s="57" t="s">
        <v>83</v>
      </c>
      <c r="P39" s="57"/>
      <c r="Q39" s="58" t="n">
        <f aca="false">COUNTIF(P8:P31,"Успевает")</f>
        <v>0</v>
      </c>
    </row>
    <row r="40" customFormat="false" ht="15" hidden="false" customHeight="true" outlineLevel="0" collapsed="false">
      <c r="A40" s="50"/>
      <c r="B40" s="65" t="str">
        <f aca="false">$F$6</f>
        <v> Системное программирование</v>
      </c>
      <c r="C40" s="65"/>
      <c r="D40" s="65"/>
      <c r="E40" s="65"/>
      <c r="F40" s="65"/>
      <c r="G40" s="65"/>
      <c r="H40" s="65"/>
      <c r="I40" s="65"/>
      <c r="J40" s="65"/>
      <c r="K40" s="348"/>
      <c r="L40" s="348"/>
      <c r="M40" s="348"/>
      <c r="N40" s="348"/>
      <c r="O40" s="98" t="s">
        <v>84</v>
      </c>
      <c r="P40" s="98"/>
      <c r="Q40" s="58" t="n">
        <f aca="false">COUNTIF(P8:P31,"Не успевает")</f>
        <v>0</v>
      </c>
    </row>
    <row r="41" customFormat="false" ht="15" hidden="false" customHeight="true" outlineLevel="0" collapsed="false">
      <c r="A41" s="50"/>
      <c r="B41" s="65" t="str">
        <f aca="false">$G$6</f>
        <v> Физика</v>
      </c>
      <c r="C41" s="65"/>
      <c r="D41" s="65"/>
      <c r="E41" s="65"/>
      <c r="F41" s="65"/>
      <c r="G41" s="65"/>
      <c r="H41" s="65"/>
      <c r="I41" s="65"/>
      <c r="J41" s="65"/>
      <c r="K41" s="348"/>
      <c r="L41" s="348"/>
      <c r="M41" s="348"/>
      <c r="N41" s="348"/>
      <c r="O41" s="98" t="s">
        <v>85</v>
      </c>
      <c r="P41" s="98"/>
      <c r="Q41" s="58" t="n">
        <f aca="false">COUNTIF(R8:R31,"Благодарность")</f>
        <v>0</v>
      </c>
    </row>
    <row r="42" customFormat="false" ht="15" hidden="false" customHeight="true" outlineLevel="0" collapsed="false">
      <c r="A42" s="50"/>
      <c r="B42" s="65" t="str">
        <f aca="false">$H$6</f>
        <v> Языки программирования с управляемым кодом</v>
      </c>
      <c r="C42" s="65"/>
      <c r="D42" s="65"/>
      <c r="E42" s="65"/>
      <c r="F42" s="65"/>
      <c r="G42" s="65"/>
      <c r="H42" s="65"/>
      <c r="I42" s="65"/>
      <c r="J42" s="65"/>
      <c r="K42" s="348"/>
      <c r="L42" s="348"/>
      <c r="M42" s="348"/>
      <c r="N42" s="348"/>
      <c r="O42" s="184" t="s">
        <v>86</v>
      </c>
      <c r="P42" s="184"/>
      <c r="Q42" s="58" t="n">
        <f aca="false">COUNTIF(R8:R31,"Нормально")</f>
        <v>0</v>
      </c>
    </row>
    <row r="43" customFormat="false" ht="15" hidden="false" customHeight="true" outlineLevel="0" collapsed="false">
      <c r="A43" s="50"/>
      <c r="B43" s="65" t="str">
        <f aca="false">$I$6</f>
        <v>Дискретная математика</v>
      </c>
      <c r="C43" s="65"/>
      <c r="D43" s="65"/>
      <c r="E43" s="65"/>
      <c r="F43" s="65"/>
      <c r="G43" s="65"/>
      <c r="H43" s="65"/>
      <c r="I43" s="65"/>
      <c r="J43" s="65"/>
      <c r="K43" s="348"/>
      <c r="L43" s="348"/>
      <c r="M43" s="348"/>
      <c r="N43" s="348"/>
      <c r="O43" s="184" t="s">
        <v>87</v>
      </c>
      <c r="P43" s="184"/>
      <c r="Q43" s="58" t="n">
        <f aca="false">COUNTIF(R8:R31,"Предупреждение")</f>
        <v>0</v>
      </c>
    </row>
    <row r="44" customFormat="false" ht="15" hidden="false" customHeight="true" outlineLevel="0" collapsed="false">
      <c r="A44" s="50"/>
      <c r="B44" s="65" t="str">
        <f aca="false">$J$6</f>
        <v>Иностранный язык</v>
      </c>
      <c r="C44" s="65"/>
      <c r="D44" s="65"/>
      <c r="E44" s="65"/>
      <c r="F44" s="65"/>
      <c r="G44" s="65"/>
      <c r="H44" s="65"/>
      <c r="I44" s="65"/>
      <c r="J44" s="65"/>
      <c r="K44" s="348"/>
      <c r="L44" s="348"/>
      <c r="M44" s="348"/>
      <c r="N44" s="348"/>
      <c r="O44" s="184" t="s">
        <v>88</v>
      </c>
      <c r="P44" s="184"/>
      <c r="Q44" s="58" t="n">
        <f aca="false">COUNTIF(R8:R31,"Выговор")</f>
        <v>0</v>
      </c>
    </row>
    <row r="45" customFormat="false" ht="15" hidden="false" customHeight="true" outlineLevel="0" collapsed="false">
      <c r="A45" s="50"/>
      <c r="B45" s="65" t="str">
        <f aca="false">$K$6</f>
        <v> Теория информационных систем</v>
      </c>
      <c r="C45" s="65"/>
      <c r="D45" s="65"/>
      <c r="E45" s="65"/>
      <c r="F45" s="65"/>
      <c r="G45" s="65"/>
      <c r="H45" s="65"/>
      <c r="I45" s="65"/>
      <c r="J45" s="65"/>
      <c r="K45" s="348"/>
      <c r="L45" s="348"/>
      <c r="M45" s="348"/>
      <c r="N45" s="348"/>
      <c r="O45" s="185" t="s">
        <v>12</v>
      </c>
      <c r="P45" s="186"/>
      <c r="Q45" s="186" t="n">
        <f aca="false">SUM(S8:S31)</f>
        <v>0</v>
      </c>
      <c r="R45" s="67"/>
      <c r="S45" s="67"/>
    </row>
    <row r="46" customFormat="false" ht="15" hidden="false" customHeight="true" outlineLevel="0" collapsed="false">
      <c r="A46" s="50"/>
      <c r="B46" s="65" t="str">
        <f aca="false">$L$6</f>
        <v> Философия</v>
      </c>
      <c r="C46" s="65"/>
      <c r="D46" s="65"/>
      <c r="E46" s="65"/>
      <c r="F46" s="65"/>
      <c r="G46" s="65"/>
      <c r="H46" s="65"/>
      <c r="I46" s="65"/>
      <c r="J46" s="65"/>
      <c r="K46" s="348"/>
      <c r="L46" s="348"/>
      <c r="M46" s="348"/>
      <c r="N46" s="348"/>
      <c r="O46" s="349"/>
      <c r="P46" s="67"/>
      <c r="Q46" s="67"/>
      <c r="R46" s="67"/>
      <c r="S46" s="67"/>
    </row>
    <row r="47" customFormat="false" ht="15" hidden="false" customHeight="true" outlineLevel="0" collapsed="false">
      <c r="A47" s="50"/>
      <c r="B47" s="65" t="str">
        <f aca="false">$M$6</f>
        <v> Цифровые измерительные системы</v>
      </c>
      <c r="C47" s="65"/>
      <c r="D47" s="65"/>
      <c r="E47" s="65"/>
      <c r="F47" s="65"/>
      <c r="G47" s="65"/>
      <c r="H47" s="65"/>
      <c r="I47" s="65"/>
      <c r="J47" s="65"/>
      <c r="K47" s="348"/>
      <c r="L47" s="348"/>
      <c r="M47" s="348"/>
      <c r="N47" s="348"/>
      <c r="O47" s="349"/>
      <c r="P47" s="67"/>
      <c r="Q47" s="67"/>
      <c r="R47" s="67"/>
      <c r="S47" s="67"/>
    </row>
    <row r="48" customFormat="false" ht="15" hidden="false" customHeight="true" outlineLevel="0" collapsed="false">
      <c r="A48" s="50"/>
      <c r="B48" s="65" t="str">
        <f aca="false">$N$6</f>
        <v>Физическая культура и спорт </v>
      </c>
      <c r="C48" s="65"/>
      <c r="D48" s="65"/>
      <c r="E48" s="65"/>
      <c r="F48" s="65"/>
      <c r="G48" s="65"/>
      <c r="H48" s="65"/>
      <c r="I48" s="65"/>
      <c r="J48" s="65"/>
      <c r="K48" s="348"/>
      <c r="L48" s="348"/>
      <c r="M48" s="348"/>
      <c r="N48" s="348"/>
      <c r="O48" s="349"/>
      <c r="P48" s="67"/>
      <c r="Q48" s="67"/>
      <c r="R48" s="67"/>
      <c r="S48" s="67"/>
    </row>
    <row r="49" customFormat="false" ht="15" hidden="false" customHeight="true" outlineLevel="0" collapsed="false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48"/>
      <c r="R49" s="48"/>
      <c r="S49" s="48"/>
    </row>
    <row r="50" customFormat="false" ht="15" hidden="false" customHeight="true" outlineLevel="0" collapsed="false">
      <c r="A50" s="50"/>
      <c r="B50" s="73" t="s">
        <v>405</v>
      </c>
      <c r="C50" s="215" t="s">
        <v>791</v>
      </c>
      <c r="D50" s="215"/>
      <c r="E50" s="67"/>
      <c r="F50" s="52" t="s">
        <v>369</v>
      </c>
      <c r="G50" s="350" t="s">
        <v>792</v>
      </c>
      <c r="H50" s="52"/>
      <c r="I50" s="52"/>
      <c r="J50" s="52"/>
      <c r="K50" s="52"/>
      <c r="L50" s="50"/>
      <c r="M50" s="50"/>
      <c r="N50" s="50"/>
      <c r="O50" s="50"/>
      <c r="P50" s="50"/>
      <c r="Q50" s="48"/>
      <c r="R50" s="48"/>
      <c r="S50" s="48"/>
    </row>
    <row r="51" customFormat="false" ht="15" hidden="false" customHeight="tru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48"/>
      <c r="R51" s="48"/>
      <c r="S51" s="48"/>
    </row>
    <row r="52" customFormat="false" ht="15" hidden="false" customHeight="tru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48"/>
      <c r="R52" s="48"/>
    </row>
    <row r="53" customFormat="false" ht="15" hidden="false" customHeight="true" outlineLevel="0" collapsed="false">
      <c r="A53" s="50"/>
      <c r="B53" s="50" t="s">
        <v>93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48"/>
      <c r="R53" s="48"/>
    </row>
    <row r="54" customFormat="false" ht="15" hidden="false" customHeight="true" outlineLevel="0" collapsed="false">
      <c r="A54" s="50"/>
      <c r="B54" s="50" t="s">
        <v>94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48"/>
      <c r="R54" s="48"/>
    </row>
    <row r="55" customFormat="false" ht="15" hidden="false" customHeight="true" outlineLevel="0" collapsed="false">
      <c r="A55" s="50"/>
      <c r="B55" s="50" t="s">
        <v>95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48"/>
      <c r="R55" s="48"/>
    </row>
    <row r="56" customFormat="false" ht="15" hidden="false" customHeight="true" outlineLevel="0" collapsed="false">
      <c r="A56" s="50"/>
      <c r="B56" s="50" t="s">
        <v>96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48"/>
      <c r="R56" s="48"/>
    </row>
    <row r="57" customFormat="false" ht="15" hidden="false" customHeight="true" outlineLevel="0" collapsed="false">
      <c r="A57" s="50"/>
      <c r="B57" s="50" t="s">
        <v>97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48"/>
      <c r="R57" s="48"/>
    </row>
    <row r="58" customFormat="false" ht="15" hidden="false" customHeight="true" outlineLevel="0" collapsed="false">
      <c r="A58" s="50"/>
      <c r="B58" s="50" t="s">
        <v>98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48"/>
      <c r="R58" s="48"/>
    </row>
    <row r="59" customFormat="false" ht="15" hidden="false" customHeight="true" outlineLevel="0" collapsed="false">
      <c r="A59" s="50"/>
      <c r="B59" s="50" t="s">
        <v>99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48"/>
      <c r="R59" s="48"/>
    </row>
    <row r="60" customFormat="false" ht="15.75" hidden="false" customHeight="false" outlineLevel="0" collapsed="false">
      <c r="A60" s="50"/>
      <c r="P60" s="50"/>
      <c r="Q60" s="48"/>
      <c r="R60" s="48"/>
      <c r="S60" s="48"/>
    </row>
  </sheetData>
  <mergeCells count="42">
    <mergeCell ref="E1:H1"/>
    <mergeCell ref="O2:P2"/>
    <mergeCell ref="A3:R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H36:I36"/>
    <mergeCell ref="B38:J38"/>
    <mergeCell ref="K38:N38"/>
    <mergeCell ref="O38:P38"/>
    <mergeCell ref="B39:J39"/>
    <mergeCell ref="K39:N39"/>
    <mergeCell ref="O39:P39"/>
    <mergeCell ref="B40:J40"/>
    <mergeCell ref="K40:N40"/>
    <mergeCell ref="O40:P40"/>
    <mergeCell ref="B41:J41"/>
    <mergeCell ref="K41:N41"/>
    <mergeCell ref="O41:P41"/>
    <mergeCell ref="B42:J42"/>
    <mergeCell ref="K42:N42"/>
    <mergeCell ref="B43:J43"/>
    <mergeCell ref="K43:N43"/>
    <mergeCell ref="B44:J44"/>
    <mergeCell ref="K44:N44"/>
    <mergeCell ref="B45:J45"/>
    <mergeCell ref="K45:N45"/>
    <mergeCell ref="B46:J46"/>
    <mergeCell ref="K46:N46"/>
    <mergeCell ref="B47:J47"/>
    <mergeCell ref="K47:N47"/>
    <mergeCell ref="B48:J48"/>
    <mergeCell ref="K48:N48"/>
    <mergeCell ref="C50:D50"/>
  </mergeCells>
  <conditionalFormatting sqref="E32:O3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8:N31 E8:N8 E12:N26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N1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18:O31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3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:N2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1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A34" activeCellId="0" sqref="A34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43"/>
    <col collapsed="false" customWidth="true" hidden="false" outlineLevel="0" max="2" min="2" style="0" width="9"/>
    <col collapsed="false" customWidth="true" hidden="false" outlineLevel="0" max="3" min="3" style="0" width="28"/>
    <col collapsed="false" customWidth="true" hidden="false" outlineLevel="0" max="5" min="5" style="0" width="10"/>
    <col collapsed="false" customWidth="true" hidden="false" outlineLevel="0" max="17" min="17" style="0" width="7"/>
    <col collapsed="false" customWidth="true" hidden="false" outlineLevel="0" max="18" min="18" style="0" width="12.29"/>
    <col collapsed="false" customWidth="true" hidden="false" outlineLevel="0" max="19" min="19" style="0" width="6.71"/>
    <col collapsed="false" customWidth="true" hidden="false" outlineLevel="0" max="20" min="20" style="0" width="4.42"/>
    <col collapsed="false" customWidth="true" hidden="false" outlineLevel="0" max="21" min="21" style="0" width="4.57"/>
    <col collapsed="false" customWidth="true" hidden="false" outlineLevel="0" max="22" min="22" style="0" width="4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5"/>
      <c r="P2" s="5"/>
      <c r="Q2" s="5"/>
      <c r="R2" s="6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ИУК2-32Б факультета ИУК МГТУ им. Н.Э. Баумана"</f>
        <v>Успеваемость студентов за 1 семестр 24/25 учебного года по группе ИУК2-32Б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351" t="s">
        <v>4</v>
      </c>
      <c r="D5" s="301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1"/>
      <c r="O5" s="12" t="s">
        <v>8</v>
      </c>
      <c r="P5" s="13" t="s">
        <v>9</v>
      </c>
      <c r="Q5" s="13" t="s">
        <v>10</v>
      </c>
      <c r="R5" s="14" t="s">
        <v>11</v>
      </c>
      <c r="S5" s="14" t="s">
        <v>12</v>
      </c>
    </row>
    <row r="6" customFormat="false" ht="1.45" hidden="false" customHeight="false" outlineLevel="0" collapsed="false">
      <c r="A6" s="8"/>
      <c r="B6" s="8"/>
      <c r="C6" s="351"/>
      <c r="D6" s="301"/>
      <c r="E6" s="339" t="s">
        <v>734</v>
      </c>
      <c r="F6" s="340" t="s">
        <v>735</v>
      </c>
      <c r="G6" s="340" t="s">
        <v>736</v>
      </c>
      <c r="H6" s="342" t="s">
        <v>737</v>
      </c>
      <c r="I6" s="340" t="s">
        <v>738</v>
      </c>
      <c r="J6" s="340" t="s">
        <v>18</v>
      </c>
      <c r="K6" s="340" t="s">
        <v>739</v>
      </c>
      <c r="L6" s="340" t="s">
        <v>170</v>
      </c>
      <c r="M6" s="340" t="s">
        <v>740</v>
      </c>
      <c r="N6" s="342" t="s">
        <v>297</v>
      </c>
      <c r="O6" s="12"/>
      <c r="P6" s="13"/>
      <c r="Q6" s="13"/>
      <c r="R6" s="14"/>
      <c r="S6" s="14"/>
    </row>
    <row r="7" customFormat="false" ht="17.9" hidden="false" customHeight="false" outlineLevel="0" collapsed="false">
      <c r="A7" s="8"/>
      <c r="B7" s="8"/>
      <c r="C7" s="351"/>
      <c r="D7" s="301"/>
      <c r="E7" s="343" t="s">
        <v>509</v>
      </c>
      <c r="F7" s="344" t="s">
        <v>741</v>
      </c>
      <c r="G7" s="344" t="s">
        <v>22</v>
      </c>
      <c r="H7" s="346" t="s">
        <v>549</v>
      </c>
      <c r="I7" s="344" t="s">
        <v>742</v>
      </c>
      <c r="J7" s="344" t="s">
        <v>27</v>
      </c>
      <c r="K7" s="344" t="s">
        <v>549</v>
      </c>
      <c r="L7" s="344" t="s">
        <v>175</v>
      </c>
      <c r="M7" s="344" t="s">
        <v>548</v>
      </c>
      <c r="N7" s="346" t="s">
        <v>176</v>
      </c>
      <c r="O7" s="12"/>
      <c r="P7" s="13"/>
      <c r="Q7" s="13"/>
      <c r="R7" s="14"/>
      <c r="S7" s="14"/>
    </row>
    <row r="8" customFormat="false" ht="15" hidden="false" customHeight="false" outlineLevel="0" collapsed="false">
      <c r="A8" s="25" t="n">
        <v>1</v>
      </c>
      <c r="B8" s="25" t="s">
        <v>793</v>
      </c>
      <c r="C8" s="25" t="s">
        <v>794</v>
      </c>
      <c r="D8" s="125"/>
      <c r="E8" s="81"/>
      <c r="F8" s="82"/>
      <c r="G8" s="82"/>
      <c r="H8" s="125"/>
      <c r="I8" s="352"/>
      <c r="J8" s="353"/>
      <c r="K8" s="353"/>
      <c r="L8" s="353"/>
      <c r="M8" s="353"/>
      <c r="N8" s="354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241" t="str">
        <f aca="false">IF(D8&lt;&gt;"",(30*(set!B$5)-D8)/(30*(set!B$5))*100,"")</f>
        <v/>
      </c>
      <c r="R8" s="117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118" t="n">
        <f aca="false">COUNTIF(E8:N8,2)+COUNTIF(E8:N8,1)+COUNTIF(E8:N8,0)</f>
        <v>0</v>
      </c>
    </row>
    <row r="9" customFormat="false" ht="15" hidden="false" customHeight="true" outlineLevel="0" collapsed="false">
      <c r="A9" s="37" t="n">
        <v>2</v>
      </c>
      <c r="B9" s="37" t="s">
        <v>795</v>
      </c>
      <c r="C9" s="37" t="s">
        <v>796</v>
      </c>
      <c r="D9" s="125"/>
      <c r="E9" s="81"/>
      <c r="F9" s="82"/>
      <c r="G9" s="82"/>
      <c r="H9" s="125"/>
      <c r="I9" s="86"/>
      <c r="J9" s="87"/>
      <c r="K9" s="87"/>
      <c r="L9" s="87"/>
      <c r="M9" s="87"/>
      <c r="N9" s="89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241" t="str">
        <f aca="false">IF(D9&lt;&gt;"",(30*(set!B$5)-D9)/(30*(set!B$5))*100,"")</f>
        <v/>
      </c>
      <c r="R9" s="11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37" t="n">
        <v>3</v>
      </c>
      <c r="B10" s="37" t="s">
        <v>797</v>
      </c>
      <c r="C10" s="37" t="s">
        <v>798</v>
      </c>
      <c r="D10" s="125"/>
      <c r="E10" s="86"/>
      <c r="F10" s="87"/>
      <c r="G10" s="87"/>
      <c r="H10" s="88"/>
      <c r="I10" s="86"/>
      <c r="J10" s="87"/>
      <c r="K10" s="87"/>
      <c r="L10" s="87"/>
      <c r="M10" s="87"/>
      <c r="N10" s="89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11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customFormat="false" ht="15" hidden="false" customHeight="true" outlineLevel="0" collapsed="false">
      <c r="A11" s="37" t="n">
        <v>4</v>
      </c>
      <c r="B11" s="37" t="s">
        <v>799</v>
      </c>
      <c r="C11" s="37" t="s">
        <v>800</v>
      </c>
      <c r="D11" s="125"/>
      <c r="E11" s="86"/>
      <c r="F11" s="87"/>
      <c r="G11" s="87"/>
      <c r="H11" s="88"/>
      <c r="I11" s="86"/>
      <c r="J11" s="87"/>
      <c r="K11" s="87"/>
      <c r="L11" s="87"/>
      <c r="M11" s="87"/>
      <c r="N11" s="89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11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s="45" customFormat="true" ht="15" hidden="false" customHeight="true" outlineLevel="0" collapsed="false">
      <c r="A12" s="37" t="n">
        <v>5</v>
      </c>
      <c r="B12" s="37" t="s">
        <v>801</v>
      </c>
      <c r="C12" s="37" t="s">
        <v>802</v>
      </c>
      <c r="D12" s="125"/>
      <c r="E12" s="86"/>
      <c r="F12" s="87"/>
      <c r="G12" s="87"/>
      <c r="H12" s="88"/>
      <c r="I12" s="86"/>
      <c r="J12" s="87"/>
      <c r="K12" s="87"/>
      <c r="L12" s="87"/>
      <c r="M12" s="87"/>
      <c r="N12" s="89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11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</row>
    <row r="13" s="45" customFormat="true" ht="15" hidden="false" customHeight="true" outlineLevel="0" collapsed="false">
      <c r="A13" s="37" t="n">
        <v>6</v>
      </c>
      <c r="B13" s="37" t="s">
        <v>803</v>
      </c>
      <c r="C13" s="37" t="s">
        <v>804</v>
      </c>
      <c r="D13" s="125"/>
      <c r="E13" s="86"/>
      <c r="F13" s="87"/>
      <c r="G13" s="87"/>
      <c r="H13" s="88"/>
      <c r="I13" s="86"/>
      <c r="J13" s="87"/>
      <c r="K13" s="87"/>
      <c r="L13" s="87"/>
      <c r="M13" s="87"/>
      <c r="N13" s="89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241" t="str">
        <f aca="false">IF(D13&lt;&gt;"",(30*(set!B$5)-D13)/(30*(set!B$5))*100,"")</f>
        <v/>
      </c>
      <c r="R13" s="11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customFormat="false" ht="15" hidden="false" customHeight="true" outlineLevel="0" collapsed="false">
      <c r="A14" s="37" t="n">
        <v>7</v>
      </c>
      <c r="B14" s="37" t="s">
        <v>805</v>
      </c>
      <c r="C14" s="37" t="s">
        <v>806</v>
      </c>
      <c r="D14" s="125"/>
      <c r="E14" s="86"/>
      <c r="F14" s="87"/>
      <c r="G14" s="87"/>
      <c r="H14" s="88"/>
      <c r="I14" s="86"/>
      <c r="J14" s="87"/>
      <c r="K14" s="87"/>
      <c r="L14" s="87"/>
      <c r="M14" s="87"/>
      <c r="N14" s="89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241" t="str">
        <f aca="false">IF(D14&lt;&gt;"",(30*(set!B$5)-D14)/(30*(set!B$5))*100,"")</f>
        <v/>
      </c>
      <c r="R14" s="117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</row>
    <row r="15" customFormat="false" ht="15" hidden="false" customHeight="true" outlineLevel="0" collapsed="false">
      <c r="A15" s="37" t="n">
        <v>8</v>
      </c>
      <c r="B15" s="37" t="s">
        <v>807</v>
      </c>
      <c r="C15" s="37" t="s">
        <v>808</v>
      </c>
      <c r="D15" s="125"/>
      <c r="E15" s="86"/>
      <c r="F15" s="87"/>
      <c r="G15" s="87"/>
      <c r="H15" s="88"/>
      <c r="I15" s="86"/>
      <c r="J15" s="87"/>
      <c r="K15" s="87"/>
      <c r="L15" s="87"/>
      <c r="M15" s="87"/>
      <c r="N15" s="89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241" t="str">
        <f aca="false">IF(D15&lt;&gt;"",(30*(set!B$5)-D15)/(30*(set!B$5))*100,"")</f>
        <v/>
      </c>
      <c r="R15" s="117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</row>
    <row r="16" customFormat="false" ht="15" hidden="false" customHeight="true" outlineLevel="0" collapsed="false">
      <c r="A16" s="37" t="n">
        <v>9</v>
      </c>
      <c r="B16" s="37" t="s">
        <v>809</v>
      </c>
      <c r="C16" s="37" t="s">
        <v>810</v>
      </c>
      <c r="D16" s="125"/>
      <c r="E16" s="86"/>
      <c r="F16" s="87"/>
      <c r="G16" s="87"/>
      <c r="H16" s="88"/>
      <c r="I16" s="86"/>
      <c r="J16" s="87"/>
      <c r="K16" s="87"/>
      <c r="L16" s="87"/>
      <c r="M16" s="87"/>
      <c r="N16" s="89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241" t="str">
        <f aca="false">IF(D16&lt;&gt;"",(30*(set!B$5)-D16)/(30*(set!B$5))*100,"")</f>
        <v/>
      </c>
      <c r="R16" s="117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</row>
    <row r="17" customFormat="false" ht="15" hidden="false" customHeight="true" outlineLevel="0" collapsed="false">
      <c r="A17" s="37" t="n">
        <v>10</v>
      </c>
      <c r="B17" s="37" t="s">
        <v>811</v>
      </c>
      <c r="C17" s="37" t="s">
        <v>812</v>
      </c>
      <c r="D17" s="125"/>
      <c r="E17" s="86"/>
      <c r="F17" s="87"/>
      <c r="G17" s="87"/>
      <c r="H17" s="88"/>
      <c r="I17" s="86"/>
      <c r="J17" s="87"/>
      <c r="K17" s="87"/>
      <c r="L17" s="87"/>
      <c r="M17" s="87"/>
      <c r="N17" s="89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241" t="str">
        <f aca="false">IF(D17&lt;&gt;"",(30*(set!B$5)-D17)/(30*(set!B$5))*100,"")</f>
        <v/>
      </c>
      <c r="R17" s="117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</row>
    <row r="18" customFormat="false" ht="15" hidden="false" customHeight="true" outlineLevel="0" collapsed="false">
      <c r="A18" s="37" t="n">
        <v>11</v>
      </c>
      <c r="B18" s="37" t="s">
        <v>813</v>
      </c>
      <c r="C18" s="37" t="s">
        <v>814</v>
      </c>
      <c r="D18" s="125"/>
      <c r="E18" s="86"/>
      <c r="F18" s="87"/>
      <c r="G18" s="87"/>
      <c r="H18" s="88"/>
      <c r="I18" s="86"/>
      <c r="J18" s="87"/>
      <c r="K18" s="87"/>
      <c r="L18" s="87"/>
      <c r="M18" s="87"/>
      <c r="N18" s="89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241" t="str">
        <f aca="false">IF(D18&lt;&gt;"",(30*(set!B$5)-D18)/(30*(set!B$5))*100,"")</f>
        <v/>
      </c>
      <c r="R18" s="117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</row>
    <row r="19" customFormat="false" ht="15" hidden="false" customHeight="true" outlineLevel="0" collapsed="false">
      <c r="A19" s="37" t="n">
        <v>12</v>
      </c>
      <c r="B19" s="37" t="s">
        <v>815</v>
      </c>
      <c r="C19" s="37" t="s">
        <v>816</v>
      </c>
      <c r="D19" s="125"/>
      <c r="E19" s="86"/>
      <c r="F19" s="87"/>
      <c r="G19" s="87"/>
      <c r="H19" s="88"/>
      <c r="I19" s="86"/>
      <c r="J19" s="87"/>
      <c r="K19" s="87"/>
      <c r="L19" s="87"/>
      <c r="M19" s="87"/>
      <c r="N19" s="89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241" t="str">
        <f aca="false">IF(D19&lt;&gt;"",(30*(set!B$5)-D19)/(30*(set!B$5))*100,"")</f>
        <v/>
      </c>
      <c r="R19" s="117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</row>
    <row r="20" customFormat="false" ht="15" hidden="false" customHeight="true" outlineLevel="0" collapsed="false">
      <c r="A20" s="37" t="n">
        <v>13</v>
      </c>
      <c r="B20" s="37" t="s">
        <v>817</v>
      </c>
      <c r="C20" s="37" t="s">
        <v>818</v>
      </c>
      <c r="D20" s="125"/>
      <c r="E20" s="86"/>
      <c r="F20" s="87"/>
      <c r="G20" s="87"/>
      <c r="H20" s="88"/>
      <c r="I20" s="86"/>
      <c r="J20" s="87"/>
      <c r="K20" s="87"/>
      <c r="L20" s="87"/>
      <c r="M20" s="87"/>
      <c r="N20" s="89"/>
      <c r="O20" s="33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241" t="str">
        <f aca="false">IF(D20&lt;&gt;"",(30*(set!B$5)-D20)/(30*(set!B$5))*100,"")</f>
        <v/>
      </c>
      <c r="R20" s="117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118" t="n">
        <f aca="false">COUNTIF(E20:N20,2)+COUNTIF(E20:N20,1)+COUNTIF(E20:N20,0)</f>
        <v>0</v>
      </c>
    </row>
    <row r="21" customFormat="false" ht="15" hidden="false" customHeight="true" outlineLevel="0" collapsed="false">
      <c r="A21" s="37" t="n">
        <v>14</v>
      </c>
      <c r="B21" s="37" t="s">
        <v>819</v>
      </c>
      <c r="C21" s="37" t="s">
        <v>820</v>
      </c>
      <c r="D21" s="125"/>
      <c r="E21" s="86"/>
      <c r="F21" s="87"/>
      <c r="G21" s="87"/>
      <c r="H21" s="88"/>
      <c r="I21" s="86"/>
      <c r="J21" s="87"/>
      <c r="K21" s="87"/>
      <c r="L21" s="87"/>
      <c r="M21" s="87"/>
      <c r="N21" s="89"/>
      <c r="O21" s="33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241" t="str">
        <f aca="false">IF(D21&lt;&gt;"",(30*(set!B$5)-D21)/(30*(set!B$5))*100,"")</f>
        <v/>
      </c>
      <c r="R21" s="117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118" t="n">
        <f aca="false">COUNTIF(E21:N21,2)+COUNTIF(E21:N21,1)+COUNTIF(E21:N21,0)</f>
        <v>0</v>
      </c>
    </row>
    <row r="22" customFormat="false" ht="15" hidden="false" customHeight="true" outlineLevel="0" collapsed="false">
      <c r="A22" s="37" t="n">
        <v>15</v>
      </c>
      <c r="B22" s="37" t="s">
        <v>821</v>
      </c>
      <c r="C22" s="37" t="s">
        <v>822</v>
      </c>
      <c r="D22" s="125"/>
      <c r="E22" s="86"/>
      <c r="F22" s="87"/>
      <c r="G22" s="87"/>
      <c r="H22" s="88"/>
      <c r="I22" s="86"/>
      <c r="J22" s="87"/>
      <c r="K22" s="87"/>
      <c r="L22" s="87"/>
      <c r="M22" s="87"/>
      <c r="N22" s="89"/>
      <c r="O22" s="33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241" t="str">
        <f aca="false">IF(D22&lt;&gt;"",(30*(set!B$5)-D22)/(30*(set!B$5))*100,"")</f>
        <v/>
      </c>
      <c r="R22" s="117" t="str">
        <f aca="false" t="array" ref="R22:R22">IF(E22&lt;&gt;"",IF(O22&lt;1.85,"Выговор",IF(O22=1.85,"Выговор",IF(AND(O22&gt;1.85,O22&lt;3),"Предупреждение",IF(AND(O22&gt;3,O22&lt;4.65),"Нормально",IF(AND(O22&gt;4.65,O22&lt;5.1,E22:N22&gt;=4),"Благодарность","Нормально"))))),"")</f>
        <v/>
      </c>
      <c r="S22" s="118" t="n">
        <f aca="false">COUNTIF(E22:N22,2)+COUNTIF(E22:N22,1)+COUNTIF(E22:N22,0)</f>
        <v>0</v>
      </c>
    </row>
    <row r="23" customFormat="false" ht="15" hidden="false" customHeight="true" outlineLevel="0" collapsed="false">
      <c r="A23" s="37" t="n">
        <v>16</v>
      </c>
      <c r="B23" s="37" t="s">
        <v>823</v>
      </c>
      <c r="C23" s="37" t="s">
        <v>824</v>
      </c>
      <c r="D23" s="125"/>
      <c r="E23" s="86"/>
      <c r="F23" s="87"/>
      <c r="G23" s="87"/>
      <c r="H23" s="88"/>
      <c r="I23" s="86"/>
      <c r="J23" s="87"/>
      <c r="K23" s="87"/>
      <c r="L23" s="87"/>
      <c r="M23" s="87"/>
      <c r="N23" s="89"/>
      <c r="O23" s="33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241" t="str">
        <f aca="false">IF(D23&lt;&gt;"",(30*(set!B$5)-D23)/(30*(set!B$5))*100,"")</f>
        <v/>
      </c>
      <c r="R23" s="117" t="str">
        <f aca="false" t="array" ref="R23:R23">IF(E23&lt;&gt;"",IF(O23&lt;1.85,"Выговор",IF(O23=1.85,"Выговор",IF(AND(O23&gt;1.85,O23&lt;3),"Предупреждение",IF(AND(O23&gt;3,O23&lt;4.65),"Нормально",IF(AND(O23&gt;4.65,O23&lt;5.1,E23:N23&gt;=4),"Благодарность","Нормально"))))),"")</f>
        <v/>
      </c>
      <c r="S23" s="118" t="n">
        <f aca="false">COUNTIF(E23:N23,2)+COUNTIF(E23:N23,1)+COUNTIF(E23:N23,0)</f>
        <v>0</v>
      </c>
    </row>
    <row r="24" customFormat="false" ht="15" hidden="false" customHeight="true" outlineLevel="0" collapsed="false">
      <c r="A24" s="37" t="n">
        <v>17</v>
      </c>
      <c r="B24" s="37" t="s">
        <v>825</v>
      </c>
      <c r="C24" s="37" t="s">
        <v>826</v>
      </c>
      <c r="D24" s="125"/>
      <c r="E24" s="86"/>
      <c r="F24" s="87"/>
      <c r="G24" s="87"/>
      <c r="H24" s="88"/>
      <c r="I24" s="86"/>
      <c r="J24" s="87"/>
      <c r="K24" s="87"/>
      <c r="L24" s="87"/>
      <c r="M24" s="87"/>
      <c r="N24" s="89"/>
      <c r="O24" s="33" t="str">
        <f aca="false">IFERROR(AVERAGE(E24:N24),"")</f>
        <v/>
      </c>
      <c r="P24" s="84" t="str">
        <f aca="false">IF(E24&lt;&gt;"",IF(COUNTIF(E24:N24,"&lt;3"),"Не успевает","Успевает"),"")</f>
        <v/>
      </c>
      <c r="Q24" s="241" t="str">
        <f aca="false">IF(D24&lt;&gt;"",(30*(set!B$5)-D24)/(30*(set!B$5))*100,"")</f>
        <v/>
      </c>
      <c r="R24" s="117" t="str">
        <f aca="false" t="array" ref="R24:R24">IF(E24&lt;&gt;"",IF(O24&lt;1.85,"Выговор",IF(O24=1.85,"Выговор",IF(AND(O24&gt;1.85,O24&lt;3),"Предупреждение",IF(AND(O24&gt;3,O24&lt;4.65),"Нормально",IF(AND(O24&gt;4.65,O24&lt;5.1,E24:N24&gt;=4),"Благодарность","Нормально"))))),"")</f>
        <v/>
      </c>
      <c r="S24" s="118" t="n">
        <f aca="false">COUNTIF(E24:N24,2)+COUNTIF(E24:N24,1)+COUNTIF(E24:N24,0)</f>
        <v>0</v>
      </c>
    </row>
    <row r="25" customFormat="false" ht="15" hidden="false" customHeight="true" outlineLevel="0" collapsed="false">
      <c r="A25" s="37" t="n">
        <v>18</v>
      </c>
      <c r="B25" s="37" t="s">
        <v>827</v>
      </c>
      <c r="C25" s="37" t="s">
        <v>828</v>
      </c>
      <c r="D25" s="125"/>
      <c r="E25" s="86"/>
      <c r="F25" s="87"/>
      <c r="G25" s="87"/>
      <c r="H25" s="88"/>
      <c r="I25" s="86"/>
      <c r="J25" s="87"/>
      <c r="K25" s="87"/>
      <c r="L25" s="87"/>
      <c r="M25" s="87"/>
      <c r="N25" s="89"/>
      <c r="O25" s="33" t="str">
        <f aca="false">IFERROR(AVERAGE(E25:N25),"")</f>
        <v/>
      </c>
      <c r="P25" s="84" t="str">
        <f aca="false">IF(E25&lt;&gt;"",IF(COUNTIF(E25:N25,"&lt;3"),"Не успевает","Успевает"),"")</f>
        <v/>
      </c>
      <c r="Q25" s="241" t="str">
        <f aca="false">IF(D25&lt;&gt;"",(30*(set!B$5)-D25)/(30*(set!B$5))*100,"")</f>
        <v/>
      </c>
      <c r="R25" s="117" t="str">
        <f aca="false" t="array" ref="R25:R25">IF(E25&lt;&gt;"",IF(O25&lt;1.85,"Выговор",IF(O25=1.85,"Выговор",IF(AND(O25&gt;1.85,O25&lt;3),"Предупреждение",IF(AND(O25&gt;3,O25&lt;4.65),"Нормально",IF(AND(O25&gt;4.65,O25&lt;5.1,E25:N25&gt;=4),"Благодарность","Нормально"))))),"")</f>
        <v/>
      </c>
      <c r="S25" s="118" t="n">
        <f aca="false">COUNTIF(E25:N25,2)+COUNTIF(E25:N25,1)+COUNTIF(E25:N25,0)</f>
        <v>0</v>
      </c>
    </row>
    <row r="26" customFormat="false" ht="15" hidden="false" customHeight="true" outlineLevel="0" collapsed="false">
      <c r="A26" s="37" t="n">
        <v>19</v>
      </c>
      <c r="B26" s="37" t="s">
        <v>829</v>
      </c>
      <c r="C26" s="37" t="s">
        <v>830</v>
      </c>
      <c r="D26" s="125"/>
      <c r="E26" s="86"/>
      <c r="F26" s="87"/>
      <c r="G26" s="87"/>
      <c r="H26" s="88"/>
      <c r="I26" s="86"/>
      <c r="J26" s="87"/>
      <c r="K26" s="87"/>
      <c r="L26" s="87"/>
      <c r="M26" s="87"/>
      <c r="N26" s="89"/>
      <c r="O26" s="33" t="str">
        <f aca="false">IFERROR(AVERAGE(E26:N26),"")</f>
        <v/>
      </c>
      <c r="P26" s="84" t="str">
        <f aca="false">IF(E26&lt;&gt;"",IF(COUNTIF(E26:N26,"&lt;3"),"Не успевает","Успевает"),"")</f>
        <v/>
      </c>
      <c r="Q26" s="241" t="str">
        <f aca="false">IF(D26&lt;&gt;"",(30*(set!B$5)-D26)/(30*(set!B$5))*100,"")</f>
        <v/>
      </c>
      <c r="R26" s="117" t="str">
        <f aca="false" t="array" ref="R26:R26">IF(E26&lt;&gt;"",IF(O26&lt;1.85,"Выговор",IF(O26=1.85,"Выговор",IF(AND(O26&gt;1.85,O26&lt;3),"Предупреждение",IF(AND(O26&gt;3,O26&lt;4.65),"Нормально",IF(AND(O26&gt;4.65,O26&lt;5.1,E26:N26&gt;=4),"Благодарность","Нормально"))))),"")</f>
        <v/>
      </c>
      <c r="S26" s="118" t="n">
        <f aca="false">COUNTIF(E26:N26,2)+COUNTIF(E26:N26,1)+COUNTIF(E26:N26,0)</f>
        <v>0</v>
      </c>
    </row>
    <row r="27" customFormat="false" ht="15" hidden="false" customHeight="true" outlineLevel="0" collapsed="false">
      <c r="A27" s="37" t="n">
        <v>20</v>
      </c>
      <c r="B27" s="37" t="s">
        <v>831</v>
      </c>
      <c r="C27" s="37" t="s">
        <v>832</v>
      </c>
      <c r="D27" s="125"/>
      <c r="E27" s="86"/>
      <c r="F27" s="87"/>
      <c r="G27" s="87"/>
      <c r="H27" s="88"/>
      <c r="I27" s="86"/>
      <c r="J27" s="87"/>
      <c r="K27" s="87"/>
      <c r="L27" s="87"/>
      <c r="M27" s="87"/>
      <c r="N27" s="89"/>
      <c r="O27" s="33" t="str">
        <f aca="false">IFERROR(AVERAGE(E27:N27),"")</f>
        <v/>
      </c>
      <c r="P27" s="84" t="str">
        <f aca="false">IF(E27&lt;&gt;"",IF(COUNTIF(E27:N27,"&lt;3"),"Не успевает","Успевает"),"")</f>
        <v/>
      </c>
      <c r="Q27" s="241" t="str">
        <f aca="false">IF(D27&lt;&gt;"",(30*(set!B$5)-D27)/(30*(set!B$5))*100,"")</f>
        <v/>
      </c>
      <c r="R27" s="117" t="str">
        <f aca="false" t="array" ref="R27:R27">IF(E27&lt;&gt;"",IF(O27&lt;1.85,"Выговор",IF(O27=1.85,"Выговор",IF(AND(O27&gt;1.85,O27&lt;3),"Предупреждение",IF(AND(O27&gt;3,O27&lt;4.65),"Нормально",IF(AND(O27&gt;4.65,O27&lt;5.1,E27:N27&gt;=4),"Благодарность","Нормально"))))),"")</f>
        <v/>
      </c>
      <c r="S27" s="118" t="n">
        <f aca="false">COUNTIF(E27:N27,2)+COUNTIF(E27:N27,1)+COUNTIF(E27:N27,0)</f>
        <v>0</v>
      </c>
    </row>
    <row r="28" s="45" customFormat="true" ht="15" hidden="false" customHeight="true" outlineLevel="0" collapsed="false">
      <c r="A28" s="37" t="n">
        <v>21</v>
      </c>
      <c r="B28" s="37" t="s">
        <v>833</v>
      </c>
      <c r="C28" s="37" t="s">
        <v>834</v>
      </c>
      <c r="D28" s="125"/>
      <c r="E28" s="86"/>
      <c r="F28" s="87"/>
      <c r="G28" s="87"/>
      <c r="H28" s="88"/>
      <c r="I28" s="86"/>
      <c r="J28" s="87"/>
      <c r="K28" s="87"/>
      <c r="L28" s="87"/>
      <c r="M28" s="87"/>
      <c r="N28" s="89"/>
      <c r="O28" s="33" t="str">
        <f aca="false">IFERROR(AVERAGE(E28:N28),"")</f>
        <v/>
      </c>
      <c r="P28" s="84" t="str">
        <f aca="false">IF(E28&lt;&gt;"",IF(COUNTIF(E28:N28,"&lt;3"),"Не успевает","Успевает"),"")</f>
        <v/>
      </c>
      <c r="Q28" s="241" t="str">
        <f aca="false">IF(D28&lt;&gt;"",(30*(set!B$5)-D28)/(30*(set!B$5))*100,"")</f>
        <v/>
      </c>
      <c r="R28" s="117" t="str">
        <f aca="false" t="array" ref="R28:R28">IF(E28&lt;&gt;"",IF(O28&lt;1.85,"Выговор",IF(O28=1.85,"Выговор",IF(AND(O28&gt;1.85,O28&lt;3),"Предупреждение",IF(AND(O28&gt;3,O28&lt;4.65),"Нормально",IF(AND(O28&gt;4.65,O28&lt;5.1,E28:N28&gt;=4),"Благодарность","Нормально"))))),"")</f>
        <v/>
      </c>
      <c r="S28" s="118" t="n">
        <f aca="false">COUNTIF(E28:N28,2)+COUNTIF(E28:N28,1)+COUNTIF(E28:N28,0)</f>
        <v>0</v>
      </c>
    </row>
    <row r="29" customFormat="false" ht="15" hidden="false" customHeight="true" outlineLevel="0" collapsed="false">
      <c r="A29" s="37" t="n">
        <v>22</v>
      </c>
      <c r="B29" s="37" t="s">
        <v>835</v>
      </c>
      <c r="C29" s="37" t="s">
        <v>836</v>
      </c>
      <c r="D29" s="125"/>
      <c r="E29" s="86"/>
      <c r="F29" s="87"/>
      <c r="G29" s="87"/>
      <c r="H29" s="88"/>
      <c r="I29" s="86"/>
      <c r="J29" s="87"/>
      <c r="K29" s="87"/>
      <c r="L29" s="87"/>
      <c r="M29" s="87"/>
      <c r="N29" s="89"/>
      <c r="O29" s="33" t="str">
        <f aca="false">IFERROR(AVERAGE(E29:N29),"")</f>
        <v/>
      </c>
      <c r="P29" s="84" t="str">
        <f aca="false">IF(E29&lt;&gt;"",IF(COUNTIF(E29:N29,"&lt;3"),"Не успевает","Успевает"),"")</f>
        <v/>
      </c>
      <c r="Q29" s="241" t="str">
        <f aca="false">IF(D29&lt;&gt;"",(30*(set!B$5)-D29)/(30*(set!B$5))*100,"")</f>
        <v/>
      </c>
      <c r="R29" s="117" t="str">
        <f aca="false" t="array" ref="R29:R29">IF(E29&lt;&gt;"",IF(O29&lt;1.85,"Выговор",IF(O29=1.85,"Выговор",IF(AND(O29&gt;1.85,O29&lt;3),"Предупреждение",IF(AND(O29&gt;3,O29&lt;4.65),"Нормально",IF(AND(O29&gt;4.65,O29&lt;5.1,E29:N29&gt;=4),"Благодарность","Нормально"))))),"")</f>
        <v/>
      </c>
      <c r="S29" s="118" t="n">
        <f aca="false">COUNTIF(E29:N29,2)+COUNTIF(E29:N29,1)+COUNTIF(E29:N29,0)</f>
        <v>0</v>
      </c>
    </row>
    <row r="30" customFormat="false" ht="15" hidden="false" customHeight="true" outlineLevel="0" collapsed="false">
      <c r="A30" s="37" t="n">
        <v>23</v>
      </c>
      <c r="B30" s="37" t="s">
        <v>837</v>
      </c>
      <c r="C30" s="37" t="s">
        <v>838</v>
      </c>
      <c r="D30" s="125"/>
      <c r="E30" s="86"/>
      <c r="F30" s="87"/>
      <c r="G30" s="87"/>
      <c r="H30" s="88"/>
      <c r="I30" s="86"/>
      <c r="J30" s="87"/>
      <c r="K30" s="87"/>
      <c r="L30" s="87"/>
      <c r="M30" s="87"/>
      <c r="N30" s="89"/>
      <c r="O30" s="33" t="str">
        <f aca="false">IFERROR(AVERAGE(E30:N30),"")</f>
        <v/>
      </c>
      <c r="P30" s="84" t="str">
        <f aca="false">IF(E30&lt;&gt;"",IF(COUNTIF(E30:N30,"&lt;3"),"Не успевает","Успевает"),"")</f>
        <v/>
      </c>
      <c r="Q30" s="241" t="str">
        <f aca="false">IF(D30&lt;&gt;"",(30*(set!B$5)-D30)/(30*(set!B$5))*100,"")</f>
        <v/>
      </c>
      <c r="R30" s="117" t="str">
        <f aca="false" t="array" ref="R30:R30">IF(E30&lt;&gt;"",IF(O30&lt;1.85,"Выговор",IF(O30=1.85,"Выговор",IF(AND(O30&gt;1.85,O30&lt;3),"Предупреждение",IF(AND(O30&gt;3,O30&lt;4.65),"Нормально",IF(AND(O30&gt;4.65,O30&lt;5.1,E30:N30&gt;=4),"Благодарность","Нормально"))))),"")</f>
        <v/>
      </c>
      <c r="S30" s="118" t="n">
        <f aca="false">COUNTIF(E30:N30,2)+COUNTIF(E30:N30,1)+COUNTIF(E30:N30,0)</f>
        <v>0</v>
      </c>
    </row>
    <row r="31" customFormat="false" ht="15" hidden="false" customHeight="true" outlineLevel="0" collapsed="false">
      <c r="A31" s="37" t="n">
        <v>24</v>
      </c>
      <c r="B31" s="37" t="s">
        <v>839</v>
      </c>
      <c r="C31" s="37" t="s">
        <v>840</v>
      </c>
      <c r="D31" s="125"/>
      <c r="E31" s="86"/>
      <c r="F31" s="87"/>
      <c r="G31" s="87"/>
      <c r="H31" s="88"/>
      <c r="I31" s="86"/>
      <c r="J31" s="87"/>
      <c r="K31" s="87"/>
      <c r="L31" s="87"/>
      <c r="M31" s="87"/>
      <c r="N31" s="89"/>
      <c r="O31" s="33" t="str">
        <f aca="false">IFERROR(AVERAGE(E31:N31),"")</f>
        <v/>
      </c>
      <c r="P31" s="84" t="str">
        <f aca="false">IF(E31&lt;&gt;"",IF(COUNTIF(E31:N31,"&lt;3"),"Не успевает","Успевает"),"")</f>
        <v/>
      </c>
      <c r="Q31" s="241" t="str">
        <f aca="false">IF(D31&lt;&gt;"",(30*(set!B$5)-D31)/(30*(set!B$5))*100,"")</f>
        <v/>
      </c>
      <c r="R31" s="117" t="str">
        <f aca="false" t="array" ref="R31:R31">IF(E31&lt;&gt;"",IF(O31&lt;1.85,"Выговор",IF(O31=1.85,"Выговор",IF(AND(O31&gt;1.85,O31&lt;3),"Предупреждение",IF(AND(O31&gt;3,O31&lt;4.65),"Нормально",IF(AND(O31&gt;4.65,O31&lt;5.1,E31:N31&gt;=4),"Благодарность","Нормально"))))),"")</f>
        <v/>
      </c>
      <c r="S31" s="118" t="n">
        <f aca="false">COUNTIF(E31:N31,2)+COUNTIF(E31:N31,1)+COUNTIF(E31:N31,0)</f>
        <v>0</v>
      </c>
    </row>
    <row r="32" customFormat="false" ht="15" hidden="false" customHeight="true" outlineLevel="0" collapsed="false">
      <c r="A32" s="37" t="n">
        <v>25</v>
      </c>
      <c r="B32" s="37" t="s">
        <v>841</v>
      </c>
      <c r="C32" s="37" t="s">
        <v>842</v>
      </c>
      <c r="D32" s="125"/>
      <c r="E32" s="86"/>
      <c r="F32" s="87"/>
      <c r="G32" s="87"/>
      <c r="H32" s="88"/>
      <c r="I32" s="86"/>
      <c r="J32" s="87"/>
      <c r="K32" s="87"/>
      <c r="L32" s="87"/>
      <c r="M32" s="87"/>
      <c r="N32" s="89"/>
      <c r="O32" s="33" t="str">
        <f aca="false">IFERROR(AVERAGE(E32:N32),"")</f>
        <v/>
      </c>
      <c r="P32" s="84" t="str">
        <f aca="false">IF(E32&lt;&gt;"",IF(COUNTIF(E32:N32,"&lt;3"),"Не успевает","Успевает"),"")</f>
        <v/>
      </c>
      <c r="Q32" s="241" t="str">
        <f aca="false">IF(D32&lt;&gt;"",(30*(set!B$5)-D32)/(30*(set!B$5))*100,"")</f>
        <v/>
      </c>
      <c r="R32" s="117" t="str">
        <f aca="false" t="array" ref="R32:R32">IF(E32&lt;&gt;"",IF(O32&lt;1.85,"Выговор",IF(O32=1.85,"Выговор",IF(AND(O32&gt;1.85,O32&lt;3),"Предупреждение",IF(AND(O32&gt;3,O32&lt;4.65),"Нормально",IF(AND(O32&gt;4.65,O32&lt;5.1,E32:N32&gt;=4),"Благодарность","Нормально"))))),"")</f>
        <v/>
      </c>
      <c r="S32" s="118" t="n">
        <f aca="false">COUNTIF(E32:N32,2)+COUNTIF(E32:N32,1)+COUNTIF(E32:N32,0)</f>
        <v>0</v>
      </c>
    </row>
    <row r="33" customFormat="false" ht="15" hidden="false" customHeight="true" outlineLevel="0" collapsed="false">
      <c r="A33" s="37" t="n">
        <v>26</v>
      </c>
      <c r="B33" s="37" t="s">
        <v>843</v>
      </c>
      <c r="C33" s="37" t="s">
        <v>844</v>
      </c>
      <c r="D33" s="125"/>
      <c r="E33" s="86"/>
      <c r="F33" s="87"/>
      <c r="G33" s="87"/>
      <c r="H33" s="88"/>
      <c r="I33" s="86"/>
      <c r="J33" s="87"/>
      <c r="K33" s="87"/>
      <c r="L33" s="87"/>
      <c r="M33" s="87"/>
      <c r="N33" s="89"/>
      <c r="O33" s="33" t="str">
        <f aca="false">IFERROR(AVERAGE(E33:N33),"")</f>
        <v/>
      </c>
      <c r="P33" s="84" t="str">
        <f aca="false">IF(E33&lt;&gt;"",IF(COUNTIF(E33:N33,"&lt;3"),"Не успевает","Успевает"),"")</f>
        <v/>
      </c>
      <c r="Q33" s="241" t="str">
        <f aca="false">IF(D33&lt;&gt;"",(30*(set!B$5)-D33)/(30*(set!B$5))*100,"")</f>
        <v/>
      </c>
      <c r="R33" s="117" t="str">
        <f aca="false" t="array" ref="R33:R33">IF(E33&lt;&gt;"",IF(O33&lt;1.85,"Выговор",IF(O33=1.85,"Выговор",IF(AND(O33&gt;1.85,O33&lt;3),"Предупреждение",IF(AND(O33&gt;3,O33&lt;4.65),"Нормально",IF(AND(O33&gt;4.65,O33&lt;5.1,E33:N33&gt;=4),"Благодарность","Нормально"))))),"")</f>
        <v/>
      </c>
      <c r="S33" s="118" t="n">
        <f aca="false">COUNTIF(E33:N33,2)+COUNTIF(E33:N33,1)+COUNTIF(E33:N33,0)</f>
        <v>0</v>
      </c>
    </row>
    <row r="34" customFormat="false" ht="15" hidden="false" customHeight="true" outlineLevel="0" collapsed="false">
      <c r="A34" s="37" t="n">
        <v>28</v>
      </c>
      <c r="B34" s="37" t="s">
        <v>845</v>
      </c>
      <c r="C34" s="37" t="s">
        <v>846</v>
      </c>
      <c r="D34" s="355"/>
      <c r="E34" s="86"/>
      <c r="F34" s="87"/>
      <c r="G34" s="87"/>
      <c r="H34" s="88"/>
      <c r="I34" s="86"/>
      <c r="J34" s="87"/>
      <c r="K34" s="87"/>
      <c r="L34" s="87"/>
      <c r="M34" s="87"/>
      <c r="N34" s="89"/>
      <c r="O34" s="33" t="str">
        <f aca="false">IFERROR(AVERAGE(E34:N34),"")</f>
        <v/>
      </c>
      <c r="P34" s="84" t="str">
        <f aca="false">IF(E34&lt;&gt;"",IF(COUNTIF(E34:N34,"&lt;3"),"Не успевает","Успевает"),"")</f>
        <v/>
      </c>
      <c r="Q34" s="241" t="str">
        <f aca="false">IF(D34&lt;&gt;"",(30*(set!B$5)-D34)/(30*(set!B$5))*100,"")</f>
        <v/>
      </c>
      <c r="R34" s="117" t="str">
        <f aca="false" t="array" ref="R34:R34">IF(E34&lt;&gt;"",IF(O34&lt;1.85,"Выговор",IF(O34=1.85,"Выговор",IF(AND(O34&gt;1.85,O34&lt;3),"Предупреждение",IF(AND(O34&gt;3,O34&lt;4.65),"Нормально",IF(AND(O34&gt;4.65,O34&lt;5.1,E34:N34&gt;=4),"Благодарность","Нормально"))))),"")</f>
        <v/>
      </c>
      <c r="S34" s="118" t="n">
        <f aca="false">COUNTIF(E34:N34,2)+COUNTIF(E34:N34,1)+COUNTIF(E34:N34,0)</f>
        <v>0</v>
      </c>
    </row>
    <row r="35" customFormat="false" ht="15" hidden="false" customHeight="true" outlineLevel="0" collapsed="false">
      <c r="A35" s="0" t="s">
        <v>77</v>
      </c>
      <c r="D35" s="356"/>
      <c r="E35" s="134" t="e">
        <f aca="false">AVERAGE(E9:E34)</f>
        <v>#DIV/0!</v>
      </c>
      <c r="F35" s="134" t="e">
        <f aca="false">AVERAGE(F9:F34)</f>
        <v>#DIV/0!</v>
      </c>
      <c r="G35" s="134" t="e">
        <f aca="false">AVERAGE(G9:G34)</f>
        <v>#DIV/0!</v>
      </c>
      <c r="H35" s="134" t="e">
        <f aca="false">AVERAGE(H9:H34)</f>
        <v>#DIV/0!</v>
      </c>
      <c r="I35" s="134" t="e">
        <f aca="false">AVERAGE(I9:I34)</f>
        <v>#DIV/0!</v>
      </c>
      <c r="J35" s="134" t="e">
        <f aca="false">AVERAGE(J9:J34)</f>
        <v>#DIV/0!</v>
      </c>
      <c r="K35" s="134" t="e">
        <f aca="false">AVERAGE(K9:K34)</f>
        <v>#DIV/0!</v>
      </c>
      <c r="L35" s="134" t="e">
        <f aca="false">AVERAGE(L9:L34)</f>
        <v>#DIV/0!</v>
      </c>
      <c r="M35" s="134" t="e">
        <f aca="false">AVERAGE(M9:M34)</f>
        <v>#DIV/0!</v>
      </c>
      <c r="N35" s="134" t="e">
        <f aca="false">AVERAGE(N9:N34)</f>
        <v>#DIV/0!</v>
      </c>
      <c r="O35" s="47"/>
      <c r="P35" s="48"/>
      <c r="Q35" s="48"/>
      <c r="R35" s="48"/>
      <c r="S35" s="357"/>
    </row>
    <row r="36" customFormat="false" ht="15" hidden="false" customHeight="true" outlineLevel="0" collapsed="false">
      <c r="A36" s="0" t="s">
        <v>78</v>
      </c>
      <c r="D36" s="358"/>
      <c r="E36" s="137" t="e">
        <f aca="false">(COUNTIF(E9:E34,5)+COUNTIF(E9:E34,4)+COUNTIF(E9:E34,3))/$Q$40*100</f>
        <v>#DIV/0!</v>
      </c>
      <c r="F36" s="137" t="e">
        <f aca="false">(COUNTIF(F9:F34,5)+COUNTIF(F9:F34,4)+COUNTIF(F9:F34,3))/$Q$40*100</f>
        <v>#DIV/0!</v>
      </c>
      <c r="G36" s="137" t="e">
        <f aca="false">(COUNTIF(G9:G34,5)+COUNTIF(G9:G34,4)+COUNTIF(G9:G34,3))/$Q$40*100</f>
        <v>#DIV/0!</v>
      </c>
      <c r="H36" s="137" t="e">
        <f aca="false">(COUNTIF(H9:H34,5)+COUNTIF(H9:H34,4)+COUNTIF(H9:H34,3))/$Q$40*100</f>
        <v>#DIV/0!</v>
      </c>
      <c r="I36" s="137" t="e">
        <f aca="false">(COUNTIF(I9:I34,5)+COUNTIF(I9:I34,4)+COUNTIF(I9:I34,3))/$Q$40*100</f>
        <v>#DIV/0!</v>
      </c>
      <c r="J36" s="137" t="e">
        <f aca="false">(COUNTIF(J9:J34,5)+COUNTIF(J9:J34,4)+COUNTIF(J9:J34,3))/$Q$40*100</f>
        <v>#DIV/0!</v>
      </c>
      <c r="K36" s="137" t="e">
        <f aca="false">(COUNTIF(K9:K34,5)+COUNTIF(K9:K34,4)+COUNTIF(K9:K34,3))/$Q$40*100</f>
        <v>#DIV/0!</v>
      </c>
      <c r="L36" s="137" t="e">
        <f aca="false">(COUNTIF(L9:L34,5)+COUNTIF(L9:L34,4)+COUNTIF(L9:L34,3))/$Q$40*100</f>
        <v>#DIV/0!</v>
      </c>
      <c r="M36" s="137" t="e">
        <f aca="false">(COUNTIF(M9:M34,5)+COUNTIF(M9:M34,4)+COUNTIF(M9:M34,3))/$Q$40*100</f>
        <v>#DIV/0!</v>
      </c>
      <c r="N36" s="137" t="e">
        <f aca="false">(COUNTIF(N9:N34,5)+COUNTIF(N9:N34,4)+COUNTIF(N9:N34,3))/$Q$40*100</f>
        <v>#DIV/0!</v>
      </c>
      <c r="O36" s="47"/>
      <c r="P36" s="48"/>
      <c r="Q36" s="48"/>
      <c r="R36" s="48"/>
    </row>
    <row r="37" customFormat="false" ht="15" hidden="false" customHeight="true" outlineLevel="0" collapsed="false"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</row>
    <row r="38" customFormat="false" ht="15" hidden="false" customHeight="true" outlineLevel="0" collapsed="false">
      <c r="B38" s="50"/>
      <c r="C38" s="50" t="s">
        <v>8</v>
      </c>
      <c r="D38" s="51" t="str">
        <f aca="false">IFERROR(AVERAGE(O9:O34),"")</f>
        <v/>
      </c>
      <c r="E38" s="52" t="s">
        <v>9</v>
      </c>
      <c r="F38" s="52"/>
      <c r="G38" s="53" t="str">
        <f aca="false">IFERROR(COUNTIF(P9:P34,"Успевает")/Q40*100,"")</f>
        <v/>
      </c>
      <c r="H38" s="54" t="s">
        <v>79</v>
      </c>
      <c r="I38" s="54"/>
      <c r="J38" s="55" t="str">
        <f aca="false">IFERROR(AVERAGE(Q9:Q34),"")</f>
        <v/>
      </c>
      <c r="K38" s="52"/>
      <c r="L38" s="52"/>
      <c r="M38" s="52"/>
      <c r="N38" s="52"/>
      <c r="O38" s="52"/>
      <c r="P38" s="52"/>
      <c r="Q38" s="158"/>
      <c r="R38" s="48"/>
      <c r="S38" s="48"/>
    </row>
    <row r="39" customFormat="false" ht="15" hidden="false" customHeight="true" outlineLevel="0" collapsed="false">
      <c r="B39" s="50"/>
      <c r="C39" s="50"/>
      <c r="D39" s="50"/>
      <c r="E39" s="56"/>
      <c r="F39" s="56"/>
      <c r="G39" s="56"/>
      <c r="H39" s="56"/>
      <c r="I39" s="56"/>
      <c r="J39" s="56"/>
      <c r="K39" s="56"/>
      <c r="L39" s="56"/>
      <c r="M39" s="56"/>
      <c r="N39" s="56"/>
      <c r="R39" s="193"/>
      <c r="S39" s="193"/>
    </row>
    <row r="40" customFormat="false" ht="15" hidden="false" customHeight="true" outlineLevel="0" collapsed="false">
      <c r="A40" s="50"/>
      <c r="B40" s="61" t="s">
        <v>81</v>
      </c>
      <c r="C40" s="61"/>
      <c r="D40" s="61"/>
      <c r="E40" s="61"/>
      <c r="F40" s="61"/>
      <c r="G40" s="61"/>
      <c r="H40" s="61"/>
      <c r="I40" s="61"/>
      <c r="J40" s="61"/>
      <c r="K40" s="61" t="s">
        <v>82</v>
      </c>
      <c r="L40" s="61"/>
      <c r="M40" s="61"/>
      <c r="N40" s="61"/>
      <c r="O40" s="57" t="s">
        <v>80</v>
      </c>
      <c r="P40" s="57"/>
      <c r="Q40" s="58" t="n">
        <f aca="false">SUM(Q41:Q42)</f>
        <v>0</v>
      </c>
      <c r="R40" s="64"/>
      <c r="S40" s="64"/>
    </row>
    <row r="41" customFormat="false" ht="15" hidden="false" customHeight="true" outlineLevel="0" collapsed="false">
      <c r="A41" s="50"/>
      <c r="B41" s="65" t="str">
        <f aca="false">$E$6</f>
        <v> Основы электроники</v>
      </c>
      <c r="C41" s="65"/>
      <c r="D41" s="65"/>
      <c r="E41" s="65"/>
      <c r="F41" s="65"/>
      <c r="G41" s="65"/>
      <c r="H41" s="65"/>
      <c r="I41" s="65"/>
      <c r="J41" s="65"/>
      <c r="K41" s="359"/>
      <c r="L41" s="359"/>
      <c r="M41" s="359"/>
      <c r="N41" s="359"/>
      <c r="O41" s="57" t="s">
        <v>83</v>
      </c>
      <c r="P41" s="57"/>
      <c r="Q41" s="58" t="n">
        <f aca="false">COUNTIF(P9:P34,"Успевает")</f>
        <v>0</v>
      </c>
      <c r="R41" s="99"/>
      <c r="S41" s="69"/>
    </row>
    <row r="42" customFormat="false" ht="15" hidden="false" customHeight="true" outlineLevel="0" collapsed="false">
      <c r="A42" s="50"/>
      <c r="B42" s="65" t="str">
        <f aca="false">$F$6</f>
        <v> Системное программирование</v>
      </c>
      <c r="C42" s="65"/>
      <c r="D42" s="65"/>
      <c r="E42" s="65"/>
      <c r="F42" s="65"/>
      <c r="G42" s="65"/>
      <c r="H42" s="65"/>
      <c r="I42" s="65"/>
      <c r="J42" s="65"/>
      <c r="K42" s="359"/>
      <c r="L42" s="359"/>
      <c r="M42" s="359"/>
      <c r="N42" s="359"/>
      <c r="O42" s="98" t="s">
        <v>84</v>
      </c>
      <c r="P42" s="98"/>
      <c r="Q42" s="58" t="n">
        <f aca="false">COUNTIF(P9:P34,"Не успевает")</f>
        <v>0</v>
      </c>
      <c r="R42" s="64"/>
      <c r="S42" s="72"/>
    </row>
    <row r="43" customFormat="false" ht="15" hidden="false" customHeight="true" outlineLevel="0" collapsed="false">
      <c r="A43" s="50"/>
      <c r="B43" s="65" t="str">
        <f aca="false">$G$6</f>
        <v> Физика</v>
      </c>
      <c r="C43" s="65"/>
      <c r="D43" s="65"/>
      <c r="E43" s="65"/>
      <c r="F43" s="65"/>
      <c r="G43" s="65"/>
      <c r="H43" s="65"/>
      <c r="I43" s="65"/>
      <c r="J43" s="65"/>
      <c r="K43" s="359"/>
      <c r="L43" s="359"/>
      <c r="M43" s="359"/>
      <c r="N43" s="359"/>
      <c r="O43" s="98" t="s">
        <v>85</v>
      </c>
      <c r="P43" s="98"/>
      <c r="Q43" s="58" t="n">
        <f aca="false">COUNTIF(R9:R34,"Благодарность")</f>
        <v>0</v>
      </c>
      <c r="R43" s="48"/>
    </row>
    <row r="44" customFormat="false" ht="15" hidden="false" customHeight="true" outlineLevel="0" collapsed="false">
      <c r="A44" s="50"/>
      <c r="B44" s="65" t="str">
        <f aca="false">$H$6</f>
        <v> Языки программирования с управляемым кодом</v>
      </c>
      <c r="C44" s="65"/>
      <c r="D44" s="65"/>
      <c r="E44" s="65"/>
      <c r="F44" s="65"/>
      <c r="G44" s="65"/>
      <c r="H44" s="65"/>
      <c r="I44" s="65"/>
      <c r="J44" s="65"/>
      <c r="K44" s="359"/>
      <c r="L44" s="359"/>
      <c r="M44" s="359"/>
      <c r="N44" s="359"/>
      <c r="O44" s="184" t="s">
        <v>86</v>
      </c>
      <c r="P44" s="184"/>
      <c r="Q44" s="58" t="n">
        <f aca="false">COUNTIF(R9:R34,"Нормально")</f>
        <v>0</v>
      </c>
      <c r="R44" s="48"/>
    </row>
    <row r="45" customFormat="false" ht="15" hidden="false" customHeight="true" outlineLevel="0" collapsed="false">
      <c r="A45" s="50"/>
      <c r="B45" s="65" t="str">
        <f aca="false">$I$6</f>
        <v>Дискретная математика</v>
      </c>
      <c r="C45" s="65"/>
      <c r="D45" s="65"/>
      <c r="E45" s="65"/>
      <c r="F45" s="65"/>
      <c r="G45" s="65"/>
      <c r="H45" s="65"/>
      <c r="I45" s="65"/>
      <c r="J45" s="65"/>
      <c r="K45" s="359"/>
      <c r="L45" s="359"/>
      <c r="M45" s="359"/>
      <c r="N45" s="359"/>
      <c r="O45" s="184" t="s">
        <v>87</v>
      </c>
      <c r="P45" s="184"/>
      <c r="Q45" s="58" t="n">
        <f aca="false">COUNTIF(R9:R34,"Предупреждение")</f>
        <v>0</v>
      </c>
      <c r="R45" s="48"/>
    </row>
    <row r="46" customFormat="false" ht="15" hidden="false" customHeight="true" outlineLevel="0" collapsed="false">
      <c r="A46" s="50"/>
      <c r="B46" s="65" t="str">
        <f aca="false">$J$6</f>
        <v>Иностранный язык</v>
      </c>
      <c r="C46" s="65"/>
      <c r="D46" s="65"/>
      <c r="E46" s="65"/>
      <c r="F46" s="65"/>
      <c r="G46" s="65"/>
      <c r="H46" s="65"/>
      <c r="I46" s="65"/>
      <c r="J46" s="65"/>
      <c r="K46" s="359"/>
      <c r="L46" s="359"/>
      <c r="M46" s="359"/>
      <c r="N46" s="359"/>
      <c r="O46" s="184" t="s">
        <v>88</v>
      </c>
      <c r="P46" s="184"/>
      <c r="Q46" s="58" t="n">
        <f aca="false">COUNTIF(R9:R34,"Выговор")</f>
        <v>0</v>
      </c>
      <c r="R46" s="48"/>
    </row>
    <row r="47" customFormat="false" ht="15" hidden="false" customHeight="true" outlineLevel="0" collapsed="false">
      <c r="A47" s="50"/>
      <c r="B47" s="65" t="str">
        <f aca="false">$K$6</f>
        <v> Теория информационных систем</v>
      </c>
      <c r="C47" s="65"/>
      <c r="D47" s="65"/>
      <c r="E47" s="65"/>
      <c r="F47" s="65"/>
      <c r="G47" s="65"/>
      <c r="H47" s="65"/>
      <c r="I47" s="65"/>
      <c r="J47" s="65"/>
      <c r="K47" s="359"/>
      <c r="L47" s="359"/>
      <c r="M47" s="359"/>
      <c r="N47" s="359"/>
      <c r="O47" s="185" t="s">
        <v>12</v>
      </c>
      <c r="P47" s="186"/>
      <c r="Q47" s="143" t="n">
        <f aca="false">SUM(S9:S34)</f>
        <v>0</v>
      </c>
      <c r="R47" s="48"/>
    </row>
    <row r="48" customFormat="false" ht="15" hidden="false" customHeight="true" outlineLevel="0" collapsed="false">
      <c r="A48" s="50"/>
      <c r="B48" s="65" t="str">
        <f aca="false">$L$6</f>
        <v> Философия</v>
      </c>
      <c r="C48" s="65"/>
      <c r="D48" s="65"/>
      <c r="E48" s="65"/>
      <c r="F48" s="65"/>
      <c r="G48" s="65"/>
      <c r="H48" s="65"/>
      <c r="I48" s="65"/>
      <c r="J48" s="65"/>
      <c r="K48" s="359"/>
      <c r="L48" s="359"/>
      <c r="M48" s="359"/>
      <c r="N48" s="359"/>
      <c r="O48" s="67"/>
      <c r="P48" s="67"/>
      <c r="Q48" s="67"/>
      <c r="R48" s="48"/>
      <c r="S48" s="48"/>
    </row>
    <row r="49" customFormat="false" ht="15" hidden="false" customHeight="true" outlineLevel="0" collapsed="false">
      <c r="A49" s="50"/>
      <c r="B49" s="65" t="str">
        <f aca="false">$M$6</f>
        <v> Цифровые измерительные системы</v>
      </c>
      <c r="C49" s="65"/>
      <c r="D49" s="65"/>
      <c r="E49" s="65"/>
      <c r="F49" s="65"/>
      <c r="G49" s="65"/>
      <c r="H49" s="65"/>
      <c r="I49" s="65"/>
      <c r="J49" s="65"/>
      <c r="K49" s="359"/>
      <c r="L49" s="359"/>
      <c r="M49" s="359"/>
      <c r="N49" s="359"/>
      <c r="O49" s="67"/>
      <c r="P49" s="67"/>
      <c r="Q49" s="67"/>
      <c r="R49" s="48"/>
      <c r="S49" s="48"/>
    </row>
    <row r="50" customFormat="false" ht="15" hidden="false" customHeight="true" outlineLevel="0" collapsed="false">
      <c r="A50" s="50"/>
      <c r="B50" s="65" t="str">
        <f aca="false">$N$6</f>
        <v>Физическая культура и спорт </v>
      </c>
      <c r="C50" s="65"/>
      <c r="D50" s="65"/>
      <c r="E50" s="65"/>
      <c r="F50" s="65"/>
      <c r="G50" s="65"/>
      <c r="H50" s="65"/>
      <c r="I50" s="65"/>
      <c r="J50" s="65"/>
      <c r="K50" s="359"/>
      <c r="L50" s="359"/>
      <c r="M50" s="359"/>
      <c r="N50" s="359"/>
      <c r="O50" s="67"/>
      <c r="P50" s="67"/>
      <c r="Q50" s="67"/>
      <c r="R50" s="48"/>
      <c r="S50" s="48"/>
    </row>
    <row r="51" s="45" customFormat="true" ht="15" hidden="false" customHeight="true" outlineLevel="0" collapsed="false">
      <c r="A51" s="50"/>
      <c r="B51" s="197"/>
      <c r="C51" s="197"/>
      <c r="D51" s="197"/>
      <c r="E51" s="197"/>
      <c r="F51" s="197"/>
      <c r="G51" s="197"/>
      <c r="H51" s="197"/>
      <c r="I51" s="197"/>
      <c r="J51" s="197"/>
      <c r="K51" s="360"/>
      <c r="L51" s="360"/>
      <c r="M51" s="360"/>
      <c r="N51" s="360"/>
      <c r="O51" s="67"/>
      <c r="P51" s="67"/>
      <c r="Q51" s="67"/>
      <c r="R51" s="48"/>
      <c r="S51" s="48"/>
    </row>
    <row r="52" customFormat="false" ht="15" hidden="false" customHeight="true" outlineLevel="0" collapsed="false">
      <c r="A52" s="50"/>
      <c r="B52" s="361" t="s">
        <v>140</v>
      </c>
      <c r="C52" s="362" t="s">
        <v>847</v>
      </c>
      <c r="D52" s="73"/>
      <c r="E52" s="67"/>
      <c r="F52" s="52" t="s">
        <v>369</v>
      </c>
      <c r="G52" s="300" t="s">
        <v>848</v>
      </c>
      <c r="H52" s="52"/>
      <c r="I52" s="52"/>
      <c r="J52" s="52"/>
      <c r="K52" s="52"/>
      <c r="L52" s="50"/>
      <c r="M52" s="50"/>
      <c r="N52" s="50"/>
      <c r="O52" s="50"/>
      <c r="P52" s="50"/>
      <c r="Q52" s="48"/>
      <c r="R52" s="48"/>
      <c r="S52" s="48"/>
    </row>
    <row r="53" customFormat="false" ht="15" hidden="false" customHeight="true" outlineLevel="0" collapsed="false">
      <c r="A53" s="50"/>
      <c r="B53" s="52"/>
      <c r="C53" s="52"/>
      <c r="D53" s="52"/>
      <c r="E53" s="52"/>
      <c r="F53" s="52"/>
      <c r="G53" s="52"/>
      <c r="H53" s="52"/>
      <c r="I53" s="52"/>
      <c r="J53" s="50"/>
      <c r="K53" s="50"/>
      <c r="L53" s="50"/>
      <c r="M53" s="50"/>
      <c r="N53" s="50"/>
      <c r="R53" s="48"/>
      <c r="S53" s="48"/>
    </row>
    <row r="54" customFormat="false" ht="15" hidden="false" customHeight="true" outlineLevel="0" collapsed="false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R54" s="48"/>
      <c r="S54" s="48"/>
    </row>
    <row r="55" customFormat="false" ht="15" hidden="false" customHeight="true" outlineLevel="0" collapsed="false">
      <c r="A55" s="50"/>
      <c r="B55" s="50" t="s">
        <v>93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R55" s="48"/>
      <c r="S55" s="48"/>
    </row>
    <row r="56" customFormat="false" ht="15" hidden="false" customHeight="true" outlineLevel="0" collapsed="false">
      <c r="A56" s="50"/>
      <c r="B56" s="50" t="s">
        <v>94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R56" s="48"/>
      <c r="S56" s="48"/>
    </row>
    <row r="57" customFormat="false" ht="15" hidden="false" customHeight="true" outlineLevel="0" collapsed="false">
      <c r="A57" s="50"/>
      <c r="B57" s="50" t="s">
        <v>95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R57" s="48"/>
      <c r="S57" s="48"/>
    </row>
    <row r="58" customFormat="false" ht="15" hidden="false" customHeight="true" outlineLevel="0" collapsed="false">
      <c r="A58" s="50"/>
      <c r="B58" s="50" t="s">
        <v>96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R58" s="48"/>
      <c r="S58" s="48"/>
    </row>
    <row r="59" customFormat="false" ht="15" hidden="false" customHeight="true" outlineLevel="0" collapsed="false">
      <c r="A59" s="50"/>
      <c r="B59" s="50" t="s">
        <v>97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R59" s="48"/>
      <c r="S59" s="48"/>
    </row>
    <row r="60" customFormat="false" ht="15" hidden="false" customHeight="true" outlineLevel="0" collapsed="false">
      <c r="A60" s="50"/>
      <c r="B60" s="50" t="s">
        <v>98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R60" s="48"/>
      <c r="S60" s="48"/>
    </row>
    <row r="61" customFormat="false" ht="15" hidden="false" customHeight="true" outlineLevel="0" collapsed="false">
      <c r="A61" s="50"/>
      <c r="B61" s="50" t="s">
        <v>99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48"/>
      <c r="R61" s="48"/>
      <c r="S61" s="48"/>
    </row>
  </sheetData>
  <mergeCells count="41">
    <mergeCell ref="E1:H1"/>
    <mergeCell ref="L2:Q2"/>
    <mergeCell ref="A3:R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H38:I38"/>
    <mergeCell ref="B40:J40"/>
    <mergeCell ref="K40:N40"/>
    <mergeCell ref="O40:P40"/>
    <mergeCell ref="B41:J41"/>
    <mergeCell ref="K41:N41"/>
    <mergeCell ref="O41:P41"/>
    <mergeCell ref="B42:J42"/>
    <mergeCell ref="K42:N42"/>
    <mergeCell ref="O42:P42"/>
    <mergeCell ref="B43:J43"/>
    <mergeCell ref="K43:N43"/>
    <mergeCell ref="O43:P43"/>
    <mergeCell ref="B44:J44"/>
    <mergeCell ref="K44:N44"/>
    <mergeCell ref="B45:J45"/>
    <mergeCell ref="K45:N45"/>
    <mergeCell ref="B46:J46"/>
    <mergeCell ref="K46:N46"/>
    <mergeCell ref="B47:J47"/>
    <mergeCell ref="K47:N47"/>
    <mergeCell ref="B48:J48"/>
    <mergeCell ref="K48:N48"/>
    <mergeCell ref="B49:J49"/>
    <mergeCell ref="K49:N49"/>
    <mergeCell ref="B50:J50"/>
    <mergeCell ref="K50:N50"/>
  </mergeCells>
  <conditionalFormatting sqref="E35:O36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N11 E13:N3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N1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3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50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B8" activeCellId="0" sqref="B8"/>
    </sheetView>
  </sheetViews>
  <sheetFormatPr defaultColWidth="8.6796875" defaultRowHeight="15" zeroHeight="false" outlineLevelRow="0" outlineLevelCol="0"/>
  <cols>
    <col collapsed="false" customWidth="true" hidden="false" outlineLevel="0" max="3" min="3" style="0" width="15.29"/>
    <col collapsed="false" customWidth="true" hidden="false" outlineLevel="0" max="18" min="18" style="0" width="11.14"/>
  </cols>
  <sheetData>
    <row r="1" customFormat="false" ht="19.7" hidden="false" customHeight="false" outlineLevel="0" collapsed="false">
      <c r="A1" s="45"/>
      <c r="B1" s="45"/>
      <c r="C1" s="45"/>
      <c r="D1" s="45"/>
      <c r="E1" s="1" t="s">
        <v>0</v>
      </c>
      <c r="F1" s="1"/>
      <c r="G1" s="1"/>
      <c r="H1" s="1"/>
      <c r="I1" s="2" t="n">
        <f aca="false">set!B1</f>
        <v>2</v>
      </c>
      <c r="J1" s="3"/>
      <c r="K1" s="45"/>
      <c r="L1" s="45"/>
      <c r="M1" s="45"/>
      <c r="N1" s="45"/>
      <c r="O1" s="45"/>
      <c r="P1" s="45"/>
      <c r="Q1" s="45"/>
      <c r="R1" s="45"/>
      <c r="S1" s="45"/>
    </row>
    <row r="2" customFormat="false" ht="15" hidden="false" customHeight="false" outlineLevel="0" collapsed="false">
      <c r="A2" s="45"/>
      <c r="B2" s="45"/>
      <c r="C2" s="45"/>
      <c r="D2" s="45"/>
      <c r="E2" s="45"/>
      <c r="F2" s="45"/>
      <c r="G2" s="45"/>
      <c r="H2" s="4"/>
      <c r="I2" s="45"/>
      <c r="J2" s="45"/>
      <c r="K2" s="45"/>
      <c r="L2" s="5" t="s">
        <v>1</v>
      </c>
      <c r="M2" s="5"/>
      <c r="N2" s="5"/>
      <c r="O2" s="5"/>
      <c r="P2" s="5"/>
      <c r="Q2" s="5"/>
      <c r="R2" s="6" t="n">
        <f aca="false">set!B4</f>
        <v>45608</v>
      </c>
      <c r="S2" s="45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ИУК2-33Б факультета ИУК МГТУ им. Н.Э. Баумана"</f>
        <v>Успеваемость студентов за 1 семестр 24/25 учебного года по группе ИУК2-33Б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45"/>
    </row>
    <row r="4" customFormat="false" ht="15" hidden="false" customHeight="false" outlineLevel="0" collapsed="false">
      <c r="A4" s="45"/>
      <c r="B4" s="7"/>
      <c r="C4" s="7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customFormat="false" ht="15" hidden="false" customHeight="true" outlineLevel="0" collapsed="false">
      <c r="A5" s="8" t="s">
        <v>2</v>
      </c>
      <c r="B5" s="8" t="s">
        <v>3</v>
      </c>
      <c r="C5" s="351" t="s">
        <v>4</v>
      </c>
      <c r="D5" s="301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1"/>
      <c r="O5" s="12" t="s">
        <v>8</v>
      </c>
      <c r="P5" s="13" t="s">
        <v>9</v>
      </c>
      <c r="Q5" s="13" t="s">
        <v>10</v>
      </c>
      <c r="R5" s="14" t="s">
        <v>11</v>
      </c>
      <c r="S5" s="14" t="s">
        <v>12</v>
      </c>
    </row>
    <row r="6" customFormat="false" ht="1.45" hidden="false" customHeight="false" outlineLevel="0" collapsed="false">
      <c r="A6" s="8"/>
      <c r="B6" s="8"/>
      <c r="C6" s="351"/>
      <c r="D6" s="301"/>
      <c r="E6" s="339" t="s">
        <v>734</v>
      </c>
      <c r="F6" s="340" t="s">
        <v>735</v>
      </c>
      <c r="G6" s="340" t="s">
        <v>736</v>
      </c>
      <c r="H6" s="342" t="s">
        <v>737</v>
      </c>
      <c r="I6" s="340" t="s">
        <v>738</v>
      </c>
      <c r="J6" s="340" t="s">
        <v>18</v>
      </c>
      <c r="K6" s="340" t="s">
        <v>739</v>
      </c>
      <c r="L6" s="340" t="s">
        <v>170</v>
      </c>
      <c r="M6" s="340" t="s">
        <v>740</v>
      </c>
      <c r="N6" s="342" t="s">
        <v>297</v>
      </c>
      <c r="O6" s="12"/>
      <c r="P6" s="13"/>
      <c r="Q6" s="13"/>
      <c r="R6" s="14"/>
      <c r="S6" s="14"/>
    </row>
    <row r="7" customFormat="false" ht="17.9" hidden="false" customHeight="false" outlineLevel="0" collapsed="false">
      <c r="A7" s="8"/>
      <c r="B7" s="8"/>
      <c r="C7" s="351"/>
      <c r="D7" s="301"/>
      <c r="E7" s="343" t="s">
        <v>509</v>
      </c>
      <c r="F7" s="344" t="s">
        <v>741</v>
      </c>
      <c r="G7" s="344" t="s">
        <v>22</v>
      </c>
      <c r="H7" s="346" t="s">
        <v>549</v>
      </c>
      <c r="I7" s="344" t="s">
        <v>742</v>
      </c>
      <c r="J7" s="344" t="s">
        <v>27</v>
      </c>
      <c r="K7" s="344" t="s">
        <v>549</v>
      </c>
      <c r="L7" s="344" t="s">
        <v>175</v>
      </c>
      <c r="M7" s="344" t="s">
        <v>548</v>
      </c>
      <c r="N7" s="346" t="s">
        <v>176</v>
      </c>
      <c r="O7" s="12"/>
      <c r="P7" s="13"/>
      <c r="Q7" s="13"/>
      <c r="R7" s="14"/>
      <c r="S7" s="14"/>
    </row>
    <row r="8" customFormat="false" ht="15" hidden="false" customHeight="false" outlineLevel="0" collapsed="false">
      <c r="A8" s="25" t="n">
        <v>1</v>
      </c>
      <c r="B8" s="25" t="s">
        <v>849</v>
      </c>
      <c r="C8" s="25" t="s">
        <v>850</v>
      </c>
      <c r="D8" s="125"/>
      <c r="E8" s="81"/>
      <c r="F8" s="82"/>
      <c r="G8" s="82"/>
      <c r="H8" s="125"/>
      <c r="I8" s="78"/>
      <c r="J8" s="79"/>
      <c r="K8" s="79"/>
      <c r="L8" s="79"/>
      <c r="M8" s="79"/>
      <c r="N8" s="80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241" t="str">
        <f aca="false">IF(D8&lt;&gt;"",(30*(set!B$5)-D8)/(30*(set!B$5))*100,"")</f>
        <v/>
      </c>
      <c r="R8" s="117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118" t="n">
        <f aca="false">COUNTIF(E8:N8,2)+COUNTIF(E8:N8,1)+COUNTIF(E8:N8,0)</f>
        <v>0</v>
      </c>
    </row>
    <row r="9" customFormat="false" ht="15" hidden="false" customHeight="false" outlineLevel="0" collapsed="false">
      <c r="A9" s="37" t="n">
        <v>2</v>
      </c>
      <c r="B9" s="37" t="s">
        <v>851</v>
      </c>
      <c r="C9" s="37" t="s">
        <v>852</v>
      </c>
      <c r="D9" s="125"/>
      <c r="E9" s="81"/>
      <c r="F9" s="82"/>
      <c r="G9" s="82"/>
      <c r="H9" s="125"/>
      <c r="I9" s="86"/>
      <c r="J9" s="87"/>
      <c r="K9" s="87"/>
      <c r="L9" s="87"/>
      <c r="M9" s="87"/>
      <c r="N9" s="89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241" t="str">
        <f aca="false">IF(D9&lt;&gt;"",(30*(set!B$5)-D9)/(30*(set!B$5))*100,"")</f>
        <v/>
      </c>
      <c r="R9" s="11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false" outlineLevel="0" collapsed="false">
      <c r="A10" s="37" t="n">
        <v>3</v>
      </c>
      <c r="B10" s="37" t="s">
        <v>853</v>
      </c>
      <c r="C10" s="37" t="s">
        <v>854</v>
      </c>
      <c r="D10" s="125"/>
      <c r="E10" s="86"/>
      <c r="F10" s="87"/>
      <c r="G10" s="87"/>
      <c r="H10" s="88"/>
      <c r="I10" s="86"/>
      <c r="J10" s="87"/>
      <c r="K10" s="87"/>
      <c r="L10" s="87"/>
      <c r="M10" s="87"/>
      <c r="N10" s="89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11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customFormat="false" ht="15" hidden="false" customHeight="false" outlineLevel="0" collapsed="false">
      <c r="A11" s="37" t="n">
        <v>4</v>
      </c>
      <c r="B11" s="37" t="s">
        <v>855</v>
      </c>
      <c r="C11" s="37" t="s">
        <v>856</v>
      </c>
      <c r="D11" s="125"/>
      <c r="E11" s="86"/>
      <c r="F11" s="87"/>
      <c r="G11" s="87"/>
      <c r="H11" s="88"/>
      <c r="I11" s="86"/>
      <c r="J11" s="87"/>
      <c r="K11" s="87"/>
      <c r="L11" s="87"/>
      <c r="M11" s="87"/>
      <c r="N11" s="89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11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customFormat="false" ht="15" hidden="false" customHeight="false" outlineLevel="0" collapsed="false">
      <c r="A12" s="37" t="n">
        <v>5</v>
      </c>
      <c r="B12" s="37" t="s">
        <v>857</v>
      </c>
      <c r="C12" s="37" t="s">
        <v>858</v>
      </c>
      <c r="D12" s="125"/>
      <c r="E12" s="86"/>
      <c r="F12" s="87"/>
      <c r="G12" s="87"/>
      <c r="H12" s="88"/>
      <c r="I12" s="86"/>
      <c r="J12" s="87"/>
      <c r="K12" s="87"/>
      <c r="L12" s="87"/>
      <c r="M12" s="87"/>
      <c r="N12" s="89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11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</row>
    <row r="13" customFormat="false" ht="15" hidden="false" customHeight="false" outlineLevel="0" collapsed="false">
      <c r="A13" s="37" t="n">
        <v>6</v>
      </c>
      <c r="B13" s="37" t="s">
        <v>859</v>
      </c>
      <c r="C13" s="37" t="s">
        <v>860</v>
      </c>
      <c r="D13" s="125"/>
      <c r="E13" s="86"/>
      <c r="F13" s="87"/>
      <c r="G13" s="87"/>
      <c r="H13" s="88"/>
      <c r="I13" s="86"/>
      <c r="J13" s="87"/>
      <c r="K13" s="87"/>
      <c r="L13" s="87"/>
      <c r="M13" s="87"/>
      <c r="N13" s="89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241" t="str">
        <f aca="false">IF(D13&lt;&gt;"",(30*(set!B$5)-D13)/(30*(set!B$5))*100,"")</f>
        <v/>
      </c>
      <c r="R13" s="11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customFormat="false" ht="15" hidden="false" customHeight="false" outlineLevel="0" collapsed="false">
      <c r="A14" s="37" t="n">
        <v>7</v>
      </c>
      <c r="B14" s="37" t="s">
        <v>861</v>
      </c>
      <c r="C14" s="37" t="s">
        <v>862</v>
      </c>
      <c r="D14" s="125"/>
      <c r="E14" s="86"/>
      <c r="F14" s="87"/>
      <c r="G14" s="87"/>
      <c r="H14" s="88"/>
      <c r="I14" s="86"/>
      <c r="J14" s="87"/>
      <c r="K14" s="87"/>
      <c r="L14" s="87"/>
      <c r="M14" s="87"/>
      <c r="N14" s="89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241" t="str">
        <f aca="false">IF(D14&lt;&gt;"",(30*(set!B$5)-D14)/(30*(set!B$5))*100,"")</f>
        <v/>
      </c>
      <c r="R14" s="117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</row>
    <row r="15" customFormat="false" ht="15" hidden="false" customHeight="false" outlineLevel="0" collapsed="false">
      <c r="A15" s="37" t="n">
        <v>8</v>
      </c>
      <c r="B15" s="37" t="s">
        <v>863</v>
      </c>
      <c r="C15" s="37" t="s">
        <v>864</v>
      </c>
      <c r="D15" s="125"/>
      <c r="E15" s="86"/>
      <c r="F15" s="87"/>
      <c r="G15" s="87"/>
      <c r="H15" s="88"/>
      <c r="I15" s="86"/>
      <c r="J15" s="87"/>
      <c r="K15" s="87"/>
      <c r="L15" s="87"/>
      <c r="M15" s="87"/>
      <c r="N15" s="89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241" t="str">
        <f aca="false">IF(D15&lt;&gt;"",(30*(set!B$5)-D15)/(30*(set!B$5))*100,"")</f>
        <v/>
      </c>
      <c r="R15" s="117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</row>
    <row r="16" customFormat="false" ht="15" hidden="false" customHeight="false" outlineLevel="0" collapsed="false">
      <c r="A16" s="37" t="n">
        <v>9</v>
      </c>
      <c r="B16" s="37" t="s">
        <v>865</v>
      </c>
      <c r="C16" s="37" t="s">
        <v>866</v>
      </c>
      <c r="D16" s="125"/>
      <c r="E16" s="86"/>
      <c r="F16" s="87"/>
      <c r="G16" s="87"/>
      <c r="H16" s="88"/>
      <c r="I16" s="86"/>
      <c r="J16" s="87"/>
      <c r="K16" s="87"/>
      <c r="L16" s="87"/>
      <c r="M16" s="87"/>
      <c r="N16" s="89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241" t="str">
        <f aca="false">IF(D16&lt;&gt;"",(30*(set!B$5)-D16)/(30*(set!B$5))*100,"")</f>
        <v/>
      </c>
      <c r="R16" s="117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</row>
    <row r="17" customFormat="false" ht="15" hidden="false" customHeight="false" outlineLevel="0" collapsed="false">
      <c r="A17" s="37" t="n">
        <v>10</v>
      </c>
      <c r="B17" s="37" t="s">
        <v>867</v>
      </c>
      <c r="C17" s="37" t="s">
        <v>868</v>
      </c>
      <c r="D17" s="125"/>
      <c r="E17" s="86"/>
      <c r="F17" s="87"/>
      <c r="G17" s="87"/>
      <c r="H17" s="88"/>
      <c r="I17" s="86"/>
      <c r="J17" s="87"/>
      <c r="K17" s="87"/>
      <c r="L17" s="87"/>
      <c r="M17" s="87"/>
      <c r="N17" s="89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241" t="str">
        <f aca="false">IF(D17&lt;&gt;"",(30*(set!B$5)-D17)/(30*(set!B$5))*100,"")</f>
        <v/>
      </c>
      <c r="R17" s="117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</row>
    <row r="18" customFormat="false" ht="15" hidden="false" customHeight="false" outlineLevel="0" collapsed="false">
      <c r="A18" s="37" t="n">
        <v>11</v>
      </c>
      <c r="B18" s="37" t="s">
        <v>869</v>
      </c>
      <c r="C18" s="37" t="s">
        <v>870</v>
      </c>
      <c r="D18" s="125"/>
      <c r="E18" s="86"/>
      <c r="F18" s="87"/>
      <c r="G18" s="87"/>
      <c r="H18" s="88"/>
      <c r="I18" s="86"/>
      <c r="J18" s="87"/>
      <c r="K18" s="87"/>
      <c r="L18" s="87"/>
      <c r="M18" s="87"/>
      <c r="N18" s="89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241" t="str">
        <f aca="false">IF(D18&lt;&gt;"",(30*(set!B$5)-D18)/(30*(set!B$5))*100,"")</f>
        <v/>
      </c>
      <c r="R18" s="117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</row>
    <row r="19" customFormat="false" ht="15" hidden="false" customHeight="false" outlineLevel="0" collapsed="false">
      <c r="A19" s="37" t="n">
        <v>12</v>
      </c>
      <c r="B19" s="37" t="s">
        <v>871</v>
      </c>
      <c r="C19" s="37" t="s">
        <v>872</v>
      </c>
      <c r="D19" s="125"/>
      <c r="E19" s="86"/>
      <c r="F19" s="87"/>
      <c r="G19" s="87"/>
      <c r="H19" s="88"/>
      <c r="I19" s="86"/>
      <c r="J19" s="87"/>
      <c r="K19" s="87"/>
      <c r="L19" s="87"/>
      <c r="M19" s="87"/>
      <c r="N19" s="89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241" t="str">
        <f aca="false">IF(D19&lt;&gt;"",(30*(set!B$5)-D19)/(30*(set!B$5))*100,"")</f>
        <v/>
      </c>
      <c r="R19" s="117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</row>
    <row r="20" customFormat="false" ht="15" hidden="false" customHeight="false" outlineLevel="0" collapsed="false">
      <c r="A20" s="37" t="n">
        <v>13</v>
      </c>
      <c r="B20" s="37" t="s">
        <v>873</v>
      </c>
      <c r="C20" s="37" t="s">
        <v>874</v>
      </c>
      <c r="D20" s="125"/>
      <c r="E20" s="86"/>
      <c r="F20" s="87"/>
      <c r="G20" s="87"/>
      <c r="H20" s="88"/>
      <c r="I20" s="86"/>
      <c r="J20" s="87"/>
      <c r="K20" s="87"/>
      <c r="L20" s="87"/>
      <c r="M20" s="87"/>
      <c r="N20" s="89"/>
      <c r="O20" s="33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241" t="str">
        <f aca="false">IF(D20&lt;&gt;"",(30*(set!B$5)-D20)/(30*(set!B$5))*100,"")</f>
        <v/>
      </c>
      <c r="R20" s="117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118" t="n">
        <f aca="false">COUNTIF(E20:N20,2)+COUNTIF(E20:N20,1)+COUNTIF(E20:N20,0)</f>
        <v>0</v>
      </c>
    </row>
    <row r="21" customFormat="false" ht="15" hidden="false" customHeight="false" outlineLevel="0" collapsed="false">
      <c r="A21" s="37" t="n">
        <v>14</v>
      </c>
      <c r="B21" s="37" t="s">
        <v>875</v>
      </c>
      <c r="C21" s="37" t="s">
        <v>876</v>
      </c>
      <c r="D21" s="125"/>
      <c r="E21" s="86"/>
      <c r="F21" s="87"/>
      <c r="G21" s="87"/>
      <c r="H21" s="88"/>
      <c r="I21" s="86"/>
      <c r="J21" s="87"/>
      <c r="K21" s="87"/>
      <c r="L21" s="87"/>
      <c r="M21" s="87"/>
      <c r="N21" s="89"/>
      <c r="O21" s="33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241" t="str">
        <f aca="false">IF(D21&lt;&gt;"",(30*(set!B$5)-D21)/(30*(set!B$5))*100,"")</f>
        <v/>
      </c>
      <c r="R21" s="117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118" t="n">
        <f aca="false">COUNTIF(E21:N21,2)+COUNTIF(E21:N21,1)+COUNTIF(E21:N21,0)</f>
        <v>0</v>
      </c>
    </row>
    <row r="22" customFormat="false" ht="15" hidden="false" customHeight="false" outlineLevel="0" collapsed="false">
      <c r="A22" s="37" t="n">
        <v>15</v>
      </c>
      <c r="B22" s="37" t="s">
        <v>877</v>
      </c>
      <c r="C22" s="37" t="s">
        <v>878</v>
      </c>
      <c r="D22" s="125"/>
      <c r="E22" s="86"/>
      <c r="F22" s="87"/>
      <c r="G22" s="87"/>
      <c r="H22" s="88"/>
      <c r="I22" s="86"/>
      <c r="J22" s="87"/>
      <c r="K22" s="87"/>
      <c r="L22" s="87"/>
      <c r="M22" s="87"/>
      <c r="N22" s="89"/>
      <c r="O22" s="33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241" t="str">
        <f aca="false">IF(D22&lt;&gt;"",(30*(set!B$5)-D22)/(30*(set!B$5))*100,"")</f>
        <v/>
      </c>
      <c r="R22" s="117" t="str">
        <f aca="false" t="array" ref="R22:R22">IF(E22&lt;&gt;"",IF(O22&lt;1.85,"Выговор",IF(O22=1.85,"Выговор",IF(AND(O22&gt;1.85,O22&lt;3),"Предупреждение",IF(AND(O22&gt;3,O22&lt;4.65),"Нормально",IF(AND(O22&gt;4.65,O22&lt;5.1,E22:N22&gt;=4),"Благодарность","Нормально"))))),"")</f>
        <v/>
      </c>
      <c r="S22" s="118" t="n">
        <f aca="false">COUNTIF(E22:N22,2)+COUNTIF(E22:N22,1)+COUNTIF(E22:N22,0)</f>
        <v>0</v>
      </c>
    </row>
    <row r="23" customFormat="false" ht="15" hidden="false" customHeight="false" outlineLevel="0" collapsed="false">
      <c r="A23" s="37" t="n">
        <v>16</v>
      </c>
      <c r="B23" s="37" t="s">
        <v>879</v>
      </c>
      <c r="C23" s="37" t="s">
        <v>880</v>
      </c>
      <c r="D23" s="125"/>
      <c r="E23" s="81"/>
      <c r="F23" s="82"/>
      <c r="G23" s="82"/>
      <c r="H23" s="125"/>
      <c r="I23" s="86"/>
      <c r="J23" s="87"/>
      <c r="K23" s="87"/>
      <c r="L23" s="87"/>
      <c r="M23" s="87"/>
      <c r="N23" s="89"/>
      <c r="O23" s="33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241" t="str">
        <f aca="false">IF(D23&lt;&gt;"",(30*(set!B$5)-D23)/(30*(set!B$5))*100,"")</f>
        <v/>
      </c>
      <c r="R23" s="117" t="str">
        <f aca="false" t="array" ref="R23:R23">IF(E23&lt;&gt;"",IF(O23&lt;1.85,"Выговор",IF(O23=1.85,"Выговор",IF(AND(O23&gt;1.85,O23&lt;3),"Предупреждение",IF(AND(O23&gt;3,O23&lt;4.65),"Нормально",IF(AND(O23&gt;4.65,O23&lt;5.1,E23:N23&gt;=4),"Благодарность","Нормально"))))),"")</f>
        <v/>
      </c>
      <c r="S23" s="118" t="n">
        <f aca="false">COUNTIF(E23:N23,2)+COUNTIF(E23:N23,1)+COUNTIF(E23:N23,0)</f>
        <v>0</v>
      </c>
    </row>
    <row r="24" customFormat="false" ht="15" hidden="false" customHeight="false" outlineLevel="0" collapsed="false">
      <c r="A24" s="45" t="s">
        <v>77</v>
      </c>
      <c r="B24" s="45"/>
      <c r="C24" s="45"/>
      <c r="D24" s="356"/>
      <c r="E24" s="134" t="e">
        <f aca="false">AVERAGE(E9:E23)</f>
        <v>#DIV/0!</v>
      </c>
      <c r="F24" s="134" t="e">
        <f aca="false">AVERAGE(F9:F23)</f>
        <v>#DIV/0!</v>
      </c>
      <c r="G24" s="134" t="e">
        <f aca="false">AVERAGE(G9:G23)</f>
        <v>#DIV/0!</v>
      </c>
      <c r="H24" s="134" t="e">
        <f aca="false">AVERAGE(H9:H23)</f>
        <v>#DIV/0!</v>
      </c>
      <c r="I24" s="134" t="e">
        <f aca="false">AVERAGE(I9:I23)</f>
        <v>#DIV/0!</v>
      </c>
      <c r="J24" s="134" t="e">
        <f aca="false">AVERAGE(J9:J23)</f>
        <v>#DIV/0!</v>
      </c>
      <c r="K24" s="134" t="e">
        <f aca="false">AVERAGE(K9:K23)</f>
        <v>#DIV/0!</v>
      </c>
      <c r="L24" s="134" t="e">
        <f aca="false">AVERAGE(L9:L23)</f>
        <v>#DIV/0!</v>
      </c>
      <c r="M24" s="134" t="e">
        <f aca="false">AVERAGE(M9:M23)</f>
        <v>#DIV/0!</v>
      </c>
      <c r="N24" s="134" t="e">
        <f aca="false">AVERAGE(N9:N23)</f>
        <v>#DIV/0!</v>
      </c>
      <c r="O24" s="47"/>
      <c r="P24" s="48"/>
      <c r="Q24" s="48"/>
      <c r="R24" s="48"/>
      <c r="S24" s="357"/>
    </row>
    <row r="25" customFormat="false" ht="15" hidden="false" customHeight="false" outlineLevel="0" collapsed="false">
      <c r="A25" s="45" t="s">
        <v>78</v>
      </c>
      <c r="B25" s="45"/>
      <c r="C25" s="45"/>
      <c r="D25" s="358"/>
      <c r="E25" s="137" t="e">
        <f aca="false">(COUNTIF(E9:E23,5)+COUNTIF(E9:E23,4)+COUNTIF(E9:E23,3))/$Q$29*100</f>
        <v>#DIV/0!</v>
      </c>
      <c r="F25" s="137" t="e">
        <f aca="false">(COUNTIF(F9:F23,5)+COUNTIF(F9:F23,4)+COUNTIF(F9:F23,3))/$Q$29*100</f>
        <v>#DIV/0!</v>
      </c>
      <c r="G25" s="137" t="e">
        <f aca="false">(COUNTIF(G9:G23,5)+COUNTIF(G9:G23,4)+COUNTIF(G9:G23,3))/$Q$29*100</f>
        <v>#DIV/0!</v>
      </c>
      <c r="H25" s="137" t="e">
        <f aca="false">(COUNTIF(H9:H23,5)+COUNTIF(H9:H23,4)+COUNTIF(H9:H23,3))/$Q$29*100</f>
        <v>#DIV/0!</v>
      </c>
      <c r="I25" s="137" t="e">
        <f aca="false">(COUNTIF(I9:I23,5)+COUNTIF(I9:I23,4)+COUNTIF(I9:I23,3))/$Q$29*100</f>
        <v>#DIV/0!</v>
      </c>
      <c r="J25" s="137" t="e">
        <f aca="false">(COUNTIF(J9:J23,5)+COUNTIF(J9:J23,4)+COUNTIF(J9:J23,3))/$Q$29*100</f>
        <v>#DIV/0!</v>
      </c>
      <c r="K25" s="137" t="e">
        <f aca="false">(COUNTIF(K9:K23,5)+COUNTIF(K9:K23,4)+COUNTIF(K9:K23,3))/$Q$29*100</f>
        <v>#DIV/0!</v>
      </c>
      <c r="L25" s="137" t="e">
        <f aca="false">(COUNTIF(L9:L23,5)+COUNTIF(L9:L23,4)+COUNTIF(L9:L23,3))/$Q$29*100</f>
        <v>#DIV/0!</v>
      </c>
      <c r="M25" s="137" t="e">
        <f aca="false">(COUNTIF(M9:M23,5)+COUNTIF(M9:M23,4)+COUNTIF(M9:M23,3))/$Q$29*100</f>
        <v>#DIV/0!</v>
      </c>
      <c r="N25" s="137" t="e">
        <f aca="false">(COUNTIF(N9:N23,5)+COUNTIF(N9:N23,4)+COUNTIF(N9:N23,3))/$Q$29*100</f>
        <v>#DIV/0!</v>
      </c>
      <c r="O25" s="47"/>
      <c r="P25" s="48"/>
      <c r="Q25" s="48"/>
      <c r="R25" s="48"/>
      <c r="S25" s="45"/>
    </row>
    <row r="26" customFormat="false" ht="15" hidden="false" customHeight="false" outlineLevel="0" collapsed="false">
      <c r="A26" s="45"/>
      <c r="B26" s="45"/>
      <c r="C26" s="45"/>
      <c r="D26" s="45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</row>
    <row r="27" customFormat="false" ht="25.35" hidden="false" customHeight="true" outlineLevel="0" collapsed="false">
      <c r="A27" s="45"/>
      <c r="B27" s="50"/>
      <c r="C27" s="50" t="s">
        <v>8</v>
      </c>
      <c r="D27" s="51" t="str">
        <f aca="false">IFERROR(AVERAGE(O9:O23),"")</f>
        <v/>
      </c>
      <c r="E27" s="52" t="s">
        <v>9</v>
      </c>
      <c r="F27" s="52"/>
      <c r="G27" s="53" t="str">
        <f aca="false">IFERROR(COUNTIF(P9:P23,"Успевает")/Q29*100,"")</f>
        <v/>
      </c>
      <c r="H27" s="54" t="s">
        <v>79</v>
      </c>
      <c r="I27" s="54"/>
      <c r="J27" s="55" t="str">
        <f aca="false">IFERROR(AVERAGE(Q9:Q23),"")</f>
        <v/>
      </c>
      <c r="K27" s="52"/>
      <c r="L27" s="52"/>
      <c r="M27" s="52"/>
      <c r="N27" s="52"/>
      <c r="O27" s="52"/>
      <c r="P27" s="52"/>
      <c r="Q27" s="158"/>
      <c r="R27" s="48"/>
      <c r="S27" s="48"/>
    </row>
    <row r="28" customFormat="false" ht="15" hidden="false" customHeight="false" outlineLevel="0" collapsed="false">
      <c r="A28" s="45"/>
      <c r="B28" s="50"/>
      <c r="C28" s="50"/>
      <c r="D28" s="50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45"/>
      <c r="P28" s="45"/>
      <c r="Q28" s="45"/>
      <c r="R28" s="193"/>
      <c r="S28" s="193"/>
    </row>
    <row r="29" customFormat="false" ht="15" hidden="false" customHeight="true" outlineLevel="0" collapsed="false">
      <c r="A29" s="50"/>
      <c r="B29" s="61" t="s">
        <v>81</v>
      </c>
      <c r="C29" s="61"/>
      <c r="D29" s="61"/>
      <c r="E29" s="61"/>
      <c r="F29" s="61"/>
      <c r="G29" s="61"/>
      <c r="H29" s="61"/>
      <c r="I29" s="61"/>
      <c r="J29" s="61"/>
      <c r="K29" s="61" t="s">
        <v>82</v>
      </c>
      <c r="L29" s="61"/>
      <c r="M29" s="61"/>
      <c r="N29" s="61"/>
      <c r="O29" s="57" t="s">
        <v>80</v>
      </c>
      <c r="P29" s="57"/>
      <c r="Q29" s="58" t="n">
        <f aca="false">SUM(Q30:Q31)</f>
        <v>0</v>
      </c>
      <c r="R29" s="64"/>
      <c r="S29" s="64"/>
    </row>
    <row r="30" customFormat="false" ht="15" hidden="false" customHeight="true" outlineLevel="0" collapsed="false">
      <c r="A30" s="50"/>
      <c r="B30" s="65" t="str">
        <f aca="false">$E$6</f>
        <v> Основы электроники</v>
      </c>
      <c r="C30" s="65"/>
      <c r="D30" s="65"/>
      <c r="E30" s="65"/>
      <c r="F30" s="65"/>
      <c r="G30" s="65"/>
      <c r="H30" s="65"/>
      <c r="I30" s="65"/>
      <c r="J30" s="65"/>
      <c r="K30" s="359"/>
      <c r="L30" s="359"/>
      <c r="M30" s="359"/>
      <c r="N30" s="359"/>
      <c r="O30" s="57" t="s">
        <v>83</v>
      </c>
      <c r="P30" s="57"/>
      <c r="Q30" s="58" t="n">
        <f aca="false">COUNTIF(P8:P23,"Успевает")</f>
        <v>0</v>
      </c>
      <c r="R30" s="99"/>
      <c r="S30" s="69"/>
    </row>
    <row r="31" customFormat="false" ht="15" hidden="false" customHeight="false" outlineLevel="0" collapsed="false">
      <c r="A31" s="50"/>
      <c r="B31" s="65" t="str">
        <f aca="false">$F$6</f>
        <v> Системное программирование</v>
      </c>
      <c r="C31" s="65"/>
      <c r="D31" s="65"/>
      <c r="E31" s="65"/>
      <c r="F31" s="65"/>
      <c r="G31" s="65"/>
      <c r="H31" s="65"/>
      <c r="I31" s="65"/>
      <c r="J31" s="65"/>
      <c r="K31" s="359"/>
      <c r="L31" s="359"/>
      <c r="M31" s="359"/>
      <c r="N31" s="359"/>
      <c r="O31" s="98" t="s">
        <v>84</v>
      </c>
      <c r="P31" s="98"/>
      <c r="Q31" s="58" t="n">
        <f aca="false">COUNTIF(P8:P23,"Не успевает")</f>
        <v>0</v>
      </c>
      <c r="R31" s="64"/>
      <c r="S31" s="72"/>
    </row>
    <row r="32" customFormat="false" ht="15" hidden="false" customHeight="false" outlineLevel="0" collapsed="false">
      <c r="A32" s="50"/>
      <c r="B32" s="65" t="str">
        <f aca="false">$G$6</f>
        <v> Физика</v>
      </c>
      <c r="C32" s="65"/>
      <c r="D32" s="65"/>
      <c r="E32" s="65"/>
      <c r="F32" s="65"/>
      <c r="G32" s="65"/>
      <c r="H32" s="65"/>
      <c r="I32" s="65"/>
      <c r="J32" s="65"/>
      <c r="K32" s="359"/>
      <c r="L32" s="359"/>
      <c r="M32" s="359"/>
      <c r="N32" s="359"/>
      <c r="O32" s="98" t="s">
        <v>85</v>
      </c>
      <c r="P32" s="98"/>
      <c r="Q32" s="58" t="n">
        <f aca="false">COUNTIF(R8:R23,"Благодарность")</f>
        <v>0</v>
      </c>
      <c r="R32" s="48"/>
      <c r="S32" s="45"/>
    </row>
    <row r="33" customFormat="false" ht="15" hidden="false" customHeight="false" outlineLevel="0" collapsed="false">
      <c r="A33" s="50"/>
      <c r="B33" s="65" t="str">
        <f aca="false">$H$6</f>
        <v> Языки программирования с управляемым кодом</v>
      </c>
      <c r="C33" s="65"/>
      <c r="D33" s="65"/>
      <c r="E33" s="65"/>
      <c r="F33" s="65"/>
      <c r="G33" s="65"/>
      <c r="H33" s="65"/>
      <c r="I33" s="65"/>
      <c r="J33" s="65"/>
      <c r="K33" s="359"/>
      <c r="L33" s="359"/>
      <c r="M33" s="359"/>
      <c r="N33" s="359"/>
      <c r="O33" s="184" t="s">
        <v>86</v>
      </c>
      <c r="P33" s="184"/>
      <c r="Q33" s="58" t="n">
        <f aca="false">COUNTIF(R8:R23,"Нормально")</f>
        <v>0</v>
      </c>
      <c r="R33" s="48"/>
      <c r="S33" s="45"/>
    </row>
    <row r="34" customFormat="false" ht="15" hidden="false" customHeight="false" outlineLevel="0" collapsed="false">
      <c r="A34" s="50"/>
      <c r="B34" s="65" t="str">
        <f aca="false">$I$6</f>
        <v>Дискретная математика</v>
      </c>
      <c r="C34" s="65"/>
      <c r="D34" s="65"/>
      <c r="E34" s="65"/>
      <c r="F34" s="65"/>
      <c r="G34" s="65"/>
      <c r="H34" s="65"/>
      <c r="I34" s="65"/>
      <c r="J34" s="65"/>
      <c r="K34" s="359"/>
      <c r="L34" s="359"/>
      <c r="M34" s="359"/>
      <c r="N34" s="359"/>
      <c r="O34" s="184" t="s">
        <v>87</v>
      </c>
      <c r="P34" s="184"/>
      <c r="Q34" s="58" t="n">
        <f aca="false">COUNTIF(R8:R23,"Предупреждение")</f>
        <v>0</v>
      </c>
      <c r="R34" s="48"/>
      <c r="S34" s="45"/>
    </row>
    <row r="35" customFormat="false" ht="15" hidden="false" customHeight="false" outlineLevel="0" collapsed="false">
      <c r="A35" s="50"/>
      <c r="B35" s="65" t="str">
        <f aca="false">$J$6</f>
        <v>Иностранный язык</v>
      </c>
      <c r="C35" s="65"/>
      <c r="D35" s="65"/>
      <c r="E35" s="65"/>
      <c r="F35" s="65"/>
      <c r="G35" s="65"/>
      <c r="H35" s="65"/>
      <c r="I35" s="65"/>
      <c r="J35" s="65"/>
      <c r="K35" s="359"/>
      <c r="L35" s="359"/>
      <c r="M35" s="359"/>
      <c r="N35" s="359"/>
      <c r="O35" s="184" t="s">
        <v>88</v>
      </c>
      <c r="P35" s="184"/>
      <c r="Q35" s="58" t="n">
        <f aca="false">COUNTIF(R8:R23,"Выговор")</f>
        <v>0</v>
      </c>
      <c r="R35" s="48"/>
      <c r="S35" s="45"/>
    </row>
    <row r="36" customFormat="false" ht="15" hidden="false" customHeight="false" outlineLevel="0" collapsed="false">
      <c r="A36" s="50"/>
      <c r="B36" s="65" t="str">
        <f aca="false">$K$6</f>
        <v> Теория информационных систем</v>
      </c>
      <c r="C36" s="65"/>
      <c r="D36" s="65"/>
      <c r="E36" s="65"/>
      <c r="F36" s="65"/>
      <c r="G36" s="65"/>
      <c r="H36" s="65"/>
      <c r="I36" s="65"/>
      <c r="J36" s="65"/>
      <c r="K36" s="359"/>
      <c r="L36" s="359"/>
      <c r="M36" s="359"/>
      <c r="N36" s="359"/>
      <c r="O36" s="185" t="s">
        <v>12</v>
      </c>
      <c r="P36" s="186"/>
      <c r="Q36" s="143" t="n">
        <f aca="false">SUM(S8:S23)</f>
        <v>0</v>
      </c>
      <c r="R36" s="48"/>
      <c r="S36" s="45"/>
    </row>
    <row r="37" customFormat="false" ht="15" hidden="false" customHeight="false" outlineLevel="0" collapsed="false">
      <c r="A37" s="50"/>
      <c r="B37" s="65" t="str">
        <f aca="false">$L$6</f>
        <v> Философия</v>
      </c>
      <c r="C37" s="65"/>
      <c r="D37" s="65"/>
      <c r="E37" s="65"/>
      <c r="F37" s="65"/>
      <c r="G37" s="65"/>
      <c r="H37" s="65"/>
      <c r="I37" s="65"/>
      <c r="J37" s="65"/>
      <c r="K37" s="359"/>
      <c r="L37" s="359"/>
      <c r="M37" s="359"/>
      <c r="N37" s="359"/>
      <c r="O37" s="67"/>
      <c r="P37" s="67"/>
      <c r="Q37" s="67"/>
      <c r="R37" s="48"/>
      <c r="S37" s="48"/>
    </row>
    <row r="38" customFormat="false" ht="15" hidden="false" customHeight="false" outlineLevel="0" collapsed="false">
      <c r="A38" s="50"/>
      <c r="B38" s="65" t="str">
        <f aca="false">$M$6</f>
        <v> Цифровые измерительные системы</v>
      </c>
      <c r="C38" s="65"/>
      <c r="D38" s="65"/>
      <c r="E38" s="65"/>
      <c r="F38" s="65"/>
      <c r="G38" s="65"/>
      <c r="H38" s="65"/>
      <c r="I38" s="65"/>
      <c r="J38" s="65"/>
      <c r="K38" s="359"/>
      <c r="L38" s="359"/>
      <c r="M38" s="359"/>
      <c r="N38" s="359"/>
      <c r="O38" s="67"/>
      <c r="P38" s="67"/>
      <c r="Q38" s="67"/>
      <c r="R38" s="48"/>
      <c r="S38" s="48"/>
    </row>
    <row r="39" customFormat="false" ht="15" hidden="false" customHeight="false" outlineLevel="0" collapsed="false">
      <c r="A39" s="50"/>
      <c r="B39" s="65" t="str">
        <f aca="false">$N$6</f>
        <v>Физическая культура и спорт </v>
      </c>
      <c r="C39" s="65"/>
      <c r="D39" s="65"/>
      <c r="E39" s="65"/>
      <c r="F39" s="65"/>
      <c r="G39" s="65"/>
      <c r="H39" s="65"/>
      <c r="I39" s="65"/>
      <c r="J39" s="65"/>
      <c r="K39" s="359"/>
      <c r="L39" s="359"/>
      <c r="M39" s="359"/>
      <c r="N39" s="359"/>
      <c r="O39" s="67"/>
      <c r="P39" s="67"/>
      <c r="Q39" s="67"/>
      <c r="R39" s="48"/>
      <c r="S39" s="48"/>
    </row>
    <row r="40" s="45" customFormat="true" ht="15" hidden="false" customHeight="false" outlineLevel="0" collapsed="false">
      <c r="A40" s="50"/>
      <c r="B40" s="197"/>
      <c r="C40" s="197"/>
      <c r="D40" s="197"/>
      <c r="E40" s="197"/>
      <c r="F40" s="197"/>
      <c r="G40" s="197"/>
      <c r="H40" s="197"/>
      <c r="I40" s="197"/>
      <c r="J40" s="197"/>
      <c r="K40" s="360"/>
      <c r="L40" s="360"/>
      <c r="M40" s="360"/>
      <c r="N40" s="360"/>
      <c r="O40" s="67"/>
      <c r="P40" s="67"/>
      <c r="Q40" s="67"/>
      <c r="R40" s="48"/>
      <c r="S40" s="48"/>
    </row>
    <row r="41" customFormat="false" ht="15" hidden="false" customHeight="false" outlineLevel="0" collapsed="false">
      <c r="A41" s="50"/>
      <c r="B41" s="177" t="s">
        <v>140</v>
      </c>
      <c r="C41" s="363" t="s">
        <v>881</v>
      </c>
      <c r="D41" s="73"/>
      <c r="E41" s="67"/>
      <c r="F41" s="52" t="s">
        <v>369</v>
      </c>
      <c r="G41" s="300" t="s">
        <v>792</v>
      </c>
      <c r="H41" s="52"/>
      <c r="I41" s="52"/>
      <c r="J41" s="52"/>
      <c r="K41" s="52"/>
      <c r="L41" s="50"/>
      <c r="M41" s="50"/>
      <c r="N41" s="50"/>
      <c r="O41" s="50"/>
      <c r="P41" s="50"/>
      <c r="Q41" s="48"/>
      <c r="R41" s="48"/>
      <c r="S41" s="48"/>
    </row>
    <row r="42" customFormat="false" ht="15" hidden="false" customHeight="false" outlineLevel="0" collapsed="false">
      <c r="A42" s="50"/>
      <c r="B42" s="52"/>
      <c r="C42" s="52"/>
      <c r="D42" s="52"/>
      <c r="E42" s="52"/>
      <c r="F42" s="52"/>
      <c r="G42" s="52"/>
      <c r="H42" s="52"/>
      <c r="I42" s="52"/>
      <c r="J42" s="50"/>
      <c r="K42" s="50"/>
      <c r="L42" s="50"/>
      <c r="M42" s="50"/>
      <c r="N42" s="50"/>
      <c r="O42" s="45"/>
      <c r="P42" s="45"/>
      <c r="Q42" s="45"/>
      <c r="R42" s="48"/>
      <c r="S42" s="48"/>
    </row>
    <row r="43" customFormat="false" ht="15" hidden="false" customHeight="false" outlineLevel="0" collapsed="false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45"/>
      <c r="P43" s="45"/>
      <c r="Q43" s="45"/>
      <c r="R43" s="48"/>
      <c r="S43" s="48"/>
    </row>
    <row r="44" customFormat="false" ht="15" hidden="false" customHeight="false" outlineLevel="0" collapsed="false">
      <c r="A44" s="50"/>
      <c r="B44" s="50" t="s">
        <v>93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45"/>
      <c r="P44" s="45"/>
      <c r="Q44" s="45"/>
      <c r="R44" s="48"/>
      <c r="S44" s="48"/>
    </row>
    <row r="45" customFormat="false" ht="15" hidden="false" customHeight="false" outlineLevel="0" collapsed="false">
      <c r="A45" s="50"/>
      <c r="B45" s="50" t="s">
        <v>94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45"/>
      <c r="P45" s="45"/>
      <c r="Q45" s="45"/>
      <c r="R45" s="48"/>
      <c r="S45" s="48"/>
    </row>
    <row r="46" customFormat="false" ht="15" hidden="false" customHeight="false" outlineLevel="0" collapsed="false">
      <c r="A46" s="50"/>
      <c r="B46" s="50" t="s">
        <v>95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45"/>
      <c r="P46" s="45"/>
      <c r="Q46" s="45"/>
      <c r="R46" s="48"/>
      <c r="S46" s="48"/>
    </row>
    <row r="47" customFormat="false" ht="15" hidden="false" customHeight="false" outlineLevel="0" collapsed="false">
      <c r="A47" s="50"/>
      <c r="B47" s="50" t="s">
        <v>96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45"/>
      <c r="P47" s="45"/>
      <c r="Q47" s="45"/>
      <c r="R47" s="48"/>
      <c r="S47" s="48"/>
    </row>
    <row r="48" customFormat="false" ht="15" hidden="false" customHeight="false" outlineLevel="0" collapsed="false">
      <c r="A48" s="50"/>
      <c r="B48" s="50" t="s">
        <v>97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45"/>
      <c r="P48" s="45"/>
      <c r="Q48" s="45"/>
      <c r="R48" s="48"/>
      <c r="S48" s="48"/>
    </row>
    <row r="49" customFormat="false" ht="15" hidden="false" customHeight="false" outlineLevel="0" collapsed="false">
      <c r="A49" s="50"/>
      <c r="B49" s="50" t="s">
        <v>98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45"/>
      <c r="P49" s="45"/>
      <c r="Q49" s="45"/>
      <c r="R49" s="48"/>
      <c r="S49" s="48"/>
    </row>
    <row r="50" customFormat="false" ht="15" hidden="false" customHeight="false" outlineLevel="0" collapsed="false">
      <c r="A50" s="50"/>
      <c r="B50" s="50" t="s">
        <v>99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48"/>
      <c r="R50" s="48"/>
      <c r="S50" s="48"/>
    </row>
  </sheetData>
  <mergeCells count="41">
    <mergeCell ref="E1:H1"/>
    <mergeCell ref="L2:Q2"/>
    <mergeCell ref="A3:R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H27:I27"/>
    <mergeCell ref="B29:J29"/>
    <mergeCell ref="K29:N29"/>
    <mergeCell ref="O29:P29"/>
    <mergeCell ref="B30:J30"/>
    <mergeCell ref="K30:N30"/>
    <mergeCell ref="O30:P30"/>
    <mergeCell ref="B31:J31"/>
    <mergeCell ref="K31:N31"/>
    <mergeCell ref="O31:P31"/>
    <mergeCell ref="B32:J32"/>
    <mergeCell ref="K32:N32"/>
    <mergeCell ref="O32:P32"/>
    <mergeCell ref="B33:J33"/>
    <mergeCell ref="K33:N33"/>
    <mergeCell ref="B34:J34"/>
    <mergeCell ref="K34:N34"/>
    <mergeCell ref="B35:J35"/>
    <mergeCell ref="K35:N35"/>
    <mergeCell ref="B36:J36"/>
    <mergeCell ref="K36:N36"/>
    <mergeCell ref="B37:J37"/>
    <mergeCell ref="K37:N37"/>
    <mergeCell ref="B38:J38"/>
    <mergeCell ref="K38:N38"/>
    <mergeCell ref="B39:J39"/>
    <mergeCell ref="K39:N39"/>
  </mergeCells>
  <conditionalFormatting sqref="E23:N2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4:O2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N1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N11 E13:N2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2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59"/>
  <sheetViews>
    <sheetView showFormulas="false" showGridLines="true" showRowColHeaders="true" showZeros="true" rightToLeft="false" tabSelected="false" showOutlineSymbols="true" defaultGridColor="true" view="normal" topLeftCell="A4" colorId="64" zoomScale="140" zoomScaleNormal="140" zoomScalePageLayoutView="100" workbookViewId="0">
      <selection pane="topLeft" activeCell="C4" activeCellId="0" sqref="C4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57"/>
    <col collapsed="false" customWidth="true" hidden="false" outlineLevel="0" max="3" min="3" style="0" width="21.71"/>
    <col collapsed="false" customWidth="true" hidden="false" outlineLevel="0" max="5" min="5" style="0" width="10"/>
    <col collapsed="false" customWidth="true" hidden="false" outlineLevel="0" max="7" min="7" style="0" width="10.71"/>
    <col collapsed="false" customWidth="true" hidden="false" outlineLevel="0" max="13" min="13" style="0" width="11.29"/>
    <col collapsed="false" customWidth="true" hidden="false" outlineLevel="0" max="16" min="16" style="0" width="11.43"/>
    <col collapsed="false" customWidth="true" hidden="false" outlineLevel="0" max="17" min="17" style="0" width="13.29"/>
    <col collapsed="false" customWidth="true" hidden="false" outlineLevel="0" max="18" min="18" style="0" width="7.15"/>
    <col collapsed="false" customWidth="true" hidden="false" outlineLevel="0" max="20" min="20" style="0" width="12.15"/>
    <col collapsed="false" customWidth="true" hidden="false" outlineLevel="0" max="21" min="21" style="0" width="7.57"/>
    <col collapsed="false" customWidth="true" hidden="false" outlineLevel="0" max="22" min="22" style="0" width="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M2" s="0" t="s">
        <v>1</v>
      </c>
      <c r="O2" s="72"/>
      <c r="P2" s="6" t="n">
        <f aca="false">set!B4</f>
        <v>45608</v>
      </c>
      <c r="Q2" s="364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ИУК2-51Б факультета ИУК МГТУ им. Н.Э. Баумана"</f>
        <v>Успеваемость студентов за 1 семестр 24/25 учебного года по группе ИУК2-51Б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12.5" hidden="false" customHeight="true" outlineLevel="0" collapsed="false">
      <c r="A6" s="8"/>
      <c r="B6" s="8"/>
      <c r="C6" s="8"/>
      <c r="D6" s="9"/>
      <c r="E6" s="339" t="s">
        <v>882</v>
      </c>
      <c r="F6" s="340" t="s">
        <v>883</v>
      </c>
      <c r="G6" s="340" t="s">
        <v>291</v>
      </c>
      <c r="H6" s="341" t="s">
        <v>884</v>
      </c>
      <c r="I6" s="339" t="s">
        <v>143</v>
      </c>
      <c r="J6" s="340" t="s">
        <v>885</v>
      </c>
      <c r="K6" s="340" t="s">
        <v>295</v>
      </c>
      <c r="L6" s="340" t="s">
        <v>296</v>
      </c>
      <c r="M6" s="342" t="s">
        <v>147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365" t="s">
        <v>299</v>
      </c>
      <c r="F7" s="366" t="s">
        <v>509</v>
      </c>
      <c r="G7" s="366" t="s">
        <v>299</v>
      </c>
      <c r="H7" s="367" t="s">
        <v>509</v>
      </c>
      <c r="I7" s="343" t="s">
        <v>27</v>
      </c>
      <c r="J7" s="344" t="s">
        <v>549</v>
      </c>
      <c r="K7" s="344" t="s">
        <v>175</v>
      </c>
      <c r="L7" s="344" t="s">
        <v>300</v>
      </c>
      <c r="M7" s="346" t="s">
        <v>176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886</v>
      </c>
      <c r="C8" s="368" t="s">
        <v>887</v>
      </c>
      <c r="D8" s="369"/>
      <c r="E8" s="370"/>
      <c r="F8" s="371"/>
      <c r="G8" s="371"/>
      <c r="H8" s="372"/>
      <c r="I8" s="370"/>
      <c r="J8" s="371"/>
      <c r="K8" s="371"/>
      <c r="L8" s="371"/>
      <c r="M8" s="372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s="45" customFormat="true" ht="15" hidden="false" customHeight="true" outlineLevel="0" collapsed="false">
      <c r="A9" s="37" t="n">
        <v>2</v>
      </c>
      <c r="B9" s="37" t="s">
        <v>888</v>
      </c>
      <c r="C9" s="37" t="s">
        <v>889</v>
      </c>
      <c r="D9" s="369"/>
      <c r="E9" s="373"/>
      <c r="F9" s="374"/>
      <c r="G9" s="374"/>
      <c r="H9" s="375"/>
      <c r="I9" s="373"/>
      <c r="J9" s="374"/>
      <c r="K9" s="374"/>
      <c r="L9" s="374"/>
      <c r="M9" s="376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7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890</v>
      </c>
      <c r="C10" s="37" t="s">
        <v>891</v>
      </c>
      <c r="D10" s="369"/>
      <c r="E10" s="373"/>
      <c r="F10" s="374"/>
      <c r="G10" s="374"/>
      <c r="H10" s="375"/>
      <c r="I10" s="373"/>
      <c r="J10" s="374"/>
      <c r="K10" s="374"/>
      <c r="L10" s="374"/>
      <c r="M10" s="376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7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892</v>
      </c>
      <c r="C11" s="37" t="s">
        <v>893</v>
      </c>
      <c r="D11" s="369"/>
      <c r="E11" s="373"/>
      <c r="F11" s="374"/>
      <c r="G11" s="374"/>
      <c r="H11" s="375"/>
      <c r="I11" s="373"/>
      <c r="J11" s="374"/>
      <c r="K11" s="374"/>
      <c r="L11" s="374"/>
      <c r="M11" s="376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7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6</v>
      </c>
      <c r="B12" s="37" t="s">
        <v>894</v>
      </c>
      <c r="C12" s="37" t="s">
        <v>895</v>
      </c>
      <c r="D12" s="369"/>
      <c r="E12" s="373"/>
      <c r="F12" s="374"/>
      <c r="G12" s="374"/>
      <c r="H12" s="375"/>
      <c r="I12" s="373"/>
      <c r="J12" s="374"/>
      <c r="K12" s="374"/>
      <c r="L12" s="374"/>
      <c r="M12" s="376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7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7</v>
      </c>
      <c r="B13" s="37" t="s">
        <v>896</v>
      </c>
      <c r="C13" s="37" t="s">
        <v>897</v>
      </c>
      <c r="D13" s="369"/>
      <c r="E13" s="373"/>
      <c r="F13" s="374"/>
      <c r="G13" s="374"/>
      <c r="H13" s="375"/>
      <c r="I13" s="373"/>
      <c r="J13" s="374"/>
      <c r="K13" s="374"/>
      <c r="L13" s="374"/>
      <c r="M13" s="376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7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8</v>
      </c>
      <c r="B14" s="37" t="s">
        <v>898</v>
      </c>
      <c r="C14" s="37" t="s">
        <v>899</v>
      </c>
      <c r="D14" s="369"/>
      <c r="E14" s="373"/>
      <c r="F14" s="374"/>
      <c r="G14" s="374"/>
      <c r="H14" s="375"/>
      <c r="I14" s="373"/>
      <c r="J14" s="374"/>
      <c r="K14" s="374"/>
      <c r="L14" s="374"/>
      <c r="M14" s="376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7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9</v>
      </c>
      <c r="B15" s="37" t="s">
        <v>900</v>
      </c>
      <c r="C15" s="37" t="s">
        <v>901</v>
      </c>
      <c r="D15" s="369"/>
      <c r="E15" s="373"/>
      <c r="F15" s="374"/>
      <c r="G15" s="374"/>
      <c r="H15" s="375"/>
      <c r="I15" s="373"/>
      <c r="J15" s="374"/>
      <c r="K15" s="374"/>
      <c r="L15" s="374"/>
      <c r="M15" s="376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7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36" t="n">
        <f aca="false">COUNTIF(E15:M15,2)+COUNTIF(E15:M15,1)+COUNTIF(E15:M15,0)</f>
        <v>0</v>
      </c>
    </row>
    <row r="16" s="45" customFormat="true" ht="15" hidden="false" customHeight="true" outlineLevel="0" collapsed="false">
      <c r="A16" s="37" t="n">
        <v>10</v>
      </c>
      <c r="B16" s="37" t="s">
        <v>902</v>
      </c>
      <c r="C16" s="37" t="s">
        <v>903</v>
      </c>
      <c r="D16" s="369"/>
      <c r="E16" s="373"/>
      <c r="F16" s="374"/>
      <c r="G16" s="374"/>
      <c r="H16" s="375"/>
      <c r="I16" s="373"/>
      <c r="J16" s="374"/>
      <c r="K16" s="374"/>
      <c r="L16" s="374"/>
      <c r="M16" s="376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7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11</v>
      </c>
      <c r="B17" s="37" t="s">
        <v>904</v>
      </c>
      <c r="C17" s="37" t="s">
        <v>905</v>
      </c>
      <c r="D17" s="369"/>
      <c r="E17" s="373"/>
      <c r="F17" s="374"/>
      <c r="G17" s="374"/>
      <c r="H17" s="375"/>
      <c r="I17" s="373"/>
      <c r="J17" s="374"/>
      <c r="K17" s="374"/>
      <c r="L17" s="374"/>
      <c r="M17" s="376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7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36" t="n">
        <f aca="false">COUNTIF(E17:M17,2)+COUNTIF(E17:M17,1)+COUNTIF(E17:M17,0)</f>
        <v>0</v>
      </c>
    </row>
    <row r="18" s="45" customFormat="true" ht="15" hidden="false" customHeight="true" outlineLevel="0" collapsed="false">
      <c r="A18" s="37" t="n">
        <v>12</v>
      </c>
      <c r="B18" s="37" t="s">
        <v>906</v>
      </c>
      <c r="C18" s="37" t="s">
        <v>907</v>
      </c>
      <c r="D18" s="369"/>
      <c r="E18" s="373"/>
      <c r="F18" s="374"/>
      <c r="G18" s="374"/>
      <c r="H18" s="375"/>
      <c r="I18" s="373"/>
      <c r="J18" s="374"/>
      <c r="K18" s="374"/>
      <c r="L18" s="374"/>
      <c r="M18" s="376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7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13</v>
      </c>
      <c r="B19" s="37" t="s">
        <v>908</v>
      </c>
      <c r="C19" s="37" t="s">
        <v>909</v>
      </c>
      <c r="D19" s="369"/>
      <c r="E19" s="373"/>
      <c r="F19" s="374"/>
      <c r="G19" s="374"/>
      <c r="H19" s="375"/>
      <c r="I19" s="373"/>
      <c r="J19" s="374"/>
      <c r="K19" s="374"/>
      <c r="L19" s="374"/>
      <c r="M19" s="376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7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14</v>
      </c>
      <c r="B20" s="37" t="s">
        <v>910</v>
      </c>
      <c r="C20" s="37" t="s">
        <v>911</v>
      </c>
      <c r="D20" s="369"/>
      <c r="E20" s="373"/>
      <c r="F20" s="374"/>
      <c r="G20" s="374"/>
      <c r="H20" s="375"/>
      <c r="I20" s="373"/>
      <c r="J20" s="374"/>
      <c r="K20" s="374"/>
      <c r="L20" s="374"/>
      <c r="M20" s="376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7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15</v>
      </c>
      <c r="B21" s="37" t="s">
        <v>912</v>
      </c>
      <c r="C21" s="37" t="s">
        <v>913</v>
      </c>
      <c r="D21" s="369"/>
      <c r="E21" s="373"/>
      <c r="F21" s="374"/>
      <c r="G21" s="374"/>
      <c r="H21" s="375"/>
      <c r="I21" s="373"/>
      <c r="J21" s="374"/>
      <c r="K21" s="374"/>
      <c r="L21" s="374"/>
      <c r="M21" s="376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7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16</v>
      </c>
      <c r="B22" s="37" t="s">
        <v>914</v>
      </c>
      <c r="C22" s="37" t="s">
        <v>915</v>
      </c>
      <c r="D22" s="369"/>
      <c r="E22" s="373"/>
      <c r="F22" s="374"/>
      <c r="G22" s="374"/>
      <c r="H22" s="375"/>
      <c r="I22" s="373"/>
      <c r="J22" s="374"/>
      <c r="K22" s="374"/>
      <c r="L22" s="374"/>
      <c r="M22" s="376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7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17</v>
      </c>
      <c r="B23" s="37" t="s">
        <v>916</v>
      </c>
      <c r="C23" s="37" t="s">
        <v>917</v>
      </c>
      <c r="D23" s="369"/>
      <c r="E23" s="373"/>
      <c r="F23" s="374"/>
      <c r="G23" s="374"/>
      <c r="H23" s="375"/>
      <c r="I23" s="373"/>
      <c r="J23" s="374"/>
      <c r="K23" s="374"/>
      <c r="L23" s="374"/>
      <c r="M23" s="376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7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18</v>
      </c>
      <c r="B24" s="37" t="s">
        <v>918</v>
      </c>
      <c r="C24" s="37" t="s">
        <v>919</v>
      </c>
      <c r="D24" s="369"/>
      <c r="E24" s="373"/>
      <c r="F24" s="374"/>
      <c r="G24" s="374"/>
      <c r="H24" s="375"/>
      <c r="I24" s="373"/>
      <c r="J24" s="374"/>
      <c r="K24" s="374"/>
      <c r="L24" s="374"/>
      <c r="M24" s="376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77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19</v>
      </c>
      <c r="B25" s="37" t="s">
        <v>920</v>
      </c>
      <c r="C25" s="37" t="s">
        <v>921</v>
      </c>
      <c r="D25" s="369"/>
      <c r="E25" s="373"/>
      <c r="F25" s="374"/>
      <c r="G25" s="374"/>
      <c r="H25" s="375"/>
      <c r="I25" s="373"/>
      <c r="J25" s="374"/>
      <c r="K25" s="374"/>
      <c r="L25" s="374"/>
      <c r="M25" s="376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77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36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20</v>
      </c>
      <c r="B26" s="37" t="s">
        <v>922</v>
      </c>
      <c r="C26" s="37" t="s">
        <v>923</v>
      </c>
      <c r="D26" s="369"/>
      <c r="E26" s="373"/>
      <c r="F26" s="374"/>
      <c r="G26" s="374"/>
      <c r="H26" s="375"/>
      <c r="I26" s="373"/>
      <c r="J26" s="374"/>
      <c r="K26" s="374"/>
      <c r="L26" s="374"/>
      <c r="M26" s="376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77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36" t="n">
        <f aca="false">COUNTIF(E26:M26,2)+COUNTIF(E26:M26,1)+COUNTIF(E26:M26,0)</f>
        <v>0</v>
      </c>
    </row>
    <row r="27" s="45" customFormat="true" ht="15" hidden="false" customHeight="true" outlineLevel="0" collapsed="false">
      <c r="A27" s="37" t="n">
        <v>21</v>
      </c>
      <c r="B27" s="37" t="s">
        <v>924</v>
      </c>
      <c r="C27" s="37" t="s">
        <v>925</v>
      </c>
      <c r="D27" s="369"/>
      <c r="E27" s="373"/>
      <c r="F27" s="374"/>
      <c r="G27" s="374"/>
      <c r="H27" s="375"/>
      <c r="I27" s="373"/>
      <c r="J27" s="374"/>
      <c r="K27" s="374"/>
      <c r="L27" s="374"/>
      <c r="M27" s="376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77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36" t="n">
        <f aca="false">COUNTIF(E27:M27,2)+COUNTIF(E27:M27,1)+COUNTIF(E27:M27,0)</f>
        <v>0</v>
      </c>
    </row>
    <row r="28" s="45" customFormat="true" ht="15" hidden="false" customHeight="true" outlineLevel="0" collapsed="false">
      <c r="A28" s="37" t="n">
        <v>22</v>
      </c>
      <c r="B28" s="37" t="s">
        <v>926</v>
      </c>
      <c r="C28" s="37" t="s">
        <v>927</v>
      </c>
      <c r="D28" s="369"/>
      <c r="E28" s="373"/>
      <c r="F28" s="374"/>
      <c r="G28" s="374"/>
      <c r="H28" s="375"/>
      <c r="I28" s="373"/>
      <c r="J28" s="374"/>
      <c r="K28" s="374"/>
      <c r="L28" s="374"/>
      <c r="M28" s="376"/>
      <c r="N28" s="33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77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36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23</v>
      </c>
      <c r="B29" s="37" t="s">
        <v>928</v>
      </c>
      <c r="C29" s="37" t="s">
        <v>929</v>
      </c>
      <c r="D29" s="369"/>
      <c r="E29" s="373"/>
      <c r="F29" s="374"/>
      <c r="G29" s="374"/>
      <c r="H29" s="375"/>
      <c r="I29" s="373"/>
      <c r="J29" s="374"/>
      <c r="K29" s="374"/>
      <c r="L29" s="374"/>
      <c r="M29" s="376"/>
      <c r="N29" s="33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77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36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24</v>
      </c>
      <c r="B30" s="37" t="s">
        <v>930</v>
      </c>
      <c r="C30" s="37" t="s">
        <v>931</v>
      </c>
      <c r="D30" s="369"/>
      <c r="E30" s="373"/>
      <c r="F30" s="374"/>
      <c r="G30" s="374"/>
      <c r="H30" s="375"/>
      <c r="I30" s="373"/>
      <c r="J30" s="374"/>
      <c r="K30" s="374"/>
      <c r="L30" s="374"/>
      <c r="M30" s="376"/>
      <c r="N30" s="33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77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36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25</v>
      </c>
      <c r="B31" s="37" t="s">
        <v>932</v>
      </c>
      <c r="C31" s="37" t="s">
        <v>933</v>
      </c>
      <c r="D31" s="369"/>
      <c r="E31" s="373"/>
      <c r="F31" s="374"/>
      <c r="G31" s="374"/>
      <c r="H31" s="375"/>
      <c r="I31" s="373"/>
      <c r="J31" s="374"/>
      <c r="K31" s="374"/>
      <c r="L31" s="374"/>
      <c r="M31" s="376"/>
      <c r="N31" s="33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77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36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26</v>
      </c>
      <c r="B32" s="37" t="s">
        <v>934</v>
      </c>
      <c r="C32" s="37" t="s">
        <v>935</v>
      </c>
      <c r="D32" s="369"/>
      <c r="E32" s="373"/>
      <c r="F32" s="374"/>
      <c r="G32" s="374"/>
      <c r="H32" s="375"/>
      <c r="I32" s="373"/>
      <c r="J32" s="374"/>
      <c r="K32" s="374"/>
      <c r="L32" s="374"/>
      <c r="M32" s="376"/>
      <c r="N32" s="33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77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36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27</v>
      </c>
      <c r="B33" s="37" t="s">
        <v>936</v>
      </c>
      <c r="C33" s="37" t="s">
        <v>937</v>
      </c>
      <c r="D33" s="369"/>
      <c r="E33" s="373"/>
      <c r="F33" s="374"/>
      <c r="G33" s="374"/>
      <c r="H33" s="375"/>
      <c r="I33" s="373"/>
      <c r="J33" s="374"/>
      <c r="K33" s="374"/>
      <c r="L33" s="374"/>
      <c r="M33" s="376"/>
      <c r="N33" s="33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77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36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28</v>
      </c>
      <c r="B34" s="37" t="s">
        <v>938</v>
      </c>
      <c r="C34" s="37" t="s">
        <v>939</v>
      </c>
      <c r="D34" s="369"/>
      <c r="E34" s="373"/>
      <c r="F34" s="374"/>
      <c r="G34" s="374"/>
      <c r="H34" s="375"/>
      <c r="I34" s="373"/>
      <c r="J34" s="374"/>
      <c r="K34" s="374"/>
      <c r="L34" s="374"/>
      <c r="M34" s="376"/>
      <c r="N34" s="33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77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36" t="n">
        <f aca="false">COUNTIF(E34:M34,2)+COUNTIF(E34:M34,1)+COUNTIF(E34:M34,0)</f>
        <v>0</v>
      </c>
    </row>
    <row r="35" customFormat="false" ht="15" hidden="false" customHeight="true" outlineLevel="0" collapsed="false">
      <c r="A35" s="0" t="s">
        <v>77</v>
      </c>
      <c r="D35" s="209"/>
      <c r="E35" s="210" t="e">
        <f aca="false">AVERAGE(E6:E34)</f>
        <v>#DIV/0!</v>
      </c>
      <c r="F35" s="210" t="e">
        <f aca="false">AVERAGE(F6:F34)</f>
        <v>#DIV/0!</v>
      </c>
      <c r="G35" s="210" t="e">
        <f aca="false">AVERAGE(G6:G34)</f>
        <v>#DIV/0!</v>
      </c>
      <c r="H35" s="210" t="e">
        <f aca="false">AVERAGE(H6:H34)</f>
        <v>#DIV/0!</v>
      </c>
      <c r="I35" s="210" t="e">
        <f aca="false">AVERAGE(I6:I34)</f>
        <v>#DIV/0!</v>
      </c>
      <c r="J35" s="210" t="e">
        <f aca="false">AVERAGE(J6:J34)</f>
        <v>#DIV/0!</v>
      </c>
      <c r="K35" s="210" t="e">
        <f aca="false">AVERAGE(K6:K34)</f>
        <v>#DIV/0!</v>
      </c>
      <c r="L35" s="210" t="e">
        <f aca="false">AVERAGE(L6:L34)</f>
        <v>#DIV/0!</v>
      </c>
      <c r="M35" s="210" t="e">
        <f aca="false">AVERAGE(M6:M34)</f>
        <v>#DIV/0!</v>
      </c>
      <c r="N35" s="47"/>
      <c r="O35" s="48"/>
      <c r="P35" s="48"/>
      <c r="Q35" s="48"/>
    </row>
    <row r="36" customFormat="false" ht="15" hidden="false" customHeight="true" outlineLevel="0" collapsed="false">
      <c r="A36" s="0" t="s">
        <v>78</v>
      </c>
      <c r="D36" s="209"/>
      <c r="E36" s="137" t="e">
        <f aca="false">(COUNTIF(E8:E34,5)+COUNTIF(E8:E34,4)+COUNTIF(E8:E34,3))/$P$39*100</f>
        <v>#DIV/0!</v>
      </c>
      <c r="F36" s="137" t="e">
        <f aca="false">(COUNTIF(F8:F34,5)+COUNTIF(F8:F34,4)+COUNTIF(F8:F34,3))/$P$39*100</f>
        <v>#DIV/0!</v>
      </c>
      <c r="G36" s="137" t="e">
        <f aca="false">(COUNTIF(G8:G34,5)+COUNTIF(G8:G34,4)+COUNTIF(G8:G34,3))/$P$39*100</f>
        <v>#DIV/0!</v>
      </c>
      <c r="H36" s="137" t="e">
        <f aca="false">(COUNTIF(H8:H34,5)+COUNTIF(H8:H34,4)+COUNTIF(H8:H34,3))/$P$39*100</f>
        <v>#DIV/0!</v>
      </c>
      <c r="I36" s="137" t="e">
        <f aca="false">(COUNTIF(I8:I34,5)+COUNTIF(I8:I34,4)+COUNTIF(I8:I34,3))/$P$39*100</f>
        <v>#DIV/0!</v>
      </c>
      <c r="J36" s="137" t="e">
        <f aca="false">(COUNTIF(J8:J34,5)+COUNTIF(J8:J34,4)+COUNTIF(J8:J34,3))/$P$39*100</f>
        <v>#DIV/0!</v>
      </c>
      <c r="K36" s="137" t="e">
        <f aca="false">(COUNTIF(K8:K34,5)+COUNTIF(K8:K34,4)+COUNTIF(K8:K34,3))/$P$39*100</f>
        <v>#DIV/0!</v>
      </c>
      <c r="L36" s="137" t="e">
        <f aca="false">(COUNTIF(L8:L34,5)+COUNTIF(L8:L34,4)+COUNTIF(L8:L34,3))/$P$39*100</f>
        <v>#DIV/0!</v>
      </c>
      <c r="M36" s="137" t="e">
        <f aca="false">(COUNTIF(M8:M34,5)+COUNTIF(M8:M34,4)+COUNTIF(M8:M34,3))/$P$39*100</f>
        <v>#DIV/0!</v>
      </c>
      <c r="N36" s="47"/>
      <c r="O36" s="48"/>
      <c r="P36" s="48"/>
      <c r="Q36" s="48"/>
    </row>
    <row r="37" customFormat="false" ht="15" hidden="false" customHeight="true" outlineLevel="0" collapsed="false"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</row>
    <row r="38" customFormat="false" ht="15" hidden="false" customHeight="true" outlineLevel="0" collapsed="false">
      <c r="B38" s="50"/>
      <c r="C38" s="50" t="s">
        <v>8</v>
      </c>
      <c r="D38" s="51" t="str">
        <f aca="false">IFERROR(AVERAGE(N8:N34),"")</f>
        <v/>
      </c>
      <c r="E38" s="52" t="s">
        <v>9</v>
      </c>
      <c r="F38" s="52"/>
      <c r="G38" s="53" t="str">
        <f aca="false">IFERROR(COUNTIF(O8:O34,"Успевает")/P39*100,"")</f>
        <v/>
      </c>
      <c r="H38" s="54" t="s">
        <v>79</v>
      </c>
      <c r="I38" s="54"/>
      <c r="J38" s="55" t="str">
        <f aca="false">IFERROR(AVERAGE(P8:P34),"")</f>
        <v/>
      </c>
      <c r="K38" s="52"/>
      <c r="L38" s="52"/>
      <c r="M38" s="52"/>
      <c r="N38" s="52"/>
      <c r="O38" s="52"/>
      <c r="P38" s="52"/>
      <c r="Q38" s="158"/>
      <c r="R38" s="48"/>
      <c r="S38" s="48"/>
      <c r="T38" s="48"/>
    </row>
    <row r="39" customFormat="false" ht="15" hidden="false" customHeight="true" outlineLevel="0" collapsed="false">
      <c r="B39" s="50"/>
      <c r="C39" s="50"/>
      <c r="D39" s="50"/>
      <c r="E39" s="56"/>
      <c r="F39" s="56"/>
      <c r="G39" s="56"/>
      <c r="H39" s="56"/>
      <c r="I39" s="56"/>
      <c r="J39" s="56"/>
      <c r="K39" s="56"/>
      <c r="L39" s="56"/>
      <c r="M39" s="56"/>
      <c r="N39" s="57" t="s">
        <v>80</v>
      </c>
      <c r="O39" s="57"/>
      <c r="P39" s="58" t="n">
        <f aca="false">SUM(P40:P41)</f>
        <v>0</v>
      </c>
      <c r="Q39" s="193"/>
      <c r="R39" s="59"/>
    </row>
    <row r="40" customFormat="false" ht="15" hidden="false" customHeight="true" outlineLevel="0" collapsed="false">
      <c r="A40" s="50"/>
      <c r="B40" s="61" t="s">
        <v>81</v>
      </c>
      <c r="C40" s="61"/>
      <c r="D40" s="61"/>
      <c r="E40" s="61"/>
      <c r="F40" s="61"/>
      <c r="G40" s="61"/>
      <c r="H40" s="61"/>
      <c r="I40" s="61"/>
      <c r="J40" s="61" t="s">
        <v>82</v>
      </c>
      <c r="K40" s="61"/>
      <c r="L40" s="61"/>
      <c r="M40" s="62"/>
      <c r="N40" s="57" t="s">
        <v>83</v>
      </c>
      <c r="O40" s="57"/>
      <c r="P40" s="58" t="n">
        <f aca="false">COUNTIF(O8:O34,"Успевает")</f>
        <v>0</v>
      </c>
      <c r="Q40" s="193"/>
      <c r="R40" s="64"/>
    </row>
    <row r="41" customFormat="false" ht="15" hidden="false" customHeight="true" outlineLevel="0" collapsed="false">
      <c r="A41" s="50"/>
      <c r="B41" s="65" t="str">
        <f aca="false">$E$6</f>
        <v> Операционные системы</v>
      </c>
      <c r="C41" s="65"/>
      <c r="D41" s="65"/>
      <c r="E41" s="65"/>
      <c r="F41" s="65"/>
      <c r="G41" s="65"/>
      <c r="H41" s="65"/>
      <c r="I41" s="65"/>
      <c r="J41" s="377"/>
      <c r="K41" s="377"/>
      <c r="L41" s="377"/>
      <c r="M41" s="67"/>
      <c r="N41" s="98" t="s">
        <v>84</v>
      </c>
      <c r="O41" s="98"/>
      <c r="P41" s="58" t="n">
        <f aca="false">COUNTIF(O8:O34,"Не успевает")</f>
        <v>0</v>
      </c>
      <c r="Q41" s="378"/>
      <c r="R41" s="69"/>
    </row>
    <row r="42" customFormat="false" ht="15" hidden="false" customHeight="true" outlineLevel="0" collapsed="false">
      <c r="A42" s="50"/>
      <c r="B42" s="65" t="str">
        <f aca="false">$F$6</f>
        <v> Платформы виртуальной реальности</v>
      </c>
      <c r="C42" s="65"/>
      <c r="D42" s="65"/>
      <c r="E42" s="65"/>
      <c r="F42" s="65"/>
      <c r="G42" s="65"/>
      <c r="H42" s="65"/>
      <c r="I42" s="65"/>
      <c r="J42" s="377"/>
      <c r="K42" s="377"/>
      <c r="L42" s="377"/>
      <c r="M42" s="67"/>
      <c r="N42" s="98" t="s">
        <v>85</v>
      </c>
      <c r="O42" s="98"/>
      <c r="P42" s="58" t="n">
        <f aca="false">COUNTIF(Q8:Q34,"Благодарность")</f>
        <v>0</v>
      </c>
      <c r="Q42" s="379"/>
      <c r="R42" s="72"/>
    </row>
    <row r="43" customFormat="false" ht="15" hidden="false" customHeight="true" outlineLevel="0" collapsed="false">
      <c r="A43" s="50"/>
      <c r="B43" s="65" t="str">
        <f aca="false">$G$6</f>
        <v> Сети и телекоммуникации</v>
      </c>
      <c r="C43" s="65"/>
      <c r="D43" s="65"/>
      <c r="E43" s="65"/>
      <c r="F43" s="65"/>
      <c r="G43" s="65"/>
      <c r="H43" s="65"/>
      <c r="I43" s="65"/>
      <c r="J43" s="377"/>
      <c r="K43" s="377"/>
      <c r="L43" s="377"/>
      <c r="M43" s="67"/>
      <c r="N43" s="98" t="s">
        <v>86</v>
      </c>
      <c r="O43" s="98"/>
      <c r="P43" s="58" t="n">
        <f aca="false">COUNTIF(Q8:Q34,"Нормально")</f>
        <v>0</v>
      </c>
    </row>
    <row r="44" customFormat="false" ht="15" hidden="false" customHeight="true" outlineLevel="0" collapsed="false">
      <c r="A44" s="50"/>
      <c r="B44" s="65" t="str">
        <f aca="false">$H$6</f>
        <v> Функциональные узлы и компоненты
информационно-вычислительных систем</v>
      </c>
      <c r="C44" s="65"/>
      <c r="D44" s="65"/>
      <c r="E44" s="65"/>
      <c r="F44" s="65"/>
      <c r="G44" s="65"/>
      <c r="H44" s="65"/>
      <c r="I44" s="65"/>
      <c r="J44" s="377"/>
      <c r="K44" s="377"/>
      <c r="L44" s="377"/>
      <c r="M44" s="67"/>
      <c r="N44" s="98" t="s">
        <v>87</v>
      </c>
      <c r="O44" s="98"/>
      <c r="P44" s="58" t="n">
        <f aca="false">COUNTIF(Q8:Q34,"Предупреждение")</f>
        <v>0</v>
      </c>
    </row>
    <row r="45" customFormat="false" ht="15" hidden="false" customHeight="true" outlineLevel="0" collapsed="false">
      <c r="A45" s="50"/>
      <c r="B45" s="65" t="str">
        <f aca="false">$I$6</f>
        <v> Иностранный язык</v>
      </c>
      <c r="C45" s="65"/>
      <c r="D45" s="65"/>
      <c r="E45" s="65"/>
      <c r="F45" s="65"/>
      <c r="G45" s="65"/>
      <c r="H45" s="65"/>
      <c r="I45" s="65"/>
      <c r="J45" s="377"/>
      <c r="K45" s="377"/>
      <c r="L45" s="377"/>
      <c r="M45" s="67"/>
      <c r="N45" s="98" t="s">
        <v>88</v>
      </c>
      <c r="O45" s="98"/>
      <c r="P45" s="58" t="n">
        <f aca="false">COUNTIF(Q8:Q34,"Выговор")</f>
        <v>0</v>
      </c>
    </row>
    <row r="46" customFormat="false" ht="15" hidden="false" customHeight="true" outlineLevel="0" collapsed="false">
      <c r="A46" s="50"/>
      <c r="B46" s="65" t="str">
        <f aca="false">$J$6</f>
        <v> Разработка Веб-приложений (к.п.)</v>
      </c>
      <c r="C46" s="65"/>
      <c r="D46" s="65"/>
      <c r="E46" s="65"/>
      <c r="F46" s="65"/>
      <c r="G46" s="65"/>
      <c r="H46" s="65"/>
      <c r="I46" s="65"/>
      <c r="J46" s="377"/>
      <c r="K46" s="377"/>
      <c r="L46" s="377"/>
      <c r="M46" s="67"/>
      <c r="N46" s="142" t="s">
        <v>539</v>
      </c>
      <c r="O46" s="142"/>
      <c r="P46" s="380" t="n">
        <f aca="false">SUM(R8:R34)</f>
        <v>0</v>
      </c>
      <c r="Q46" s="67"/>
      <c r="R46" s="67"/>
      <c r="S46" s="48"/>
      <c r="T46" s="48"/>
    </row>
    <row r="47" customFormat="false" ht="15" hidden="false" customHeight="true" outlineLevel="0" collapsed="false">
      <c r="A47" s="50"/>
      <c r="B47" s="65" t="str">
        <f aca="false">$K$6</f>
        <v> Социология</v>
      </c>
      <c r="C47" s="65"/>
      <c r="D47" s="65"/>
      <c r="E47" s="65"/>
      <c r="F47" s="65"/>
      <c r="G47" s="65"/>
      <c r="H47" s="65"/>
      <c r="I47" s="65"/>
      <c r="J47" s="377"/>
      <c r="K47" s="377"/>
      <c r="L47" s="377"/>
      <c r="M47" s="67"/>
      <c r="N47" s="67"/>
      <c r="O47" s="67"/>
      <c r="P47" s="67"/>
      <c r="Q47" s="67"/>
      <c r="R47" s="67"/>
      <c r="S47" s="48"/>
      <c r="T47" s="48"/>
    </row>
    <row r="48" customFormat="false" ht="15" hidden="false" customHeight="true" outlineLevel="0" collapsed="false">
      <c r="A48" s="50"/>
      <c r="B48" s="65" t="str">
        <f aca="false">$L$6</f>
        <v> Экология</v>
      </c>
      <c r="C48" s="65"/>
      <c r="D48" s="65"/>
      <c r="E48" s="65"/>
      <c r="F48" s="65"/>
      <c r="G48" s="65"/>
      <c r="H48" s="65"/>
      <c r="I48" s="65"/>
      <c r="J48" s="377"/>
      <c r="K48" s="377"/>
      <c r="L48" s="377"/>
      <c r="M48" s="67"/>
      <c r="N48" s="67"/>
      <c r="O48" s="67"/>
      <c r="P48" s="67"/>
      <c r="Q48" s="67"/>
      <c r="R48" s="67"/>
      <c r="S48" s="48"/>
      <c r="T48" s="48"/>
    </row>
    <row r="49" customFormat="false" ht="15" hidden="false" customHeight="true" outlineLevel="0" collapsed="false">
      <c r="A49" s="50"/>
      <c r="B49" s="65" t="str">
        <f aca="false">$M$6</f>
        <v>Физическая культура и спорт</v>
      </c>
      <c r="C49" s="65"/>
      <c r="D49" s="65"/>
      <c r="E49" s="65"/>
      <c r="F49" s="65"/>
      <c r="G49" s="65"/>
      <c r="H49" s="65"/>
      <c r="I49" s="65"/>
      <c r="J49" s="377"/>
      <c r="K49" s="377"/>
      <c r="L49" s="377"/>
      <c r="M49" s="67"/>
      <c r="N49" s="67"/>
      <c r="O49" s="67"/>
      <c r="P49" s="67"/>
      <c r="Q49" s="67"/>
      <c r="R49" s="67"/>
      <c r="S49" s="48"/>
      <c r="T49" s="48"/>
    </row>
    <row r="50" customFormat="false" ht="15" hidden="false" customHeight="true" outlineLevel="0" collapsed="false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48"/>
      <c r="R50" s="48"/>
      <c r="S50" s="48"/>
      <c r="T50" s="48"/>
    </row>
    <row r="51" customFormat="false" ht="15" hidden="false" customHeight="true" outlineLevel="0" collapsed="false">
      <c r="A51" s="50"/>
      <c r="B51" s="361" t="s">
        <v>405</v>
      </c>
      <c r="C51" s="327" t="s">
        <v>940</v>
      </c>
      <c r="D51" s="327"/>
      <c r="E51" s="67"/>
      <c r="F51" s="379" t="s">
        <v>369</v>
      </c>
      <c r="G51" s="381" t="s">
        <v>941</v>
      </c>
      <c r="H51" s="52"/>
      <c r="I51" s="52"/>
      <c r="J51" s="52"/>
      <c r="K51" s="52"/>
      <c r="L51" s="50"/>
      <c r="M51" s="50"/>
      <c r="N51" s="50"/>
      <c r="O51" s="50"/>
      <c r="P51" s="50"/>
      <c r="Q51" s="48"/>
      <c r="R51" s="48"/>
      <c r="S51" s="48"/>
      <c r="T51" s="48"/>
    </row>
    <row r="52" customFormat="false" ht="15" hidden="false" customHeight="tru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48"/>
      <c r="R52" s="48"/>
      <c r="S52" s="48"/>
      <c r="T52" s="48"/>
    </row>
    <row r="53" customFormat="false" ht="15" hidden="false" customHeight="true" outlineLevel="0" collapsed="false">
      <c r="A53" s="50"/>
      <c r="B53" s="197" t="s">
        <v>93</v>
      </c>
      <c r="C53" s="197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48"/>
      <c r="R53" s="48"/>
      <c r="S53" s="48"/>
      <c r="T53" s="48"/>
    </row>
    <row r="54" customFormat="false" ht="15" hidden="false" customHeight="true" outlineLevel="0" collapsed="false">
      <c r="A54" s="50"/>
      <c r="B54" s="74" t="s">
        <v>94</v>
      </c>
      <c r="C54" s="74"/>
      <c r="D54" s="74"/>
      <c r="E54" s="74"/>
      <c r="F54" s="74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48"/>
      <c r="R54" s="48"/>
      <c r="S54" s="48"/>
      <c r="T54" s="48"/>
    </row>
    <row r="55" customFormat="false" ht="15" hidden="false" customHeight="true" outlineLevel="0" collapsed="false">
      <c r="A55" s="50"/>
      <c r="B55" s="74" t="s">
        <v>95</v>
      </c>
      <c r="C55" s="74"/>
      <c r="D55" s="74"/>
      <c r="E55" s="74"/>
      <c r="F55" s="74"/>
      <c r="G55" s="74"/>
      <c r="H55" s="50"/>
      <c r="I55" s="50"/>
      <c r="J55" s="50"/>
      <c r="K55" s="50"/>
      <c r="L55" s="50"/>
      <c r="M55" s="50"/>
      <c r="N55" s="50"/>
      <c r="O55" s="50"/>
      <c r="P55" s="50"/>
      <c r="Q55" s="48"/>
      <c r="R55" s="48"/>
      <c r="S55" s="48"/>
      <c r="T55" s="48"/>
    </row>
    <row r="56" customFormat="false" ht="15" hidden="false" customHeight="true" outlineLevel="0" collapsed="false">
      <c r="A56" s="50"/>
      <c r="B56" s="52" t="s">
        <v>96</v>
      </c>
      <c r="C56" s="52"/>
      <c r="D56" s="52"/>
      <c r="E56" s="52"/>
      <c r="F56" s="52"/>
      <c r="G56" s="52"/>
      <c r="H56" s="50"/>
      <c r="I56" s="50"/>
      <c r="J56" s="50"/>
      <c r="K56" s="50"/>
      <c r="L56" s="50"/>
      <c r="M56" s="50"/>
      <c r="N56" s="50"/>
      <c r="O56" s="50"/>
      <c r="P56" s="50"/>
      <c r="Q56" s="48"/>
      <c r="R56" s="48"/>
      <c r="S56" s="48"/>
      <c r="T56" s="48"/>
    </row>
    <row r="57" customFormat="false" ht="15" hidden="false" customHeight="true" outlineLevel="0" collapsed="false">
      <c r="A57" s="50"/>
      <c r="B57" s="74" t="s">
        <v>97</v>
      </c>
      <c r="C57" s="74"/>
      <c r="D57" s="74"/>
      <c r="E57" s="74"/>
      <c r="F57" s="74"/>
      <c r="G57" s="74"/>
      <c r="H57" s="50"/>
      <c r="I57" s="50"/>
      <c r="J57" s="50"/>
      <c r="K57" s="50"/>
      <c r="L57" s="50"/>
      <c r="M57" s="50"/>
      <c r="N57" s="50"/>
      <c r="O57" s="50"/>
      <c r="P57" s="50"/>
      <c r="Q57" s="48"/>
      <c r="R57" s="48"/>
      <c r="S57" s="48"/>
      <c r="T57" s="48"/>
    </row>
    <row r="58" customFormat="false" ht="15" hidden="false" customHeight="true" outlineLevel="0" collapsed="false">
      <c r="A58" s="50"/>
      <c r="B58" s="74" t="s">
        <v>98</v>
      </c>
      <c r="C58" s="74"/>
      <c r="D58" s="74"/>
      <c r="E58" s="74"/>
      <c r="F58" s="74"/>
      <c r="G58" s="74"/>
      <c r="H58" s="74"/>
      <c r="I58" s="74"/>
      <c r="J58" s="50"/>
      <c r="K58" s="50"/>
      <c r="L58" s="50"/>
      <c r="M58" s="50"/>
      <c r="N58" s="50"/>
      <c r="O58" s="50"/>
      <c r="P58" s="50"/>
      <c r="Q58" s="48"/>
      <c r="R58" s="48"/>
      <c r="S58" s="48"/>
      <c r="T58" s="48"/>
    </row>
    <row r="59" customFormat="false" ht="15" hidden="false" customHeight="true" outlineLevel="0" collapsed="false">
      <c r="A59" s="50"/>
      <c r="B59" s="74" t="s">
        <v>99</v>
      </c>
      <c r="C59" s="74"/>
      <c r="D59" s="74"/>
      <c r="E59" s="74"/>
      <c r="F59" s="74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48"/>
      <c r="R59" s="48"/>
      <c r="S59" s="48"/>
      <c r="T59" s="48"/>
    </row>
  </sheetData>
  <mergeCells count="49">
    <mergeCell ref="E1:H1"/>
    <mergeCell ref="A3:P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8:I38"/>
    <mergeCell ref="N39:O39"/>
    <mergeCell ref="B40:I40"/>
    <mergeCell ref="J40:L40"/>
    <mergeCell ref="N40:O40"/>
    <mergeCell ref="B41:I41"/>
    <mergeCell ref="J41:L41"/>
    <mergeCell ref="N41:O41"/>
    <mergeCell ref="B42:I42"/>
    <mergeCell ref="J42:L42"/>
    <mergeCell ref="N42:O42"/>
    <mergeCell ref="B43:I43"/>
    <mergeCell ref="J43:L43"/>
    <mergeCell ref="N43:O43"/>
    <mergeCell ref="B44:I44"/>
    <mergeCell ref="J44:L44"/>
    <mergeCell ref="N44:O44"/>
    <mergeCell ref="B45:I45"/>
    <mergeCell ref="J45:L45"/>
    <mergeCell ref="N45:O45"/>
    <mergeCell ref="B46:I46"/>
    <mergeCell ref="J46:L46"/>
    <mergeCell ref="N46:O46"/>
    <mergeCell ref="B47:I47"/>
    <mergeCell ref="J47:L47"/>
    <mergeCell ref="B48:I48"/>
    <mergeCell ref="J48:L48"/>
    <mergeCell ref="B49:I49"/>
    <mergeCell ref="J49:L49"/>
    <mergeCell ref="C51:D51"/>
    <mergeCell ref="B53:C53"/>
    <mergeCell ref="B54:F54"/>
    <mergeCell ref="B55:G55"/>
    <mergeCell ref="B57:G57"/>
    <mergeCell ref="B58:I58"/>
    <mergeCell ref="B59:F59"/>
  </mergeCells>
  <conditionalFormatting sqref="K3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3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2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33:K34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3:E34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33:F34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3:G34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1:K34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1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1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1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1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2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7:E18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7:G18">
    <cfRule type="colorScale" priority="2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:K13">
    <cfRule type="colorScale" priority="2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E13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2:F13">
    <cfRule type="colorScale" priority="31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13">
    <cfRule type="colorScale" priority="33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0:F20">
    <cfRule type="colorScale" priority="35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0">
    <cfRule type="colorScale" priority="3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2:M13">
    <cfRule type="colorScale" priority="38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9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1:M11">
    <cfRule type="colorScale" priority="41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2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3:M34">
    <cfRule type="colorScale" priority="44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5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2:M32">
    <cfRule type="colorScale" priority="47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8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4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5:N36">
    <cfRule type="colorScale" priority="5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1:M34">
    <cfRule type="colorScale" priority="5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4">
    <cfRule type="colorScale" priority="5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K30">
    <cfRule type="colorScale" priority="5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M30">
    <cfRule type="colorScale" priority="5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58"/>
  <sheetViews>
    <sheetView showFormulas="false" showGridLines="true" showRowColHeaders="true" showZeros="true" rightToLeft="false" tabSelected="false" showOutlineSymbols="true" defaultGridColor="true" view="normal" topLeftCell="A23" colorId="64" zoomScale="140" zoomScaleNormal="140" zoomScalePageLayoutView="100" workbookViewId="0">
      <selection pane="topLeft" activeCell="C51" activeCellId="0" sqref="C51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57"/>
    <col collapsed="false" customWidth="true" hidden="false" outlineLevel="0" max="2" min="2" style="0" width="12.15"/>
    <col collapsed="false" customWidth="true" hidden="false" outlineLevel="0" max="3" min="3" style="0" width="16.85"/>
    <col collapsed="false" customWidth="true" hidden="false" outlineLevel="0" max="4" min="4" style="0" width="6.71"/>
    <col collapsed="false" customWidth="true" hidden="false" outlineLevel="0" max="5" min="5" style="0" width="10"/>
    <col collapsed="false" customWidth="true" hidden="false" outlineLevel="0" max="13" min="13" style="0" width="9.86"/>
    <col collapsed="false" customWidth="true" hidden="false" outlineLevel="0" max="16" min="16" style="0" width="11.43"/>
    <col collapsed="false" customWidth="true" hidden="false" outlineLevel="0" max="17" min="17" style="0" width="14.14"/>
    <col collapsed="false" customWidth="true" hidden="false" outlineLevel="0" max="19" min="19" style="0" width="7.57"/>
    <col collapsed="false" customWidth="true" hidden="false" outlineLevel="0" max="20" min="20" style="0" width="11.43"/>
    <col collapsed="false" customWidth="true" hidden="false" outlineLevel="0" max="21" min="21" style="0" width="6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M2" s="0" t="s">
        <v>1</v>
      </c>
      <c r="N2" s="379"/>
      <c r="O2" s="72"/>
      <c r="P2" s="6" t="n">
        <f aca="false">set!B4</f>
        <v>45608</v>
      </c>
      <c r="Q2" s="364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ИУК2-52Б факультета ИУК МГТУ им. Н.Э. Баумана"</f>
        <v>Успеваемость студентов за 1 семестр 24/25 учебного года по группе ИУК2-52Б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12.5" hidden="false" customHeight="true" outlineLevel="0" collapsed="false">
      <c r="A6" s="8"/>
      <c r="B6" s="8"/>
      <c r="C6" s="8"/>
      <c r="D6" s="301"/>
      <c r="E6" s="339" t="s">
        <v>882</v>
      </c>
      <c r="F6" s="340" t="s">
        <v>883</v>
      </c>
      <c r="G6" s="340" t="s">
        <v>291</v>
      </c>
      <c r="H6" s="341" t="s">
        <v>884</v>
      </c>
      <c r="I6" s="339" t="s">
        <v>143</v>
      </c>
      <c r="J6" s="340" t="s">
        <v>885</v>
      </c>
      <c r="K6" s="340" t="s">
        <v>295</v>
      </c>
      <c r="L6" s="340" t="s">
        <v>296</v>
      </c>
      <c r="M6" s="342" t="s">
        <v>147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301"/>
      <c r="E7" s="365" t="s">
        <v>299</v>
      </c>
      <c r="F7" s="366" t="s">
        <v>509</v>
      </c>
      <c r="G7" s="366" t="s">
        <v>299</v>
      </c>
      <c r="H7" s="367" t="s">
        <v>509</v>
      </c>
      <c r="I7" s="343" t="s">
        <v>27</v>
      </c>
      <c r="J7" s="344" t="s">
        <v>549</v>
      </c>
      <c r="K7" s="344" t="s">
        <v>175</v>
      </c>
      <c r="L7" s="344" t="s">
        <v>300</v>
      </c>
      <c r="M7" s="346" t="s">
        <v>176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368" t="s">
        <v>942</v>
      </c>
      <c r="C8" s="25" t="s">
        <v>943</v>
      </c>
      <c r="D8" s="202"/>
      <c r="E8" s="382"/>
      <c r="F8" s="383"/>
      <c r="G8" s="383"/>
      <c r="H8" s="384"/>
      <c r="I8" s="382"/>
      <c r="J8" s="383"/>
      <c r="K8" s="383"/>
      <c r="L8" s="383"/>
      <c r="M8" s="153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944</v>
      </c>
      <c r="C9" s="37" t="s">
        <v>945</v>
      </c>
      <c r="D9" s="160"/>
      <c r="E9" s="150"/>
      <c r="F9" s="117"/>
      <c r="G9" s="117"/>
      <c r="H9" s="151"/>
      <c r="I9" s="150"/>
      <c r="J9" s="117"/>
      <c r="K9" s="117"/>
      <c r="L9" s="117"/>
      <c r="M9" s="152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7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946</v>
      </c>
      <c r="C10" s="37" t="s">
        <v>947</v>
      </c>
      <c r="D10" s="160"/>
      <c r="E10" s="150"/>
      <c r="F10" s="117"/>
      <c r="G10" s="117"/>
      <c r="H10" s="151"/>
      <c r="I10" s="150"/>
      <c r="J10" s="117"/>
      <c r="K10" s="117"/>
      <c r="L10" s="117"/>
      <c r="M10" s="152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7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948</v>
      </c>
      <c r="C11" s="37" t="s">
        <v>949</v>
      </c>
      <c r="D11" s="160"/>
      <c r="E11" s="150"/>
      <c r="F11" s="117"/>
      <c r="G11" s="117"/>
      <c r="H11" s="151"/>
      <c r="I11" s="150"/>
      <c r="J11" s="117"/>
      <c r="K11" s="117"/>
      <c r="L11" s="117"/>
      <c r="M11" s="152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7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950</v>
      </c>
      <c r="C12" s="37" t="s">
        <v>951</v>
      </c>
      <c r="D12" s="160"/>
      <c r="E12" s="150"/>
      <c r="F12" s="117"/>
      <c r="G12" s="117"/>
      <c r="H12" s="151"/>
      <c r="I12" s="150"/>
      <c r="J12" s="117"/>
      <c r="K12" s="117"/>
      <c r="L12" s="117"/>
      <c r="M12" s="152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7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36" t="n">
        <f aca="false">COUNTIF(E12:M12,2)+COUNTIF(E12:M12,1)+COUNTIF(E12:M12,0)</f>
        <v>0</v>
      </c>
    </row>
    <row r="13" s="45" customFormat="true" ht="15" hidden="false" customHeight="true" outlineLevel="0" collapsed="false">
      <c r="A13" s="37" t="n">
        <v>6</v>
      </c>
      <c r="B13" s="37" t="s">
        <v>952</v>
      </c>
      <c r="C13" s="37" t="s">
        <v>953</v>
      </c>
      <c r="D13" s="160"/>
      <c r="E13" s="150"/>
      <c r="F13" s="117"/>
      <c r="G13" s="117"/>
      <c r="H13" s="151"/>
      <c r="I13" s="150"/>
      <c r="J13" s="117"/>
      <c r="K13" s="117"/>
      <c r="L13" s="117"/>
      <c r="M13" s="152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7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954</v>
      </c>
      <c r="C14" s="37" t="s">
        <v>955</v>
      </c>
      <c r="D14" s="160"/>
      <c r="E14" s="150"/>
      <c r="F14" s="117"/>
      <c r="G14" s="117"/>
      <c r="H14" s="151"/>
      <c r="I14" s="150"/>
      <c r="J14" s="117"/>
      <c r="K14" s="117"/>
      <c r="L14" s="117"/>
      <c r="M14" s="152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7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956</v>
      </c>
      <c r="C15" s="37" t="s">
        <v>957</v>
      </c>
      <c r="D15" s="160"/>
      <c r="E15" s="150"/>
      <c r="F15" s="117"/>
      <c r="G15" s="117"/>
      <c r="H15" s="151"/>
      <c r="I15" s="150"/>
      <c r="J15" s="117"/>
      <c r="K15" s="117"/>
      <c r="L15" s="117"/>
      <c r="M15" s="152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7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958</v>
      </c>
      <c r="C16" s="37" t="s">
        <v>959</v>
      </c>
      <c r="D16" s="160"/>
      <c r="E16" s="150"/>
      <c r="F16" s="117"/>
      <c r="G16" s="117"/>
      <c r="H16" s="151"/>
      <c r="I16" s="150"/>
      <c r="J16" s="117"/>
      <c r="K16" s="117"/>
      <c r="L16" s="117"/>
      <c r="M16" s="152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7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960</v>
      </c>
      <c r="C17" s="37" t="s">
        <v>961</v>
      </c>
      <c r="D17" s="160"/>
      <c r="E17" s="150"/>
      <c r="F17" s="117"/>
      <c r="G17" s="117"/>
      <c r="H17" s="151"/>
      <c r="I17" s="150"/>
      <c r="J17" s="117"/>
      <c r="K17" s="117"/>
      <c r="L17" s="117"/>
      <c r="M17" s="152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7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962</v>
      </c>
      <c r="C18" s="37" t="s">
        <v>963</v>
      </c>
      <c r="D18" s="160"/>
      <c r="E18" s="150"/>
      <c r="F18" s="117"/>
      <c r="G18" s="117"/>
      <c r="H18" s="151"/>
      <c r="I18" s="150"/>
      <c r="J18" s="117"/>
      <c r="K18" s="117"/>
      <c r="L18" s="117"/>
      <c r="M18" s="152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7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964</v>
      </c>
      <c r="C19" s="37" t="s">
        <v>965</v>
      </c>
      <c r="D19" s="160"/>
      <c r="E19" s="150"/>
      <c r="F19" s="117"/>
      <c r="G19" s="117"/>
      <c r="H19" s="151"/>
      <c r="I19" s="150"/>
      <c r="J19" s="117"/>
      <c r="K19" s="117"/>
      <c r="L19" s="117"/>
      <c r="M19" s="152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7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966</v>
      </c>
      <c r="C20" s="37" t="s">
        <v>967</v>
      </c>
      <c r="D20" s="160"/>
      <c r="E20" s="150"/>
      <c r="F20" s="117"/>
      <c r="G20" s="117"/>
      <c r="H20" s="151"/>
      <c r="I20" s="150"/>
      <c r="J20" s="117"/>
      <c r="K20" s="117"/>
      <c r="L20" s="117"/>
      <c r="M20" s="152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7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968</v>
      </c>
      <c r="C21" s="37" t="s">
        <v>969</v>
      </c>
      <c r="D21" s="160"/>
      <c r="E21" s="150"/>
      <c r="F21" s="117"/>
      <c r="G21" s="117"/>
      <c r="H21" s="151"/>
      <c r="I21" s="150"/>
      <c r="J21" s="117"/>
      <c r="K21" s="117"/>
      <c r="L21" s="117"/>
      <c r="M21" s="152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7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970</v>
      </c>
      <c r="C22" s="37" t="s">
        <v>971</v>
      </c>
      <c r="D22" s="160"/>
      <c r="E22" s="150"/>
      <c r="F22" s="117"/>
      <c r="G22" s="117"/>
      <c r="H22" s="151"/>
      <c r="I22" s="150"/>
      <c r="J22" s="117"/>
      <c r="K22" s="117"/>
      <c r="L22" s="117"/>
      <c r="M22" s="152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7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972</v>
      </c>
      <c r="C23" s="37" t="s">
        <v>973</v>
      </c>
      <c r="D23" s="160"/>
      <c r="E23" s="150"/>
      <c r="F23" s="117"/>
      <c r="G23" s="117"/>
      <c r="H23" s="151"/>
      <c r="I23" s="150"/>
      <c r="J23" s="117"/>
      <c r="K23" s="117"/>
      <c r="L23" s="117"/>
      <c r="M23" s="152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7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974</v>
      </c>
      <c r="C24" s="37" t="s">
        <v>975</v>
      </c>
      <c r="D24" s="385"/>
      <c r="E24" s="206"/>
      <c r="F24" s="207"/>
      <c r="G24" s="207"/>
      <c r="H24" s="386"/>
      <c r="I24" s="150"/>
      <c r="J24" s="207"/>
      <c r="K24" s="207"/>
      <c r="L24" s="207"/>
      <c r="M24" s="208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77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976</v>
      </c>
      <c r="C25" s="37" t="s">
        <v>977</v>
      </c>
      <c r="D25" s="385"/>
      <c r="E25" s="206"/>
      <c r="F25" s="207"/>
      <c r="G25" s="207"/>
      <c r="H25" s="386"/>
      <c r="I25" s="150"/>
      <c r="J25" s="207"/>
      <c r="K25" s="207"/>
      <c r="L25" s="207"/>
      <c r="M25" s="208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77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36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19</v>
      </c>
      <c r="B26" s="37" t="s">
        <v>978</v>
      </c>
      <c r="C26" s="37" t="s">
        <v>979</v>
      </c>
      <c r="D26" s="385"/>
      <c r="E26" s="206"/>
      <c r="F26" s="207"/>
      <c r="G26" s="207"/>
      <c r="H26" s="386"/>
      <c r="I26" s="150"/>
      <c r="J26" s="207"/>
      <c r="K26" s="207"/>
      <c r="L26" s="207"/>
      <c r="M26" s="208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77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36" t="n">
        <f aca="false">COUNTIF(E26:M26,2)+COUNTIF(E26:M26,1)+COUNTIF(E26:M26,0)</f>
        <v>0</v>
      </c>
    </row>
    <row r="27" s="45" customFormat="true" ht="15" hidden="false" customHeight="true" outlineLevel="0" collapsed="false">
      <c r="A27" s="37" t="n">
        <v>20</v>
      </c>
      <c r="B27" s="37" t="s">
        <v>980</v>
      </c>
      <c r="C27" s="37" t="s">
        <v>981</v>
      </c>
      <c r="D27" s="385"/>
      <c r="E27" s="206"/>
      <c r="F27" s="207"/>
      <c r="G27" s="207"/>
      <c r="H27" s="386"/>
      <c r="I27" s="150"/>
      <c r="J27" s="207"/>
      <c r="K27" s="207"/>
      <c r="L27" s="207"/>
      <c r="M27" s="208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77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36" t="n">
        <f aca="false">COUNTIF(E27:M27,2)+COUNTIF(E27:M27,1)+COUNTIF(E27:M27,0)</f>
        <v>0</v>
      </c>
    </row>
    <row r="28" s="45" customFormat="true" ht="15" hidden="false" customHeight="true" outlineLevel="0" collapsed="false">
      <c r="A28" s="37" t="n">
        <v>21</v>
      </c>
      <c r="B28" s="37" t="s">
        <v>982</v>
      </c>
      <c r="C28" s="37" t="s">
        <v>983</v>
      </c>
      <c r="D28" s="385"/>
      <c r="E28" s="206"/>
      <c r="F28" s="207"/>
      <c r="G28" s="207"/>
      <c r="H28" s="386"/>
      <c r="I28" s="150"/>
      <c r="J28" s="207"/>
      <c r="K28" s="207"/>
      <c r="L28" s="207"/>
      <c r="M28" s="208"/>
      <c r="N28" s="33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77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36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984</v>
      </c>
      <c r="C29" s="37" t="s">
        <v>985</v>
      </c>
      <c r="D29" s="385"/>
      <c r="E29" s="206"/>
      <c r="F29" s="207"/>
      <c r="G29" s="207"/>
      <c r="H29" s="386"/>
      <c r="I29" s="150"/>
      <c r="J29" s="207"/>
      <c r="K29" s="207"/>
      <c r="L29" s="207"/>
      <c r="M29" s="208"/>
      <c r="N29" s="33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77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36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986</v>
      </c>
      <c r="C30" s="37" t="s">
        <v>987</v>
      </c>
      <c r="D30" s="385"/>
      <c r="E30" s="206"/>
      <c r="F30" s="207"/>
      <c r="G30" s="207"/>
      <c r="H30" s="386"/>
      <c r="I30" s="150"/>
      <c r="J30" s="207"/>
      <c r="K30" s="207"/>
      <c r="L30" s="207"/>
      <c r="M30" s="208"/>
      <c r="N30" s="33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77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36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24</v>
      </c>
      <c r="B31" s="37" t="s">
        <v>988</v>
      </c>
      <c r="C31" s="37" t="s">
        <v>989</v>
      </c>
      <c r="D31" s="385"/>
      <c r="E31" s="206"/>
      <c r="F31" s="207"/>
      <c r="G31" s="207"/>
      <c r="H31" s="386"/>
      <c r="I31" s="150"/>
      <c r="J31" s="207"/>
      <c r="K31" s="207"/>
      <c r="L31" s="207"/>
      <c r="M31" s="208"/>
      <c r="N31" s="33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77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36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990</v>
      </c>
      <c r="C32" s="37" t="s">
        <v>991</v>
      </c>
      <c r="D32" s="160"/>
      <c r="E32" s="150"/>
      <c r="F32" s="117"/>
      <c r="G32" s="117"/>
      <c r="H32" s="151"/>
      <c r="I32" s="150"/>
      <c r="J32" s="117"/>
      <c r="K32" s="117"/>
      <c r="L32" s="117"/>
      <c r="M32" s="152"/>
      <c r="N32" s="33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77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36" t="n">
        <f aca="false">COUNTIF(E32:M32,2)+COUNTIF(E32:M32,1)+COUNTIF(E32:M32,0)</f>
        <v>0</v>
      </c>
    </row>
    <row r="33" customFormat="false" ht="15" hidden="false" customHeight="true" outlineLevel="0" collapsed="false">
      <c r="A33" s="37" t="n">
        <v>26</v>
      </c>
      <c r="B33" s="37" t="s">
        <v>992</v>
      </c>
      <c r="C33" s="37" t="s">
        <v>993</v>
      </c>
      <c r="D33" s="385"/>
      <c r="E33" s="150"/>
      <c r="F33" s="117"/>
      <c r="G33" s="117"/>
      <c r="H33" s="151"/>
      <c r="I33" s="150"/>
      <c r="J33" s="117"/>
      <c r="K33" s="117"/>
      <c r="L33" s="117"/>
      <c r="M33" s="152"/>
      <c r="N33" s="33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77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36" t="n">
        <f aca="false">COUNTIF(E33:M33,2)+COUNTIF(E33:M33,1)+COUNTIF(E33:M33,0)</f>
        <v>0</v>
      </c>
    </row>
    <row r="34" customFormat="false" ht="15" hidden="false" customHeight="true" outlineLevel="0" collapsed="false">
      <c r="A34" s="0" t="s">
        <v>77</v>
      </c>
      <c r="D34" s="46"/>
      <c r="E34" s="47" t="e">
        <f aca="false">AVERAGE(E10:E33)</f>
        <v>#DIV/0!</v>
      </c>
      <c r="F34" s="47" t="e">
        <f aca="false">AVERAGE(F10:F33)</f>
        <v>#DIV/0!</v>
      </c>
      <c r="G34" s="47" t="e">
        <f aca="false">AVERAGE(G10:G33)</f>
        <v>#DIV/0!</v>
      </c>
      <c r="H34" s="47" t="e">
        <f aca="false">AVERAGE(H10:H33)</f>
        <v>#DIV/0!</v>
      </c>
      <c r="I34" s="47" t="e">
        <f aca="false">AVERAGE(I10:I33)</f>
        <v>#DIV/0!</v>
      </c>
      <c r="J34" s="47" t="e">
        <f aca="false">AVERAGE(J10:J33)</f>
        <v>#DIV/0!</v>
      </c>
      <c r="K34" s="47" t="e">
        <f aca="false">AVERAGE(K10:K33)</f>
        <v>#DIV/0!</v>
      </c>
      <c r="L34" s="47" t="e">
        <f aca="false">AVERAGE(L10:L33)</f>
        <v>#DIV/0!</v>
      </c>
      <c r="M34" s="47" t="e">
        <f aca="false">AVERAGE(M10:M33)</f>
        <v>#DIV/0!</v>
      </c>
      <c r="N34" s="47"/>
      <c r="O34" s="48"/>
      <c r="P34" s="48"/>
      <c r="Q34" s="48"/>
    </row>
    <row r="35" customFormat="false" ht="15" hidden="false" customHeight="true" outlineLevel="0" collapsed="false">
      <c r="A35" s="0" t="s">
        <v>78</v>
      </c>
      <c r="D35" s="46"/>
      <c r="E35" s="49" t="e">
        <f aca="false">(COUNTIF(E8:E33,5)+COUNTIF(E8:E33,4)+COUNTIF(E8:E33,3))/$P$39*100</f>
        <v>#DIV/0!</v>
      </c>
      <c r="F35" s="49" t="e">
        <f aca="false">(COUNTIF(F8:F33,5)+COUNTIF(F8:F33,4)+COUNTIF(F8:F33,3))/$P$39*100</f>
        <v>#DIV/0!</v>
      </c>
      <c r="G35" s="49" t="e">
        <f aca="false">(COUNTIF(G8:G33,5)+COUNTIF(G8:G33,4)+COUNTIF(G8:G33,3))/$P$39*100</f>
        <v>#DIV/0!</v>
      </c>
      <c r="H35" s="49" t="e">
        <f aca="false">(COUNTIF(H8:H33,5)+COUNTIF(H8:H33,4)+COUNTIF(H8:H33,3))/$P$39*100</f>
        <v>#DIV/0!</v>
      </c>
      <c r="I35" s="49" t="e">
        <f aca="false">(COUNTIF(I8:I33,5)+COUNTIF(I8:I33,4)+COUNTIF(I8:I33,3))/$P$39*100</f>
        <v>#DIV/0!</v>
      </c>
      <c r="J35" s="49" t="e">
        <f aca="false">(COUNTIF(J8:J33,5)+COUNTIF(J8:J33,4)+COUNTIF(J8:J33,3))/$P$39*100</f>
        <v>#DIV/0!</v>
      </c>
      <c r="K35" s="49" t="e">
        <f aca="false">(COUNTIF(K8:K33,5)+COUNTIF(K8:K33,4)+COUNTIF(K8:K33,3))/$P$39*100</f>
        <v>#DIV/0!</v>
      </c>
      <c r="L35" s="49" t="e">
        <f aca="false">(COUNTIF(L8:L33,5)+COUNTIF(L8:L33,4)+COUNTIF(L8:L33,3))/$P$39*100</f>
        <v>#DIV/0!</v>
      </c>
      <c r="M35" s="49" t="e">
        <f aca="false">(COUNTIF(M8:M33,5)+COUNTIF(M8:M33,4)+COUNTIF(M8:M33,3))/$P$39*100</f>
        <v>#DIV/0!</v>
      </c>
      <c r="N35" s="47"/>
      <c r="O35" s="48"/>
      <c r="P35" s="48"/>
      <c r="Q35" s="48"/>
    </row>
    <row r="36" customFormat="false" ht="15" hidden="false" customHeight="true" outlineLevel="0" collapsed="false"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</row>
    <row r="37" customFormat="false" ht="15" hidden="false" customHeight="true" outlineLevel="0" collapsed="false">
      <c r="B37" s="50"/>
      <c r="C37" s="50" t="s">
        <v>8</v>
      </c>
      <c r="D37" s="51" t="str">
        <f aca="false">IFERROR(AVERAGE(N8:N33),"")</f>
        <v/>
      </c>
      <c r="E37" s="52" t="s">
        <v>9</v>
      </c>
      <c r="F37" s="52"/>
      <c r="G37" s="53" t="str">
        <f aca="false">IFERROR(COUNTIF(O8:O33,"Успевает")/P39*100,"")</f>
        <v/>
      </c>
      <c r="H37" s="319" t="s">
        <v>79</v>
      </c>
      <c r="I37" s="319"/>
      <c r="J37" s="55" t="str">
        <f aca="false">IFERROR(AVERAGE(P8:P33),"")</f>
        <v/>
      </c>
      <c r="K37" s="52"/>
      <c r="L37" s="52"/>
      <c r="M37" s="52"/>
      <c r="N37" s="52"/>
      <c r="O37" s="52"/>
      <c r="P37" s="52"/>
      <c r="Q37" s="158"/>
      <c r="R37" s="48"/>
      <c r="S37" s="48"/>
      <c r="T37" s="48"/>
    </row>
    <row r="38" customFormat="false" ht="15" hidden="false" customHeight="true" outlineLevel="0" collapsed="false">
      <c r="B38" s="50"/>
      <c r="C38" s="50"/>
      <c r="D38" s="50"/>
      <c r="E38" s="56"/>
      <c r="F38" s="56"/>
      <c r="G38" s="56"/>
      <c r="H38" s="56"/>
      <c r="I38" s="56"/>
      <c r="J38" s="56"/>
      <c r="K38" s="56"/>
      <c r="L38" s="56"/>
      <c r="M38" s="56"/>
      <c r="Q38" s="59"/>
      <c r="R38" s="59"/>
    </row>
    <row r="39" customFormat="false" ht="15" hidden="false" customHeight="true" outlineLevel="0" collapsed="false">
      <c r="A39" s="50"/>
      <c r="B39" s="61" t="s">
        <v>81</v>
      </c>
      <c r="C39" s="61"/>
      <c r="D39" s="61"/>
      <c r="E39" s="61"/>
      <c r="F39" s="61"/>
      <c r="G39" s="61"/>
      <c r="H39" s="61"/>
      <c r="I39" s="61"/>
      <c r="J39" s="61" t="s">
        <v>82</v>
      </c>
      <c r="K39" s="61"/>
      <c r="L39" s="61"/>
      <c r="M39" s="96"/>
      <c r="N39" s="57" t="s">
        <v>80</v>
      </c>
      <c r="O39" s="57"/>
      <c r="P39" s="58" t="n">
        <f aca="false">SUM(P40:P41)</f>
        <v>0</v>
      </c>
      <c r="Q39" s="64"/>
      <c r="R39" s="64"/>
    </row>
    <row r="40" customFormat="false" ht="15" hidden="false" customHeight="true" outlineLevel="0" collapsed="false">
      <c r="A40" s="50"/>
      <c r="B40" s="65" t="str">
        <f aca="false">$E$6</f>
        <v> Операционные системы</v>
      </c>
      <c r="C40" s="65"/>
      <c r="D40" s="65"/>
      <c r="E40" s="65"/>
      <c r="F40" s="65"/>
      <c r="G40" s="65"/>
      <c r="H40" s="65"/>
      <c r="I40" s="65"/>
      <c r="J40" s="66"/>
      <c r="K40" s="66"/>
      <c r="L40" s="66"/>
      <c r="M40" s="97"/>
      <c r="N40" s="57" t="s">
        <v>83</v>
      </c>
      <c r="O40" s="57"/>
      <c r="P40" s="58" t="n">
        <f aca="false">COUNTIF(O8:O33,"Успевает")</f>
        <v>0</v>
      </c>
      <c r="Q40" s="99"/>
      <c r="R40" s="69"/>
    </row>
    <row r="41" customFormat="false" ht="15" hidden="false" customHeight="true" outlineLevel="0" collapsed="false">
      <c r="A41" s="50"/>
      <c r="B41" s="65" t="str">
        <f aca="false">$F$6</f>
        <v> Платформы виртуальной реальности</v>
      </c>
      <c r="C41" s="65"/>
      <c r="D41" s="65"/>
      <c r="E41" s="65"/>
      <c r="F41" s="65"/>
      <c r="G41" s="65"/>
      <c r="H41" s="65"/>
      <c r="I41" s="65"/>
      <c r="J41" s="66"/>
      <c r="K41" s="66"/>
      <c r="L41" s="66"/>
      <c r="M41" s="97"/>
      <c r="N41" s="98" t="s">
        <v>84</v>
      </c>
      <c r="O41" s="98"/>
      <c r="P41" s="58" t="n">
        <f aca="false">COUNTIF(O8:O33,"Не успевает")</f>
        <v>0</v>
      </c>
      <c r="Q41" s="64"/>
      <c r="R41" s="72"/>
    </row>
    <row r="42" customFormat="false" ht="15" hidden="false" customHeight="true" outlineLevel="0" collapsed="false">
      <c r="A42" s="50"/>
      <c r="B42" s="65" t="str">
        <f aca="false">$G$6</f>
        <v> Сети и телекоммуникации</v>
      </c>
      <c r="C42" s="65"/>
      <c r="D42" s="65"/>
      <c r="E42" s="65"/>
      <c r="F42" s="65"/>
      <c r="G42" s="65"/>
      <c r="H42" s="65"/>
      <c r="I42" s="65"/>
      <c r="J42" s="66"/>
      <c r="K42" s="66"/>
      <c r="L42" s="66"/>
      <c r="M42" s="97"/>
      <c r="N42" s="98" t="s">
        <v>85</v>
      </c>
      <c r="O42" s="98"/>
      <c r="P42" s="58" t="n">
        <f aca="false">COUNTIF(Q8:Q33,"Благодарность")</f>
        <v>0</v>
      </c>
      <c r="Q42" s="48"/>
    </row>
    <row r="43" customFormat="false" ht="15" hidden="false" customHeight="true" outlineLevel="0" collapsed="false">
      <c r="A43" s="50"/>
      <c r="B43" s="65" t="str">
        <f aca="false">$H$6</f>
        <v> Функциональные узлы и компоненты
информационно-вычислительных систем</v>
      </c>
      <c r="C43" s="65"/>
      <c r="D43" s="65"/>
      <c r="E43" s="65"/>
      <c r="F43" s="65"/>
      <c r="G43" s="65"/>
      <c r="H43" s="65"/>
      <c r="I43" s="65"/>
      <c r="J43" s="66"/>
      <c r="K43" s="66"/>
      <c r="L43" s="66"/>
      <c r="M43" s="97"/>
      <c r="N43" s="98" t="s">
        <v>86</v>
      </c>
      <c r="O43" s="98"/>
      <c r="P43" s="58" t="n">
        <f aca="false">COUNTIF(Q8:Q33,"Нормально")</f>
        <v>0</v>
      </c>
      <c r="Q43" s="48"/>
    </row>
    <row r="44" customFormat="false" ht="15" hidden="false" customHeight="true" outlineLevel="0" collapsed="false">
      <c r="A44" s="50"/>
      <c r="B44" s="65" t="str">
        <f aca="false">$I$6</f>
        <v> Иностранный язык</v>
      </c>
      <c r="C44" s="65"/>
      <c r="D44" s="65"/>
      <c r="E44" s="65"/>
      <c r="F44" s="65"/>
      <c r="G44" s="65"/>
      <c r="H44" s="65"/>
      <c r="I44" s="65"/>
      <c r="J44" s="66"/>
      <c r="K44" s="66"/>
      <c r="L44" s="66"/>
      <c r="M44" s="97"/>
      <c r="N44" s="98" t="s">
        <v>87</v>
      </c>
      <c r="O44" s="98"/>
      <c r="P44" s="58" t="n">
        <f aca="false">COUNTIF(Q8:Q33,"Предупреждение")</f>
        <v>0</v>
      </c>
      <c r="Q44" s="48"/>
    </row>
    <row r="45" customFormat="false" ht="15" hidden="false" customHeight="true" outlineLevel="0" collapsed="false">
      <c r="A45" s="50"/>
      <c r="B45" s="65" t="str">
        <f aca="false">$J$6</f>
        <v> Разработка Веб-приложений (к.п.)</v>
      </c>
      <c r="C45" s="65"/>
      <c r="D45" s="65"/>
      <c r="E45" s="65"/>
      <c r="F45" s="65"/>
      <c r="G45" s="65"/>
      <c r="H45" s="65"/>
      <c r="I45" s="65"/>
      <c r="J45" s="66"/>
      <c r="K45" s="66"/>
      <c r="L45" s="66"/>
      <c r="M45" s="97"/>
      <c r="N45" s="98" t="s">
        <v>88</v>
      </c>
      <c r="O45" s="98"/>
      <c r="P45" s="58" t="n">
        <f aca="false">COUNTIF(Q8:Q33,"Выговор")</f>
        <v>0</v>
      </c>
      <c r="Q45" s="67"/>
      <c r="R45" s="67"/>
      <c r="S45" s="67"/>
      <c r="T45" s="48"/>
    </row>
    <row r="46" customFormat="false" ht="15" hidden="false" customHeight="true" outlineLevel="0" collapsed="false">
      <c r="A46" s="50"/>
      <c r="B46" s="65" t="str">
        <f aca="false">$K$6</f>
        <v> Социология</v>
      </c>
      <c r="C46" s="65"/>
      <c r="D46" s="65"/>
      <c r="E46" s="65"/>
      <c r="F46" s="65"/>
      <c r="G46" s="65"/>
      <c r="H46" s="65"/>
      <c r="I46" s="65"/>
      <c r="J46" s="66"/>
      <c r="K46" s="66"/>
      <c r="L46" s="66"/>
      <c r="M46" s="97"/>
      <c r="N46" s="142" t="s">
        <v>539</v>
      </c>
      <c r="O46" s="142"/>
      <c r="P46" s="186" t="n">
        <f aca="false">SUM(R8:R33)</f>
        <v>0</v>
      </c>
      <c r="Q46" s="67"/>
      <c r="R46" s="67"/>
      <c r="S46" s="67"/>
      <c r="T46" s="48"/>
    </row>
    <row r="47" customFormat="false" ht="15" hidden="false" customHeight="true" outlineLevel="0" collapsed="false">
      <c r="A47" s="50"/>
      <c r="B47" s="65" t="str">
        <f aca="false">$L$6</f>
        <v> Экология</v>
      </c>
      <c r="C47" s="65"/>
      <c r="D47" s="65"/>
      <c r="E47" s="65"/>
      <c r="F47" s="65"/>
      <c r="G47" s="65"/>
      <c r="H47" s="65"/>
      <c r="I47" s="65"/>
      <c r="J47" s="66"/>
      <c r="K47" s="66"/>
      <c r="L47" s="66"/>
      <c r="M47" s="97"/>
      <c r="N47" s="67"/>
      <c r="O47" s="67"/>
      <c r="P47" s="67"/>
      <c r="Q47" s="67"/>
      <c r="R47" s="67"/>
      <c r="S47" s="67"/>
      <c r="T47" s="48"/>
    </row>
    <row r="48" customFormat="false" ht="15" hidden="false" customHeight="true" outlineLevel="0" collapsed="false">
      <c r="A48" s="50"/>
      <c r="B48" s="65" t="str">
        <f aca="false">$M$6</f>
        <v>Физическая культура и спорт</v>
      </c>
      <c r="C48" s="65"/>
      <c r="D48" s="65"/>
      <c r="E48" s="65"/>
      <c r="F48" s="65"/>
      <c r="G48" s="65"/>
      <c r="H48" s="65"/>
      <c r="I48" s="65"/>
      <c r="J48" s="66"/>
      <c r="K48" s="66"/>
      <c r="L48" s="66"/>
      <c r="M48" s="97"/>
      <c r="N48" s="67"/>
      <c r="O48" s="67"/>
      <c r="P48" s="67"/>
      <c r="Q48" s="67"/>
      <c r="R48" s="67"/>
      <c r="S48" s="67"/>
      <c r="T48" s="48"/>
    </row>
    <row r="49" customFormat="false" ht="15" hidden="false" customHeight="true" outlineLevel="0" collapsed="false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Q49" s="48"/>
      <c r="R49" s="48"/>
      <c r="S49" s="48"/>
      <c r="T49" s="48"/>
    </row>
    <row r="50" customFormat="false" ht="15" hidden="false" customHeight="true" outlineLevel="0" collapsed="false">
      <c r="A50" s="50"/>
      <c r="B50" s="73" t="s">
        <v>405</v>
      </c>
      <c r="C50" s="387" t="s">
        <v>994</v>
      </c>
      <c r="D50" s="387"/>
      <c r="E50" s="67"/>
      <c r="F50" s="52" t="s">
        <v>369</v>
      </c>
      <c r="G50" s="350" t="s">
        <v>995</v>
      </c>
      <c r="H50" s="52"/>
      <c r="I50" s="52"/>
      <c r="J50" s="52"/>
      <c r="K50" s="52"/>
      <c r="L50" s="50"/>
      <c r="M50" s="50"/>
      <c r="Q50" s="48"/>
      <c r="R50" s="48"/>
      <c r="S50" s="48"/>
      <c r="T50" s="48"/>
    </row>
    <row r="51" customFormat="false" ht="15" hidden="false" customHeight="tru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Q51" s="48"/>
      <c r="R51" s="48"/>
      <c r="S51" s="48"/>
      <c r="T51" s="48"/>
    </row>
    <row r="52" customFormat="false" ht="15" hidden="false" customHeight="true" outlineLevel="0" collapsed="false">
      <c r="A52" s="50"/>
      <c r="B52" s="197" t="s">
        <v>93</v>
      </c>
      <c r="C52" s="197"/>
      <c r="D52" s="50"/>
      <c r="E52" s="50"/>
      <c r="F52" s="50"/>
      <c r="G52" s="50"/>
      <c r="H52" s="50"/>
      <c r="I52" s="50"/>
      <c r="J52" s="50"/>
      <c r="K52" s="50"/>
      <c r="L52" s="50"/>
      <c r="M52" s="50"/>
      <c r="Q52" s="48"/>
      <c r="R52" s="48"/>
      <c r="S52" s="48"/>
      <c r="T52" s="48"/>
    </row>
    <row r="53" customFormat="false" ht="15" hidden="false" customHeight="true" outlineLevel="0" collapsed="false">
      <c r="A53" s="50"/>
      <c r="B53" s="74" t="s">
        <v>94</v>
      </c>
      <c r="C53" s="74"/>
      <c r="D53" s="74"/>
      <c r="E53" s="74"/>
      <c r="F53" s="74"/>
      <c r="G53" s="50"/>
      <c r="H53" s="50"/>
      <c r="I53" s="50"/>
      <c r="J53" s="50"/>
      <c r="K53" s="50"/>
      <c r="L53" s="50"/>
      <c r="M53" s="50"/>
      <c r="Q53" s="48"/>
      <c r="R53" s="48"/>
      <c r="S53" s="48"/>
      <c r="T53" s="48"/>
    </row>
    <row r="54" customFormat="false" ht="15" hidden="false" customHeight="true" outlineLevel="0" collapsed="false">
      <c r="A54" s="50"/>
      <c r="B54" s="74" t="s">
        <v>95</v>
      </c>
      <c r="C54" s="74"/>
      <c r="D54" s="74"/>
      <c r="E54" s="74"/>
      <c r="F54" s="74"/>
      <c r="G54" s="74"/>
      <c r="H54" s="50"/>
      <c r="I54" s="50"/>
      <c r="J54" s="50"/>
      <c r="K54" s="50"/>
      <c r="L54" s="50"/>
      <c r="M54" s="50"/>
      <c r="Q54" s="48"/>
      <c r="R54" s="48"/>
      <c r="S54" s="48"/>
      <c r="T54" s="48"/>
    </row>
    <row r="55" customFormat="false" ht="15" hidden="false" customHeight="true" outlineLevel="0" collapsed="false">
      <c r="A55" s="50"/>
      <c r="B55" s="52" t="s">
        <v>96</v>
      </c>
      <c r="C55" s="52"/>
      <c r="D55" s="52"/>
      <c r="E55" s="52"/>
      <c r="F55" s="52"/>
      <c r="G55" s="52"/>
      <c r="H55" s="50"/>
      <c r="I55" s="50"/>
      <c r="J55" s="50"/>
      <c r="K55" s="50"/>
      <c r="L55" s="50"/>
      <c r="M55" s="50"/>
      <c r="Q55" s="48"/>
      <c r="R55" s="48"/>
      <c r="S55" s="48"/>
      <c r="T55" s="48"/>
    </row>
    <row r="56" customFormat="false" ht="15" hidden="false" customHeight="true" outlineLevel="0" collapsed="false">
      <c r="A56" s="50"/>
      <c r="B56" s="74" t="s">
        <v>97</v>
      </c>
      <c r="C56" s="74"/>
      <c r="D56" s="74"/>
      <c r="E56" s="74"/>
      <c r="F56" s="74"/>
      <c r="G56" s="74"/>
      <c r="H56" s="50"/>
      <c r="I56" s="50"/>
      <c r="J56" s="50"/>
      <c r="K56" s="50"/>
      <c r="L56" s="50"/>
      <c r="M56" s="50"/>
      <c r="Q56" s="48"/>
      <c r="R56" s="48"/>
      <c r="S56" s="48"/>
      <c r="T56" s="48"/>
    </row>
    <row r="57" customFormat="false" ht="15" hidden="false" customHeight="true" outlineLevel="0" collapsed="false">
      <c r="A57" s="50"/>
      <c r="B57" s="74" t="s">
        <v>98</v>
      </c>
      <c r="C57" s="74"/>
      <c r="D57" s="74"/>
      <c r="E57" s="74"/>
      <c r="F57" s="74"/>
      <c r="G57" s="74"/>
      <c r="H57" s="74"/>
      <c r="I57" s="74"/>
      <c r="J57" s="50"/>
      <c r="K57" s="50"/>
      <c r="L57" s="50"/>
      <c r="M57" s="50"/>
      <c r="N57" s="50"/>
      <c r="O57" s="50"/>
      <c r="P57" s="50"/>
      <c r="Q57" s="48"/>
      <c r="R57" s="48"/>
      <c r="S57" s="48"/>
      <c r="T57" s="48"/>
    </row>
    <row r="58" customFormat="false" ht="15" hidden="false" customHeight="true" outlineLevel="0" collapsed="false">
      <c r="B58" s="74" t="s">
        <v>99</v>
      </c>
      <c r="C58" s="74"/>
      <c r="D58" s="74"/>
      <c r="E58" s="74"/>
      <c r="F58" s="74"/>
      <c r="G58" s="50"/>
      <c r="H58" s="50"/>
      <c r="I58" s="50"/>
      <c r="J58" s="50"/>
      <c r="K58" s="50"/>
      <c r="L58" s="50"/>
      <c r="M58" s="50"/>
    </row>
  </sheetData>
  <mergeCells count="48">
    <mergeCell ref="E1:H1"/>
    <mergeCell ref="A3:P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7:I37"/>
    <mergeCell ref="B39:I39"/>
    <mergeCell ref="J39:L39"/>
    <mergeCell ref="N39:O39"/>
    <mergeCell ref="B40:I40"/>
    <mergeCell ref="J40:L40"/>
    <mergeCell ref="N40:O40"/>
    <mergeCell ref="B41:I41"/>
    <mergeCell ref="J41:L41"/>
    <mergeCell ref="N41:O41"/>
    <mergeCell ref="B42:I42"/>
    <mergeCell ref="J42:L42"/>
    <mergeCell ref="N42:O42"/>
    <mergeCell ref="B43:I43"/>
    <mergeCell ref="J43:L43"/>
    <mergeCell ref="N43:O43"/>
    <mergeCell ref="B44:I44"/>
    <mergeCell ref="J44:L44"/>
    <mergeCell ref="N44:O44"/>
    <mergeCell ref="B45:I45"/>
    <mergeCell ref="J45:L45"/>
    <mergeCell ref="N45:O45"/>
    <mergeCell ref="B46:I46"/>
    <mergeCell ref="J46:L46"/>
    <mergeCell ref="N46:O46"/>
    <mergeCell ref="B47:I47"/>
    <mergeCell ref="J47:L47"/>
    <mergeCell ref="B48:I48"/>
    <mergeCell ref="J48:L48"/>
    <mergeCell ref="B52:C52"/>
    <mergeCell ref="B53:F53"/>
    <mergeCell ref="B54:G54"/>
    <mergeCell ref="B56:G56"/>
    <mergeCell ref="B57:I57"/>
    <mergeCell ref="B58:F58"/>
  </mergeCells>
  <conditionalFormatting sqref="E14:M1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3:M33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3:M13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2:M3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12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4:N35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3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M3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48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A11" activeCellId="0" sqref="A11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14"/>
    <col collapsed="false" customWidth="true" hidden="false" outlineLevel="0" max="2" min="2" style="0" width="8.86"/>
    <col collapsed="false" customWidth="true" hidden="false" outlineLevel="0" max="3" min="3" style="0" width="18.29"/>
    <col collapsed="false" customWidth="true" hidden="false" outlineLevel="0" max="4" min="4" style="0" width="6.14"/>
    <col collapsed="false" customWidth="false" hidden="false" outlineLevel="0" max="8" min="5" style="45" width="9.14"/>
    <col collapsed="false" customWidth="true" hidden="false" outlineLevel="0" max="11" min="11" style="0" width="10.71"/>
    <col collapsed="false" customWidth="true" hidden="false" outlineLevel="0" max="12" min="12" style="0" width="12.29"/>
    <col collapsed="false" customWidth="true" hidden="false" outlineLevel="0" max="15" min="15" style="0" width="10.29"/>
    <col collapsed="false" customWidth="true" hidden="false" outlineLevel="0" max="16" min="16" style="0" width="7.29"/>
    <col collapsed="false" customWidth="true" hidden="false" outlineLevel="0" max="17" min="17" style="0" width="10.14"/>
    <col collapsed="false" customWidth="true" hidden="false" outlineLevel="0" max="18" min="18" style="0" width="8.71"/>
    <col collapsed="false" customWidth="true" hidden="false" outlineLevel="0" max="20" min="19" style="0" width="4.14"/>
  </cols>
  <sheetData>
    <row r="1" customFormat="false" ht="19.7" hidden="false" customHeight="false" outlineLevel="0" collapsed="false">
      <c r="C1" s="216" t="s">
        <v>0</v>
      </c>
      <c r="D1" s="216"/>
      <c r="E1" s="216"/>
      <c r="F1" s="216"/>
      <c r="G1" s="216"/>
      <c r="H1" s="216"/>
      <c r="I1" s="216"/>
      <c r="J1" s="216"/>
      <c r="K1" s="216"/>
      <c r="L1" s="388" t="n">
        <f aca="false">set!B1</f>
        <v>2</v>
      </c>
    </row>
    <row r="2" customFormat="false" ht="15" hidden="false" customHeight="false" outlineLevel="0" collapsed="false">
      <c r="O2" s="0" t="s">
        <v>1</v>
      </c>
      <c r="Q2" s="72"/>
      <c r="R2" s="389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ИУК2-71Б факультета ИУК МГТУ им. Н.Э. Баумана"</f>
        <v>Успеваемость студентов за 1 семестр 24/25 учебного года по группе ИУК2-71Б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390" t="s">
        <v>6</v>
      </c>
      <c r="F5" s="390"/>
      <c r="G5" s="390"/>
      <c r="H5" s="390"/>
      <c r="I5" s="239" t="s">
        <v>7</v>
      </c>
      <c r="J5" s="239"/>
      <c r="K5" s="239"/>
      <c r="L5" s="239"/>
      <c r="M5" s="239"/>
      <c r="N5" s="391" t="s">
        <v>8</v>
      </c>
      <c r="O5" s="392" t="s">
        <v>9</v>
      </c>
      <c r="P5" s="392" t="s">
        <v>10</v>
      </c>
      <c r="Q5" s="14" t="s">
        <v>11</v>
      </c>
      <c r="R5" s="14" t="s">
        <v>12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996</v>
      </c>
      <c r="F6" s="340" t="s">
        <v>997</v>
      </c>
      <c r="G6" s="340" t="s">
        <v>467</v>
      </c>
      <c r="H6" s="342" t="s">
        <v>998</v>
      </c>
      <c r="I6" s="339" t="s">
        <v>999</v>
      </c>
      <c r="J6" s="340" t="s">
        <v>1000</v>
      </c>
      <c r="K6" s="340" t="s">
        <v>1001</v>
      </c>
      <c r="L6" s="340" t="s">
        <v>467</v>
      </c>
      <c r="M6" s="342" t="s">
        <v>1002</v>
      </c>
      <c r="N6" s="391"/>
      <c r="O6" s="392"/>
      <c r="P6" s="392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343" t="s">
        <v>509</v>
      </c>
      <c r="F7" s="344" t="s">
        <v>509</v>
      </c>
      <c r="G7" s="344" t="s">
        <v>1003</v>
      </c>
      <c r="H7" s="346" t="s">
        <v>509</v>
      </c>
      <c r="I7" s="343" t="s">
        <v>549</v>
      </c>
      <c r="J7" s="344" t="s">
        <v>1004</v>
      </c>
      <c r="K7" s="344" t="s">
        <v>742</v>
      </c>
      <c r="L7" s="344" t="s">
        <v>548</v>
      </c>
      <c r="M7" s="346" t="s">
        <v>380</v>
      </c>
      <c r="N7" s="391"/>
      <c r="O7" s="392"/>
      <c r="P7" s="392"/>
      <c r="Q7" s="14"/>
      <c r="R7" s="14"/>
    </row>
    <row r="8" customFormat="false" ht="15" hidden="false" customHeight="true" outlineLevel="0" collapsed="false">
      <c r="A8" s="25" t="n">
        <v>1</v>
      </c>
      <c r="B8" s="25" t="s">
        <v>1005</v>
      </c>
      <c r="C8" s="25" t="s">
        <v>1006</v>
      </c>
      <c r="D8" s="393"/>
      <c r="E8" s="382"/>
      <c r="F8" s="383"/>
      <c r="G8" s="383"/>
      <c r="H8" s="153"/>
      <c r="I8" s="382"/>
      <c r="J8" s="383"/>
      <c r="K8" s="383"/>
      <c r="L8" s="383"/>
      <c r="M8" s="153"/>
      <c r="N8" s="394" t="str">
        <f aca="false">IFERROR(AVERAGE(I8:M8),"")</f>
        <v/>
      </c>
      <c r="O8" s="84" t="str">
        <f aca="false">IF(I8&lt;&gt;"",IF(COUNTIF(I8:M8,"&lt;3"),"Не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>IF(I8&lt;&gt;"",IF(N8&lt;1.85,"Выговор",IF(AND(N8&gt;1.85,N8&lt;3),"Предупреждение",IF(AND(N8&gt;3,N8&lt;=4.65),"Нормально",IF(AND(N8&gt;4.65,N8&lt;5.1,MIN(I8:M8)&gt;=4),"Благодарность","Нормально")))),"")</f>
        <v/>
      </c>
      <c r="R8" s="77" t="n">
        <f aca="false">COUNTIF(I8:M8,2)+COUNTIF(I8:M8,1)+COUNTIF(I8:M8,0)</f>
        <v>0</v>
      </c>
    </row>
    <row r="9" customFormat="false" ht="15" hidden="false" customHeight="true" outlineLevel="0" collapsed="false">
      <c r="A9" s="37" t="n">
        <v>2</v>
      </c>
      <c r="B9" s="37" t="s">
        <v>1007</v>
      </c>
      <c r="C9" s="37" t="s">
        <v>1008</v>
      </c>
      <c r="D9" s="395"/>
      <c r="E9" s="150"/>
      <c r="F9" s="117"/>
      <c r="G9" s="117"/>
      <c r="H9" s="152"/>
      <c r="I9" s="150"/>
      <c r="J9" s="117"/>
      <c r="K9" s="117"/>
      <c r="L9" s="117"/>
      <c r="M9" s="152"/>
      <c r="N9" s="394" t="str">
        <f aca="false">IFERROR(AVERAGE(I9:M9),"")</f>
        <v/>
      </c>
      <c r="O9" s="84" t="str">
        <f aca="false">IF(I9&lt;&gt;"",IF(COUNTIF(I9:M9,"&lt;3"),"Не успевает","Успевает"),"")</f>
        <v/>
      </c>
      <c r="P9" s="241" t="str">
        <f aca="false">IF(D9&lt;&gt;"",(30*(set!B$5)-D9)/(30*(set!B$5))*100,"")</f>
        <v/>
      </c>
      <c r="Q9" s="77" t="str">
        <f aca="false">IF(I9&lt;&gt;"",IF(N9&lt;1.85,"Выговор",IF(AND(N9&gt;1.85,N9&lt;3),"Предупреждение",IF(AND(N9&gt;3,N9&lt;=4.65),"Нормально",IF(AND(N9&gt;4.65,N9&lt;5.1,MIN(I9:M9)&gt;=4),"Благодарность","Нормально")))),"")</f>
        <v/>
      </c>
      <c r="R9" s="77" t="n">
        <f aca="false">COUNTIF(I9:M9,2)+COUNTIF(I9:M9,1)+COUNTIF(I9:M9,0)</f>
        <v>0</v>
      </c>
    </row>
    <row r="10" customFormat="false" ht="15" hidden="false" customHeight="true" outlineLevel="0" collapsed="false">
      <c r="A10" s="37" t="n">
        <v>3</v>
      </c>
      <c r="B10" s="37" t="s">
        <v>1009</v>
      </c>
      <c r="C10" s="37" t="s">
        <v>1010</v>
      </c>
      <c r="D10" s="395"/>
      <c r="E10" s="150"/>
      <c r="F10" s="117"/>
      <c r="G10" s="117"/>
      <c r="H10" s="152"/>
      <c r="I10" s="150"/>
      <c r="J10" s="117"/>
      <c r="K10" s="117"/>
      <c r="L10" s="117"/>
      <c r="M10" s="152"/>
      <c r="N10" s="394" t="str">
        <f aca="false">IFERROR(AVERAGE(I10:M10),"")</f>
        <v/>
      </c>
      <c r="O10" s="84" t="str">
        <f aca="false">IF(I10&lt;&gt;"",IF(COUNTIF(I10:M10,"&lt;3"),"Не успевает","Успевает"),"")</f>
        <v/>
      </c>
      <c r="P10" s="241" t="str">
        <f aca="false">IF(D10&lt;&gt;"",(30*(set!B$5)-D10)/(30*(set!B$5))*100,"")</f>
        <v/>
      </c>
      <c r="Q10" s="77" t="str">
        <f aca="false">IF(I10&lt;&gt;"",IF(N10&lt;1.85,"Выговор",IF(AND(N10&gt;1.85,N10&lt;3),"Предупреждение",IF(AND(N10&gt;3,N10&lt;=4.65),"Нормально",IF(AND(N10&gt;4.65,N10&lt;5.1,MIN(I10:M10)&gt;=4),"Благодарность","Нормально")))),"")</f>
        <v/>
      </c>
      <c r="R10" s="77" t="n">
        <f aca="false">COUNTIF(I10:M10,2)+COUNTIF(I10:M10,1)+COUNTIF(I10:M10,0)</f>
        <v>0</v>
      </c>
    </row>
    <row r="11" customFormat="false" ht="15" hidden="false" customHeight="true" outlineLevel="0" collapsed="false">
      <c r="A11" s="37" t="n">
        <v>5</v>
      </c>
      <c r="B11" s="37" t="s">
        <v>1011</v>
      </c>
      <c r="C11" s="37" t="s">
        <v>1012</v>
      </c>
      <c r="D11" s="395"/>
      <c r="E11" s="150"/>
      <c r="F11" s="117"/>
      <c r="G11" s="117"/>
      <c r="H11" s="152"/>
      <c r="I11" s="150"/>
      <c r="J11" s="117"/>
      <c r="K11" s="117"/>
      <c r="L11" s="117"/>
      <c r="M11" s="152"/>
      <c r="N11" s="394" t="str">
        <f aca="false">IFERROR(AVERAGE(I11:M11),"")</f>
        <v/>
      </c>
      <c r="O11" s="84" t="str">
        <f aca="false">IF(I11&lt;&gt;"",IF(COUNTIF(I11:M11,"&lt;3"),"Не успевает","Успевает"),"")</f>
        <v/>
      </c>
      <c r="P11" s="241" t="str">
        <f aca="false">IF(D11&lt;&gt;"",(30*(set!B$5)-D11)/(30*(set!B$5))*100,"")</f>
        <v/>
      </c>
      <c r="Q11" s="77" t="str">
        <f aca="false">IF(I11&lt;&gt;"",IF(N11&lt;1.85,"Выговор",IF(AND(N11&gt;1.85,N11&lt;3),"Предупреждение",IF(AND(N11&gt;3,N11&lt;=4.65),"Нормально",IF(AND(N11&gt;4.65,N11&lt;5.1,MIN(I11:M11)&gt;=4),"Благодарность","Нормально")))),"")</f>
        <v/>
      </c>
      <c r="R11" s="77" t="n">
        <f aca="false">COUNTIF(I11:M11,2)+COUNTIF(I11:M11,1)+COUNTIF(I11:M11,0)</f>
        <v>0</v>
      </c>
    </row>
    <row r="12" customFormat="false" ht="15" hidden="false" customHeight="true" outlineLevel="0" collapsed="false">
      <c r="A12" s="37" t="n">
        <v>6</v>
      </c>
      <c r="B12" s="37" t="s">
        <v>1013</v>
      </c>
      <c r="C12" s="37" t="s">
        <v>1014</v>
      </c>
      <c r="D12" s="395"/>
      <c r="E12" s="150"/>
      <c r="F12" s="117"/>
      <c r="G12" s="117"/>
      <c r="H12" s="152"/>
      <c r="I12" s="150"/>
      <c r="J12" s="117"/>
      <c r="K12" s="117"/>
      <c r="L12" s="117"/>
      <c r="M12" s="152"/>
      <c r="N12" s="394" t="str">
        <f aca="false">IFERROR(AVERAGE(I12:M12),"")</f>
        <v/>
      </c>
      <c r="O12" s="84" t="str">
        <f aca="false">IF(I12&lt;&gt;"",IF(COUNTIF(I12:M12,"&lt;3"),"Не успевает","Успевает"),"")</f>
        <v/>
      </c>
      <c r="P12" s="241" t="str">
        <f aca="false">IF(D12&lt;&gt;"",(30*(set!B$5)-D12)/(30*(set!B$5))*100,"")</f>
        <v/>
      </c>
      <c r="Q12" s="77" t="str">
        <f aca="false">IF(I12&lt;&gt;"",IF(N12&lt;1.85,"Выговор",IF(AND(N12&gt;1.85,N12&lt;3),"Предупреждение",IF(AND(N12&gt;3,N12&lt;=4.65),"Нормально",IF(AND(N12&gt;4.65,N12&lt;5.1,MIN(I12:M12)&gt;=4),"Благодарность","Нормально")))),"")</f>
        <v/>
      </c>
      <c r="R12" s="77" t="n">
        <f aca="false">COUNTIF(I12:M12,2)+COUNTIF(I12:M12,1)+COUNTIF(I12:M12,0)</f>
        <v>0</v>
      </c>
    </row>
    <row r="13" customFormat="false" ht="15" hidden="false" customHeight="true" outlineLevel="0" collapsed="false">
      <c r="A13" s="37" t="n">
        <v>7</v>
      </c>
      <c r="B13" s="37" t="s">
        <v>1015</v>
      </c>
      <c r="C13" s="37" t="s">
        <v>1016</v>
      </c>
      <c r="D13" s="395"/>
      <c r="E13" s="150"/>
      <c r="F13" s="117"/>
      <c r="G13" s="117"/>
      <c r="H13" s="152"/>
      <c r="I13" s="150"/>
      <c r="J13" s="117"/>
      <c r="K13" s="117"/>
      <c r="L13" s="117"/>
      <c r="M13" s="152"/>
      <c r="N13" s="394" t="str">
        <f aca="false">IFERROR(AVERAGE(I13:M13),"")</f>
        <v/>
      </c>
      <c r="O13" s="84" t="str">
        <f aca="false">IF(I13&lt;&gt;"",IF(COUNTIF(I13:M13,"&lt;3"),"Не успевает","Успевает"),"")</f>
        <v/>
      </c>
      <c r="P13" s="241" t="str">
        <f aca="false">IF(D13&lt;&gt;"",(30*(set!B$5)-D13)/(30*(set!B$5))*100,"")</f>
        <v/>
      </c>
      <c r="Q13" s="77" t="str">
        <f aca="false">IF(I13&lt;&gt;"",IF(N13&lt;1.85,"Выговор",IF(AND(N13&gt;1.85,N13&lt;3),"Предупреждение",IF(AND(N13&gt;3,N13&lt;=4.65),"Нормально",IF(AND(N13&gt;4.65,N13&lt;5.1,MIN(I13:M13)&gt;=4),"Благодарность","Нормально")))),"")</f>
        <v/>
      </c>
      <c r="R13" s="77" t="n">
        <f aca="false">COUNTIF(I13:M13,2)+COUNTIF(I13:M13,1)+COUNTIF(I13:M13,0)</f>
        <v>0</v>
      </c>
    </row>
    <row r="14" customFormat="false" ht="15" hidden="false" customHeight="true" outlineLevel="0" collapsed="false">
      <c r="A14" s="37" t="n">
        <v>8</v>
      </c>
      <c r="B14" s="37" t="s">
        <v>1017</v>
      </c>
      <c r="C14" s="37" t="s">
        <v>1018</v>
      </c>
      <c r="D14" s="395"/>
      <c r="E14" s="150"/>
      <c r="F14" s="117"/>
      <c r="G14" s="117"/>
      <c r="H14" s="152"/>
      <c r="I14" s="150"/>
      <c r="J14" s="117"/>
      <c r="K14" s="117"/>
      <c r="L14" s="117"/>
      <c r="M14" s="152"/>
      <c r="N14" s="394" t="str">
        <f aca="false">IFERROR(AVERAGE(I14:M14),"")</f>
        <v/>
      </c>
      <c r="O14" s="84" t="str">
        <f aca="false">IF(I14&lt;&gt;"",IF(COUNTIF(I14:M14,"&lt;3"),"Не успевает","Успевает"),"")</f>
        <v/>
      </c>
      <c r="P14" s="241" t="str">
        <f aca="false">IF(D14&lt;&gt;"",(30*(set!B$5)-D14)/(30*(set!B$5))*100,"")</f>
        <v/>
      </c>
      <c r="Q14" s="77" t="str">
        <f aca="false">IF(I14&lt;&gt;"",IF(N14&lt;1.85,"Выговор",IF(AND(N14&gt;1.85,N14&lt;3),"Предупреждение",IF(AND(N14&gt;3,N14&lt;=4.65),"Нормально",IF(AND(N14&gt;4.65,N14&lt;5.1,MIN(I14:M14)&gt;=4),"Благодарность","Нормально")))),"")</f>
        <v/>
      </c>
      <c r="R14" s="77" t="n">
        <f aca="false">COUNTIF(I14:M14,2)+COUNTIF(I14:M14,1)+COUNTIF(I14:M14,0)</f>
        <v>0</v>
      </c>
    </row>
    <row r="15" customFormat="false" ht="15" hidden="false" customHeight="true" outlineLevel="0" collapsed="false">
      <c r="A15" s="37" t="n">
        <v>9</v>
      </c>
      <c r="B15" s="37" t="s">
        <v>1019</v>
      </c>
      <c r="C15" s="37" t="s">
        <v>1020</v>
      </c>
      <c r="D15" s="395"/>
      <c r="E15" s="150"/>
      <c r="F15" s="117"/>
      <c r="G15" s="117"/>
      <c r="H15" s="152"/>
      <c r="I15" s="150"/>
      <c r="J15" s="117"/>
      <c r="K15" s="117"/>
      <c r="L15" s="117"/>
      <c r="M15" s="152"/>
      <c r="N15" s="394" t="str">
        <f aca="false">IFERROR(AVERAGE(I15:M15),"")</f>
        <v/>
      </c>
      <c r="O15" s="84" t="str">
        <f aca="false">IF(I15&lt;&gt;"",IF(COUNTIF(I15:M15,"&lt;3"),"Не успевает","Успевает"),"")</f>
        <v/>
      </c>
      <c r="P15" s="241" t="str">
        <f aca="false">IF(D15&lt;&gt;"",(30*(set!B$5)-D15)/(30*(set!B$5))*100,"")</f>
        <v/>
      </c>
      <c r="Q15" s="77" t="str">
        <f aca="false">IF(I15&lt;&gt;"",IF(N15&lt;1.85,"Выговор",IF(AND(N15&gt;1.85,N15&lt;3),"Предупреждение",IF(AND(N15&gt;3,N15&lt;=4.65),"Нормально",IF(AND(N15&gt;4.65,N15&lt;5.1,MIN(I15:M15)&gt;=4),"Благодарность","Нормально")))),"")</f>
        <v/>
      </c>
      <c r="R15" s="77" t="n">
        <f aca="false">COUNTIF(I15:M15,2)+COUNTIF(I15:M15,1)+COUNTIF(I15:M15,0)</f>
        <v>0</v>
      </c>
    </row>
    <row r="16" customFormat="false" ht="15" hidden="false" customHeight="true" outlineLevel="0" collapsed="false">
      <c r="A16" s="37" t="n">
        <v>10</v>
      </c>
      <c r="B16" s="37" t="s">
        <v>1021</v>
      </c>
      <c r="C16" s="37" t="s">
        <v>1022</v>
      </c>
      <c r="D16" s="395"/>
      <c r="E16" s="150"/>
      <c r="F16" s="117"/>
      <c r="G16" s="117"/>
      <c r="H16" s="152"/>
      <c r="I16" s="150"/>
      <c r="J16" s="117"/>
      <c r="K16" s="117"/>
      <c r="L16" s="117"/>
      <c r="M16" s="152"/>
      <c r="N16" s="394" t="str">
        <f aca="false">IFERROR(AVERAGE(I16:M16),"")</f>
        <v/>
      </c>
      <c r="O16" s="84" t="str">
        <f aca="false">IF(I16&lt;&gt;"",IF(COUNTIF(I16:M16,"&lt;3"),"Не успевает","Успевает"),"")</f>
        <v/>
      </c>
      <c r="P16" s="241" t="str">
        <f aca="false">IF(D16&lt;&gt;"",(30*(set!B$5)-D16)/(30*(set!B$5))*100,"")</f>
        <v/>
      </c>
      <c r="Q16" s="77" t="str">
        <f aca="false">IF(I16&lt;&gt;"",IF(N16&lt;1.85,"Выговор",IF(AND(N16&gt;1.85,N16&lt;3),"Предупреждение",IF(AND(N16&gt;3,N16&lt;=4.65),"Нормально",IF(AND(N16&gt;4.65,N16&lt;5.1,MIN(I16:M16)&gt;=4),"Благодарность","Нормально")))),"")</f>
        <v/>
      </c>
      <c r="R16" s="77" t="n">
        <f aca="false">COUNTIF(I16:M16,2)+COUNTIF(I16:M16,1)+COUNTIF(I16:M16,0)</f>
        <v>0</v>
      </c>
    </row>
    <row r="17" customFormat="false" ht="15" hidden="false" customHeight="true" outlineLevel="0" collapsed="false">
      <c r="A17" s="37" t="n">
        <v>11</v>
      </c>
      <c r="B17" s="37" t="s">
        <v>1023</v>
      </c>
      <c r="C17" s="37" t="s">
        <v>1024</v>
      </c>
      <c r="D17" s="395"/>
      <c r="E17" s="150"/>
      <c r="F17" s="117"/>
      <c r="G17" s="117"/>
      <c r="H17" s="152"/>
      <c r="I17" s="150"/>
      <c r="J17" s="117"/>
      <c r="K17" s="117"/>
      <c r="L17" s="117"/>
      <c r="M17" s="152"/>
      <c r="N17" s="394" t="str">
        <f aca="false">IFERROR(AVERAGE(I17:M17),"")</f>
        <v/>
      </c>
      <c r="O17" s="84" t="str">
        <f aca="false">IF(I17&lt;&gt;"",IF(COUNTIF(I17:M17,"&lt;3"),"Не успевает","Успевает"),"")</f>
        <v/>
      </c>
      <c r="P17" s="241" t="str">
        <f aca="false">IF(D17&lt;&gt;"",(30*(set!B$5)-D17)/(30*(set!B$5))*100,"")</f>
        <v/>
      </c>
      <c r="Q17" s="77" t="str">
        <f aca="false">IF(I17&lt;&gt;"",IF(N17&lt;1.85,"Выговор",IF(AND(N17&gt;1.85,N17&lt;3),"Предупреждение",IF(AND(N17&gt;3,N17&lt;=4.65),"Нормально",IF(AND(N17&gt;4.65,N17&lt;5.1,MIN(I17:M17)&gt;=4),"Благодарность","Нормально")))),"")</f>
        <v/>
      </c>
      <c r="R17" s="77" t="n">
        <f aca="false">COUNTIF(I17:M17,2)+COUNTIF(I17:M17,1)+COUNTIF(I17:M17,0)</f>
        <v>0</v>
      </c>
    </row>
    <row r="18" customFormat="false" ht="15" hidden="false" customHeight="true" outlineLevel="0" collapsed="false">
      <c r="A18" s="37" t="n">
        <v>12</v>
      </c>
      <c r="B18" s="37" t="s">
        <v>1025</v>
      </c>
      <c r="C18" s="37" t="s">
        <v>1026</v>
      </c>
      <c r="D18" s="395"/>
      <c r="E18" s="150"/>
      <c r="F18" s="117"/>
      <c r="G18" s="117"/>
      <c r="H18" s="152"/>
      <c r="I18" s="150"/>
      <c r="J18" s="117"/>
      <c r="K18" s="117"/>
      <c r="L18" s="117"/>
      <c r="M18" s="152"/>
      <c r="N18" s="394" t="str">
        <f aca="false">IFERROR(AVERAGE(I18:M18),"")</f>
        <v/>
      </c>
      <c r="O18" s="84" t="str">
        <f aca="false">IF(I18&lt;&gt;"",IF(COUNTIF(I18:M18,"&lt;3"),"Не успевает","Успевает"),"")</f>
        <v/>
      </c>
      <c r="P18" s="241" t="str">
        <f aca="false">IF(D18&lt;&gt;"",(30*(set!B$5)-D18)/(30*(set!B$5))*100,"")</f>
        <v/>
      </c>
      <c r="Q18" s="77" t="str">
        <f aca="false">IF(I18&lt;&gt;"",IF(N18&lt;1.85,"Выговор",IF(AND(N18&gt;1.85,N18&lt;3),"Предупреждение",IF(AND(N18&gt;3,N18&lt;=4.65),"Нормально",IF(AND(N18&gt;4.65,N18&lt;5.1,MIN(I18:M18)&gt;=4),"Благодарность","Нормально")))),"")</f>
        <v/>
      </c>
      <c r="R18" s="77" t="n">
        <f aca="false">COUNTIF(I18:M18,2)+COUNTIF(I18:M18,1)+COUNTIF(I18:M18,0)</f>
        <v>0</v>
      </c>
    </row>
    <row r="19" customFormat="false" ht="15" hidden="false" customHeight="true" outlineLevel="0" collapsed="false">
      <c r="A19" s="37" t="n">
        <v>13</v>
      </c>
      <c r="B19" s="37" t="s">
        <v>1027</v>
      </c>
      <c r="C19" s="37" t="s">
        <v>1028</v>
      </c>
      <c r="D19" s="395"/>
      <c r="E19" s="150"/>
      <c r="F19" s="117"/>
      <c r="G19" s="117"/>
      <c r="H19" s="152"/>
      <c r="I19" s="150"/>
      <c r="J19" s="117"/>
      <c r="K19" s="117"/>
      <c r="L19" s="117"/>
      <c r="M19" s="152"/>
      <c r="N19" s="394" t="str">
        <f aca="false">IFERROR(AVERAGE(I19:M19),"")</f>
        <v/>
      </c>
      <c r="O19" s="84" t="str">
        <f aca="false">IF(I19&lt;&gt;"",IF(COUNTIF(I19:M19,"&lt;3"),"Не успевает","Успевает"),"")</f>
        <v/>
      </c>
      <c r="P19" s="241" t="str">
        <f aca="false">IF(D19&lt;&gt;"",(30*(set!B$5)-D19)/(30*(set!B$5))*100,"")</f>
        <v/>
      </c>
      <c r="Q19" s="77" t="str">
        <f aca="false">IF(I19&lt;&gt;"",IF(N19&lt;1.85,"Выговор",IF(AND(N19&gt;1.85,N19&lt;3),"Предупреждение",IF(AND(N19&gt;3,N19&lt;=4.65),"Нормально",IF(AND(N19&gt;4.65,N19&lt;5.1,MIN(I19:M19)&gt;=4),"Благодарность","Нормально")))),"")</f>
        <v/>
      </c>
      <c r="R19" s="77" t="n">
        <f aca="false">COUNTIF(I19:M19,2)+COUNTIF(I19:M19,1)+COUNTIF(I19:M19,0)</f>
        <v>0</v>
      </c>
    </row>
    <row r="20" customFormat="false" ht="15" hidden="false" customHeight="true" outlineLevel="0" collapsed="false">
      <c r="A20" s="37" t="n">
        <v>14</v>
      </c>
      <c r="B20" s="37" t="s">
        <v>1029</v>
      </c>
      <c r="C20" s="37" t="s">
        <v>1030</v>
      </c>
      <c r="D20" s="395"/>
      <c r="E20" s="150"/>
      <c r="F20" s="117"/>
      <c r="G20" s="117"/>
      <c r="H20" s="152"/>
      <c r="I20" s="150"/>
      <c r="J20" s="117"/>
      <c r="K20" s="117"/>
      <c r="L20" s="117"/>
      <c r="M20" s="152"/>
      <c r="N20" s="394" t="str">
        <f aca="false">IFERROR(AVERAGE(I20:M20),"")</f>
        <v/>
      </c>
      <c r="O20" s="84" t="str">
        <f aca="false">IF(I20&lt;&gt;"",IF(COUNTIF(I20:M20,"&lt;3"),"Не успевает","Успевает"),"")</f>
        <v/>
      </c>
      <c r="P20" s="241" t="str">
        <f aca="false">IF(D20&lt;&gt;"",(30*(set!B$5)-D20)/(30*(set!B$5))*100,"")</f>
        <v/>
      </c>
      <c r="Q20" s="77" t="str">
        <f aca="false">IF(I20&lt;&gt;"",IF(N20&lt;1.85,"Выговор",IF(AND(N20&gt;1.85,N20&lt;3),"Предупреждение",IF(AND(N20&gt;3,N20&lt;=4.65),"Нормально",IF(AND(N20&gt;4.65,N20&lt;5.1,MIN(I20:M20)&gt;=4),"Благодарность","Нормально")))),"")</f>
        <v/>
      </c>
      <c r="R20" s="77" t="n">
        <f aca="false">COUNTIF(I20:M20,2)+COUNTIF(I20:M20,1)+COUNTIF(I20:M20,0)</f>
        <v>0</v>
      </c>
    </row>
    <row r="21" s="45" customFormat="true" ht="15" hidden="false" customHeight="true" outlineLevel="0" collapsed="false">
      <c r="A21" s="37" t="n">
        <v>15</v>
      </c>
      <c r="B21" s="37" t="s">
        <v>1031</v>
      </c>
      <c r="C21" s="37" t="s">
        <v>1032</v>
      </c>
      <c r="D21" s="395"/>
      <c r="E21" s="150"/>
      <c r="F21" s="117"/>
      <c r="G21" s="117"/>
      <c r="H21" s="152"/>
      <c r="I21" s="150"/>
      <c r="J21" s="117"/>
      <c r="K21" s="117"/>
      <c r="L21" s="117"/>
      <c r="M21" s="152"/>
      <c r="N21" s="394" t="str">
        <f aca="false">IFERROR(AVERAGE(I21:M21),"")</f>
        <v/>
      </c>
      <c r="O21" s="84" t="str">
        <f aca="false">IF(I21&lt;&gt;"",IF(COUNTIF(I21:M21,"&lt;3"),"Не успевает","Успевает"),"")</f>
        <v/>
      </c>
      <c r="P21" s="241" t="str">
        <f aca="false">IF(D21&lt;&gt;"",(30*(set!B$5)-D21)/(30*(set!B$5))*100,"")</f>
        <v/>
      </c>
      <c r="Q21" s="77" t="str">
        <f aca="false">IF(I21&lt;&gt;"",IF(N21&lt;1.85,"Выговор",IF(AND(N21&gt;1.85,N21&lt;3),"Предупреждение",IF(AND(N21&gt;3,N21&lt;=4.65),"Нормально",IF(AND(N21&gt;4.65,N21&lt;5.1,MIN(I21:M21)&gt;=4),"Благодарность","Нормально")))),"")</f>
        <v/>
      </c>
      <c r="R21" s="77" t="n">
        <f aca="false">COUNTIF(I21:M21,2)+COUNTIF(I21:M21,1)+COUNTIF(I21:M21,0)</f>
        <v>0</v>
      </c>
    </row>
    <row r="22" customFormat="false" ht="15" hidden="false" customHeight="true" outlineLevel="0" collapsed="false">
      <c r="A22" s="37" t="n">
        <v>16</v>
      </c>
      <c r="B22" s="37" t="s">
        <v>1033</v>
      </c>
      <c r="C22" s="37" t="s">
        <v>1034</v>
      </c>
      <c r="D22" s="395"/>
      <c r="E22" s="150"/>
      <c r="F22" s="117"/>
      <c r="G22" s="117"/>
      <c r="H22" s="152"/>
      <c r="I22" s="150"/>
      <c r="J22" s="117"/>
      <c r="K22" s="117"/>
      <c r="L22" s="117"/>
      <c r="M22" s="152"/>
      <c r="N22" s="394" t="str">
        <f aca="false">IFERROR(AVERAGE(I22:M22),"")</f>
        <v/>
      </c>
      <c r="O22" s="84" t="str">
        <f aca="false">IF(I22&lt;&gt;"",IF(COUNTIF(I22:M22,"&lt;3"),"Не успевает","Успевает"),"")</f>
        <v/>
      </c>
      <c r="P22" s="241" t="str">
        <f aca="false">IF(D22&lt;&gt;"",(30*(set!B$5)-D22)/(30*(set!B$5))*100,"")</f>
        <v/>
      </c>
      <c r="Q22" s="77" t="str">
        <f aca="false">IF(I22&lt;&gt;"",IF(N22&lt;1.85,"Выговор",IF(AND(N22&gt;1.85,N22&lt;3),"Предупреждение",IF(AND(N22&gt;3,N22&lt;=4.65),"Нормально",IF(AND(N22&gt;4.65,N22&lt;5.1,MIN(I22:M22)&gt;=4),"Благодарность","Нормально")))),"")</f>
        <v/>
      </c>
      <c r="R22" s="77" t="n">
        <f aca="false">COUNTIF(I22:M22,2)+COUNTIF(I22:M22,1)+COUNTIF(I22:M22,0)</f>
        <v>0</v>
      </c>
    </row>
    <row r="23" customFormat="false" ht="15" hidden="false" customHeight="true" outlineLevel="0" collapsed="false">
      <c r="A23" s="0" t="s">
        <v>77</v>
      </c>
      <c r="D23" s="210"/>
      <c r="E23" s="210" t="e">
        <f aca="false">AVERAGE(E8:E22)</f>
        <v>#DIV/0!</v>
      </c>
      <c r="F23" s="210" t="e">
        <f aca="false">AVERAGE(F8:F22)</f>
        <v>#DIV/0!</v>
      </c>
      <c r="G23" s="210" t="e">
        <f aca="false">AVERAGE(G8:G22)</f>
        <v>#DIV/0!</v>
      </c>
      <c r="H23" s="210" t="e">
        <f aca="false">AVERAGE(H8:H22)</f>
        <v>#DIV/0!</v>
      </c>
      <c r="I23" s="210" t="e">
        <f aca="false">AVERAGE(E8:E22)</f>
        <v>#DIV/0!</v>
      </c>
      <c r="J23" s="210" t="e">
        <f aca="false">AVERAGE(J8:J22)</f>
        <v>#DIV/0!</v>
      </c>
      <c r="K23" s="210" t="e">
        <f aca="false">AVERAGE(K8:K22)</f>
        <v>#DIV/0!</v>
      </c>
      <c r="L23" s="210" t="e">
        <f aca="false">AVERAGE(L8:L22)</f>
        <v>#DIV/0!</v>
      </c>
      <c r="M23" s="210" t="e">
        <f aca="false">AVERAGE(M8:M22)</f>
        <v>#DIV/0!</v>
      </c>
      <c r="N23" s="48"/>
      <c r="O23" s="48"/>
      <c r="P23" s="48"/>
    </row>
    <row r="24" customFormat="false" ht="15" hidden="false" customHeight="true" outlineLevel="0" collapsed="false">
      <c r="A24" s="0" t="s">
        <v>78</v>
      </c>
      <c r="D24" s="210"/>
      <c r="E24" s="210" t="e">
        <f aca="false">(COUNTIF(E8:E22,5)+COUNTIF(E8:E22,4)+COUNTIF(E8:E22,3))/$P$28*100</f>
        <v>#DIV/0!</v>
      </c>
      <c r="F24" s="210" t="e">
        <f aca="false">(COUNTIF(F8:F22,5)+COUNTIF(F8:F22,4)+COUNTIF(F8:F22,3))/$P$28*100</f>
        <v>#DIV/0!</v>
      </c>
      <c r="G24" s="210" t="e">
        <f aca="false">(COUNTIF(G8:G22,5)+COUNTIF(G8:G22,4)+COUNTIF(G8:G22,3))/$P$28*100</f>
        <v>#DIV/0!</v>
      </c>
      <c r="H24" s="210" t="e">
        <f aca="false">(COUNTIF(H8:H22,5)+COUNTIF(H8:H22,4)+COUNTIF(H8:H22,3))/$P$28*100</f>
        <v>#DIV/0!</v>
      </c>
      <c r="I24" s="210" t="e">
        <f aca="false">(COUNTIF(I8:I22,5)+COUNTIF(I8:I22,4)+COUNTIF(I8:I22,3))/$P$28*100</f>
        <v>#DIV/0!</v>
      </c>
      <c r="J24" s="210" t="e">
        <f aca="false">(COUNTIF(J8:J22,5)+COUNTIF(J8:J22,4)+COUNTIF(J8:J22,3))/$P$28*100</f>
        <v>#DIV/0!</v>
      </c>
      <c r="K24" s="210" t="e">
        <f aca="false">(COUNTIF(K8:K22,5)+COUNTIF(K8:K22,4)+COUNTIF(K8:K22,3))/$P$28*100</f>
        <v>#DIV/0!</v>
      </c>
      <c r="L24" s="210" t="e">
        <f aca="false">(COUNTIF(L8:L22,5)+COUNTIF(L8:L22,4)+COUNTIF(L8:L22,3))/$P$28*100</f>
        <v>#DIV/0!</v>
      </c>
      <c r="M24" s="210" t="e">
        <f aca="false">(COUNTIF(M8:M22,5)+COUNTIF(M8:M22,4)+COUNTIF(M8:M22,3))/$P$28*100</f>
        <v>#DIV/0!</v>
      </c>
      <c r="N24" s="48"/>
      <c r="O24" s="48"/>
      <c r="P24" s="48"/>
    </row>
    <row r="25" customFormat="false" ht="15" hidden="false" customHeight="true" outlineLevel="0" collapsed="false">
      <c r="I25" s="48"/>
      <c r="J25" s="48"/>
      <c r="K25" s="48"/>
      <c r="L25" s="48"/>
      <c r="M25" s="48"/>
      <c r="N25" s="48"/>
      <c r="O25" s="48"/>
      <c r="P25" s="48"/>
      <c r="Q25" s="48"/>
    </row>
    <row r="26" customFormat="false" ht="15" hidden="false" customHeight="true" outlineLevel="0" collapsed="false">
      <c r="B26" s="50"/>
      <c r="C26" s="50" t="s">
        <v>8</v>
      </c>
      <c r="D26" s="51" t="str">
        <f aca="false">IFERROR(AVERAGE(N8:N22),"")</f>
        <v/>
      </c>
      <c r="E26" s="51"/>
      <c r="F26" s="51"/>
      <c r="G26" s="51"/>
      <c r="H26" s="51"/>
      <c r="J26" s="52" t="s">
        <v>9</v>
      </c>
      <c r="L26" s="53" t="str">
        <f aca="false">IFERROR(COUNTIF(O8:O22,"Успевает")/P28*100,"")</f>
        <v/>
      </c>
      <c r="M26" s="55" t="s">
        <v>10</v>
      </c>
      <c r="O26" s="55" t="str">
        <f aca="false">IFERROR(AVERAGE(P8:P22),"")</f>
        <v/>
      </c>
      <c r="P26" s="48"/>
      <c r="Q26" s="48"/>
    </row>
    <row r="27" customFormat="false" ht="15" hidden="false" customHeight="true" outlineLevel="0" collapsed="false">
      <c r="B27" s="50"/>
      <c r="C27" s="50"/>
      <c r="D27" s="50"/>
      <c r="E27" s="50"/>
      <c r="F27" s="50"/>
      <c r="G27" s="50"/>
      <c r="H27" s="50"/>
      <c r="I27" s="56"/>
      <c r="J27" s="56"/>
      <c r="K27" s="56"/>
      <c r="L27" s="56"/>
      <c r="M27" s="56"/>
    </row>
    <row r="28" customFormat="false" ht="15" hidden="false" customHeight="true" outlineLevel="0" collapsed="false">
      <c r="A28" s="50"/>
      <c r="B28" s="261" t="s">
        <v>81</v>
      </c>
      <c r="C28" s="261"/>
      <c r="D28" s="261"/>
      <c r="E28" s="261"/>
      <c r="F28" s="261"/>
      <c r="G28" s="261"/>
      <c r="H28" s="261"/>
      <c r="I28" s="261"/>
      <c r="J28" s="261"/>
      <c r="K28" s="261" t="s">
        <v>82</v>
      </c>
      <c r="L28" s="261"/>
      <c r="M28" s="56"/>
      <c r="N28" s="396" t="s">
        <v>80</v>
      </c>
      <c r="O28" s="396"/>
      <c r="P28" s="58" t="n">
        <f aca="false">SUM(P29,P30)</f>
        <v>0</v>
      </c>
    </row>
    <row r="29" customFormat="false" ht="15" hidden="false" customHeight="true" outlineLevel="0" collapsed="false">
      <c r="A29" s="50"/>
      <c r="B29" s="141" t="str">
        <f aca="false">$E$6</f>
        <v> Искусственные нейронные сети</v>
      </c>
      <c r="C29" s="141"/>
      <c r="D29" s="141"/>
      <c r="E29" s="141"/>
      <c r="F29" s="141"/>
      <c r="G29" s="141"/>
      <c r="H29" s="141"/>
      <c r="I29" s="141"/>
      <c r="J29" s="141"/>
      <c r="K29" s="397"/>
      <c r="L29" s="397"/>
      <c r="M29" s="67"/>
      <c r="N29" s="396" t="s">
        <v>83</v>
      </c>
      <c r="O29" s="396"/>
      <c r="P29" s="58" t="n">
        <f aca="false">COUNTIF(O8:O23,"Успевает")</f>
        <v>0</v>
      </c>
    </row>
    <row r="30" customFormat="false" ht="15" hidden="false" customHeight="true" outlineLevel="0" collapsed="false">
      <c r="A30" s="50"/>
      <c r="B30" s="141" t="str">
        <f aca="false">$F$6</f>
        <v> Методологии разработки программного обеспечения</v>
      </c>
      <c r="C30" s="141"/>
      <c r="D30" s="141"/>
      <c r="E30" s="141"/>
      <c r="F30" s="141"/>
      <c r="G30" s="141"/>
      <c r="H30" s="141"/>
      <c r="I30" s="141"/>
      <c r="J30" s="141"/>
      <c r="K30" s="397"/>
      <c r="L30" s="397"/>
      <c r="M30" s="67"/>
      <c r="N30" s="184" t="s">
        <v>84</v>
      </c>
      <c r="O30" s="184"/>
      <c r="P30" s="58" t="n">
        <f aca="false">COUNTIF(O8:O22,"Не успевает")</f>
        <v>0</v>
      </c>
      <c r="Q30" s="59"/>
    </row>
    <row r="31" customFormat="false" ht="15" hidden="false" customHeight="true" outlineLevel="0" collapsed="false">
      <c r="A31" s="50"/>
      <c r="B31" s="141" t="str">
        <f aca="false">$G$6</f>
        <v>Научно-исследовательская работа</v>
      </c>
      <c r="C31" s="141"/>
      <c r="D31" s="141"/>
      <c r="E31" s="141"/>
      <c r="F31" s="141"/>
      <c r="G31" s="141"/>
      <c r="H31" s="141"/>
      <c r="I31" s="141"/>
      <c r="J31" s="141"/>
      <c r="K31" s="397"/>
      <c r="L31" s="397"/>
      <c r="M31" s="67"/>
      <c r="N31" s="184" t="s">
        <v>85</v>
      </c>
      <c r="O31" s="184"/>
      <c r="P31" s="58" t="n">
        <f aca="false">COUNTIF(Q8:Q22,"Благодарность")</f>
        <v>0</v>
      </c>
      <c r="Q31" s="64"/>
    </row>
    <row r="32" customFormat="false" ht="15" hidden="false" customHeight="true" outlineLevel="0" collapsed="false">
      <c r="A32" s="50"/>
      <c r="B32" s="141" t="str">
        <f aca="false">$H$6</f>
        <v>Системы передачи данных</v>
      </c>
      <c r="C32" s="141"/>
      <c r="D32" s="141"/>
      <c r="E32" s="141"/>
      <c r="F32" s="141"/>
      <c r="G32" s="141"/>
      <c r="H32" s="141"/>
      <c r="I32" s="141"/>
      <c r="J32" s="141"/>
      <c r="K32" s="397"/>
      <c r="L32" s="397"/>
      <c r="M32" s="67"/>
      <c r="N32" s="184" t="s">
        <v>86</v>
      </c>
      <c r="O32" s="184"/>
      <c r="P32" s="58" t="n">
        <f aca="false">COUNTIF(Q8:Q22,"Нормально")</f>
        <v>0</v>
      </c>
      <c r="Q32" s="99"/>
    </row>
    <row r="33" customFormat="false" ht="15" hidden="false" customHeight="true" outlineLevel="0" collapsed="false">
      <c r="A33" s="50"/>
      <c r="B33" s="141" t="str">
        <f aca="false">$I$6</f>
        <v> Архитектура вычислительных систем (к.п.)</v>
      </c>
      <c r="C33" s="141"/>
      <c r="D33" s="141"/>
      <c r="E33" s="141"/>
      <c r="F33" s="141"/>
      <c r="G33" s="141"/>
      <c r="H33" s="141"/>
      <c r="I33" s="141"/>
      <c r="J33" s="141"/>
      <c r="K33" s="397"/>
      <c r="L33" s="397"/>
      <c r="M33" s="67"/>
      <c r="N33" s="184" t="s">
        <v>87</v>
      </c>
      <c r="O33" s="184"/>
      <c r="P33" s="58" t="n">
        <f aca="false">COUNTIF(Q8:Q22,"Предупреждение")</f>
        <v>0</v>
      </c>
      <c r="Q33" s="48"/>
    </row>
    <row r="34" customFormat="false" ht="15" hidden="false" customHeight="true" outlineLevel="0" collapsed="false">
      <c r="A34" s="50"/>
      <c r="B34" s="398" t="str">
        <f aca="false">$J$6</f>
        <v> Беспроводные технологии передачи данных</v>
      </c>
      <c r="C34" s="398"/>
      <c r="D34" s="398"/>
      <c r="E34" s="398"/>
      <c r="F34" s="398"/>
      <c r="G34" s="398"/>
      <c r="H34" s="398"/>
      <c r="I34" s="398"/>
      <c r="J34" s="398"/>
      <c r="K34" s="399"/>
      <c r="L34" s="399"/>
      <c r="M34" s="67"/>
      <c r="N34" s="184" t="s">
        <v>88</v>
      </c>
      <c r="O34" s="184"/>
      <c r="P34" s="58" t="n">
        <f aca="false">COUNTIF(Q8:Q22,"Выговор")</f>
        <v>0</v>
      </c>
      <c r="Q34" s="48"/>
    </row>
    <row r="35" customFormat="false" ht="15" hidden="false" customHeight="true" outlineLevel="0" collapsed="false">
      <c r="A35" s="50"/>
      <c r="B35" s="398" t="str">
        <f aca="false">$K$6</f>
        <v> Методы машинного обучения </v>
      </c>
      <c r="C35" s="398"/>
      <c r="D35" s="398"/>
      <c r="E35" s="398"/>
      <c r="F35" s="398"/>
      <c r="G35" s="398"/>
      <c r="H35" s="398"/>
      <c r="I35" s="398"/>
      <c r="J35" s="398"/>
      <c r="K35" s="399"/>
      <c r="L35" s="399"/>
      <c r="M35" s="67"/>
      <c r="N35" s="400" t="s">
        <v>12</v>
      </c>
      <c r="O35" s="380"/>
      <c r="P35" s="186" t="n">
        <f aca="false">SUM(R8:R22)</f>
        <v>0</v>
      </c>
      <c r="Q35" s="48"/>
    </row>
    <row r="36" customFormat="false" ht="15" hidden="false" customHeight="true" outlineLevel="0" collapsed="false">
      <c r="A36" s="50"/>
      <c r="B36" s="398" t="str">
        <f aca="false">$L$6</f>
        <v>Научно-исследовательская работа</v>
      </c>
      <c r="C36" s="398"/>
      <c r="D36" s="398"/>
      <c r="E36" s="398"/>
      <c r="F36" s="398"/>
      <c r="G36" s="398"/>
      <c r="H36" s="398"/>
      <c r="I36" s="398"/>
      <c r="J36" s="398"/>
      <c r="K36" s="399"/>
      <c r="L36" s="399"/>
      <c r="M36" s="67"/>
      <c r="Q36" s="48"/>
    </row>
    <row r="37" customFormat="false" ht="15" hidden="false" customHeight="true" outlineLevel="0" collapsed="false">
      <c r="A37" s="50"/>
      <c r="B37" s="141" t="str">
        <f aca="false">$M$6</f>
        <v> Экономика</v>
      </c>
      <c r="C37" s="141"/>
      <c r="D37" s="141"/>
      <c r="E37" s="141"/>
      <c r="F37" s="141"/>
      <c r="G37" s="141"/>
      <c r="H37" s="141"/>
      <c r="I37" s="141"/>
      <c r="J37" s="141"/>
      <c r="K37" s="397"/>
      <c r="L37" s="397"/>
      <c r="M37" s="67"/>
      <c r="Q37" s="48"/>
    </row>
    <row r="38" customFormat="false" ht="15" hidden="false" customHeight="true" outlineLevel="0" collapsed="false">
      <c r="A38" s="50"/>
      <c r="B38" s="139"/>
      <c r="C38" s="139"/>
      <c r="D38" s="139"/>
      <c r="E38" s="139"/>
      <c r="F38" s="139"/>
      <c r="G38" s="139"/>
      <c r="H38" s="139"/>
      <c r="I38" s="139"/>
      <c r="J38" s="139"/>
      <c r="K38" s="401"/>
      <c r="L38" s="401"/>
      <c r="M38" s="67"/>
      <c r="N38" s="67"/>
      <c r="O38" s="67"/>
      <c r="P38" s="67"/>
      <c r="Q38" s="48"/>
    </row>
    <row r="39" customFormat="false" ht="15" hidden="false" customHeight="true" outlineLevel="0" collapsed="false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48"/>
      <c r="N39" s="48"/>
      <c r="O39" s="48"/>
      <c r="P39" s="48"/>
      <c r="Q39" s="48"/>
    </row>
    <row r="40" customFormat="false" ht="15" hidden="false" customHeight="true" outlineLevel="0" collapsed="false">
      <c r="A40" s="50"/>
      <c r="B40" s="362" t="s">
        <v>89</v>
      </c>
      <c r="C40" s="402" t="s">
        <v>1035</v>
      </c>
      <c r="D40" s="378"/>
      <c r="E40" s="378"/>
      <c r="F40" s="378"/>
      <c r="G40" s="378"/>
      <c r="H40" s="378"/>
      <c r="I40" s="52" t="s">
        <v>369</v>
      </c>
      <c r="J40" s="300" t="s">
        <v>995</v>
      </c>
      <c r="K40" s="52"/>
      <c r="L40" s="52"/>
      <c r="M40" s="48"/>
    </row>
    <row r="41" customFormat="false" ht="15" hidden="false" customHeight="true" outlineLevel="0" collapsed="false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48"/>
    </row>
    <row r="42" customFormat="false" ht="15" hidden="false" customHeight="true" outlineLevel="0" collapsed="false">
      <c r="A42" s="50"/>
      <c r="B42" s="197" t="s">
        <v>93</v>
      </c>
      <c r="C42" s="197"/>
      <c r="D42" s="50"/>
      <c r="E42" s="50"/>
      <c r="F42" s="50"/>
      <c r="G42" s="50"/>
      <c r="H42" s="50"/>
      <c r="I42" s="50"/>
      <c r="J42" s="50"/>
      <c r="K42" s="50"/>
      <c r="L42" s="50"/>
      <c r="M42" s="48"/>
    </row>
    <row r="43" customFormat="false" ht="15" hidden="false" customHeight="true" outlineLevel="0" collapsed="false">
      <c r="A43" s="50"/>
      <c r="B43" s="50" t="s">
        <v>94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48"/>
    </row>
    <row r="44" customFormat="false" ht="15" hidden="false" customHeight="true" outlineLevel="0" collapsed="false">
      <c r="A44" s="50"/>
      <c r="B44" s="50" t="s">
        <v>95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48"/>
    </row>
    <row r="45" customFormat="false" ht="15" hidden="false" customHeight="true" outlineLevel="0" collapsed="false">
      <c r="A45" s="50"/>
      <c r="B45" s="52" t="s">
        <v>96</v>
      </c>
      <c r="C45" s="52"/>
      <c r="D45" s="52"/>
      <c r="E45" s="52"/>
      <c r="F45" s="52"/>
      <c r="G45" s="52"/>
      <c r="H45" s="52"/>
      <c r="I45" s="52"/>
      <c r="J45" s="52"/>
      <c r="K45" s="50"/>
      <c r="L45" s="50"/>
      <c r="M45" s="48"/>
      <c r="N45" s="67"/>
      <c r="O45" s="67"/>
      <c r="P45" s="67"/>
      <c r="Q45" s="48"/>
    </row>
    <row r="46" customFormat="false" ht="15" hidden="false" customHeight="true" outlineLevel="0" collapsed="false">
      <c r="A46" s="50"/>
      <c r="B46" s="50" t="s">
        <v>97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48"/>
      <c r="N46" s="48"/>
      <c r="O46" s="48"/>
      <c r="P46" s="48"/>
      <c r="Q46" s="48"/>
    </row>
    <row r="47" customFormat="false" ht="15" hidden="false" customHeight="true" outlineLevel="0" collapsed="false">
      <c r="A47" s="50"/>
      <c r="B47" s="50" t="s">
        <v>98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48"/>
      <c r="N47" s="48"/>
      <c r="O47" s="48"/>
      <c r="P47" s="48"/>
      <c r="Q47" s="48"/>
    </row>
    <row r="48" customFormat="false" ht="15" hidden="false" customHeight="true" outlineLevel="0" collapsed="false">
      <c r="A48" s="50"/>
      <c r="B48" s="50" t="s">
        <v>99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48"/>
      <c r="N48" s="48"/>
      <c r="O48" s="48"/>
      <c r="P48" s="48"/>
      <c r="Q48" s="48"/>
    </row>
  </sheetData>
  <mergeCells count="33">
    <mergeCell ref="C1:K1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B28:J28"/>
    <mergeCell ref="K28:L28"/>
    <mergeCell ref="B29:J29"/>
    <mergeCell ref="K29:L29"/>
    <mergeCell ref="B30:J30"/>
    <mergeCell ref="K30:L30"/>
    <mergeCell ref="B31:J31"/>
    <mergeCell ref="K31:L31"/>
    <mergeCell ref="B32:J32"/>
    <mergeCell ref="K32:L32"/>
    <mergeCell ref="B33:J33"/>
    <mergeCell ref="K33:L33"/>
    <mergeCell ref="B34:J34"/>
    <mergeCell ref="K34:L34"/>
    <mergeCell ref="B35:J35"/>
    <mergeCell ref="K35:L35"/>
    <mergeCell ref="B36:J36"/>
    <mergeCell ref="K36:L36"/>
    <mergeCell ref="B37:J37"/>
    <mergeCell ref="K37:L37"/>
    <mergeCell ref="B42:C42"/>
  </mergeCells>
  <conditionalFormatting sqref="G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1:H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5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5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4:H15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6:H20 F22:H22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E15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H24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E20 E22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5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5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5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4:M15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23:D24 I23:M24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6:M20 I22:M22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1:M21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13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H13">
    <cfRule type="colorScale" priority="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8:M13">
    <cfRule type="colorScale" priority="2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2">
    <cfRule type="colorScale" priority="2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9"/>
  <sheetViews>
    <sheetView showFormulas="false" showGridLines="true" showRowColHeaders="true" showZeros="true" rightToLeft="false" tabSelected="false" showOutlineSymbols="true" defaultGridColor="true" view="normal" topLeftCell="A9" colorId="64" zoomScale="140" zoomScaleNormal="140" zoomScalePageLayoutView="100" workbookViewId="0">
      <selection pane="topLeft" activeCell="C18" activeCellId="0" sqref="C1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3" min="3" style="0" width="17"/>
    <col collapsed="false" customWidth="false" hidden="false" outlineLevel="0" max="8" min="5" style="45" width="9.14"/>
    <col collapsed="false" customWidth="true" hidden="false" outlineLevel="0" max="9" min="9" style="0" width="8.86"/>
    <col collapsed="false" customWidth="true" hidden="false" outlineLevel="0" max="15" min="15" style="0" width="11"/>
    <col collapsed="false" customWidth="true" hidden="false" outlineLevel="0" max="16" min="16" style="0" width="9.42"/>
    <col collapsed="false" customWidth="true" hidden="false" outlineLevel="0" max="17" min="17" style="0" width="12.29"/>
    <col collapsed="false" customWidth="true" hidden="false" outlineLevel="0" max="18" min="18" style="0" width="5"/>
    <col collapsed="false" customWidth="true" hidden="false" outlineLevel="0" max="20" min="19" style="0" width="4.14"/>
  </cols>
  <sheetData>
    <row r="1" customFormat="false" ht="19.7" hidden="false" customHeight="false" outlineLevel="0" collapsed="false">
      <c r="C1" s="216" t="s">
        <v>0</v>
      </c>
      <c r="D1" s="216"/>
      <c r="E1" s="216"/>
      <c r="F1" s="216"/>
      <c r="G1" s="216"/>
      <c r="H1" s="216"/>
      <c r="I1" s="216"/>
      <c r="J1" s="216"/>
    </row>
    <row r="2" customFormat="false" ht="15" hidden="false" customHeight="false" outlineLevel="0" collapsed="false">
      <c r="L2" s="5" t="s">
        <v>1</v>
      </c>
      <c r="M2" s="5"/>
      <c r="N2" s="5"/>
      <c r="O2" s="146" t="n">
        <f aca="false">set!B4</f>
        <v>45608</v>
      </c>
      <c r="P2" s="75"/>
      <c r="Q2" s="72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ИУК2-72Б факультета ИУК МГТУ им. Н.Э. Баумана"</f>
        <v>Успеваемость студентов за 1 семестр 24/25 учебного года по группе ИУК2-72Б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351" t="s">
        <v>2</v>
      </c>
      <c r="B5" s="8" t="s">
        <v>3</v>
      </c>
      <c r="C5" s="8" t="s">
        <v>4</v>
      </c>
      <c r="D5" s="403" t="s">
        <v>5</v>
      </c>
      <c r="E5" s="390" t="s">
        <v>7</v>
      </c>
      <c r="F5" s="390"/>
      <c r="G5" s="390"/>
      <c r="H5" s="390"/>
      <c r="I5" s="404" t="s">
        <v>7</v>
      </c>
      <c r="J5" s="404"/>
      <c r="K5" s="404"/>
      <c r="L5" s="404"/>
      <c r="M5" s="404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.45" hidden="false" customHeight="false" outlineLevel="0" collapsed="false">
      <c r="A6" s="351"/>
      <c r="B6" s="8"/>
      <c r="C6" s="8"/>
      <c r="D6" s="403"/>
      <c r="E6" s="339" t="s">
        <v>996</v>
      </c>
      <c r="F6" s="340" t="s">
        <v>997</v>
      </c>
      <c r="G6" s="340" t="s">
        <v>467</v>
      </c>
      <c r="H6" s="342" t="s">
        <v>998</v>
      </c>
      <c r="I6" s="405" t="s">
        <v>999</v>
      </c>
      <c r="J6" s="340" t="s">
        <v>1000</v>
      </c>
      <c r="K6" s="340" t="s">
        <v>1001</v>
      </c>
      <c r="L6" s="340" t="s">
        <v>467</v>
      </c>
      <c r="M6" s="342" t="s">
        <v>1002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351"/>
      <c r="B7" s="8"/>
      <c r="C7" s="8"/>
      <c r="D7" s="403"/>
      <c r="E7" s="365" t="s">
        <v>509</v>
      </c>
      <c r="F7" s="366" t="s">
        <v>509</v>
      </c>
      <c r="G7" s="366" t="s">
        <v>1003</v>
      </c>
      <c r="H7" s="406" t="s">
        <v>509</v>
      </c>
      <c r="I7" s="407" t="s">
        <v>549</v>
      </c>
      <c r="J7" s="344" t="s">
        <v>1004</v>
      </c>
      <c r="K7" s="344" t="s">
        <v>742</v>
      </c>
      <c r="L7" s="344" t="s">
        <v>548</v>
      </c>
      <c r="M7" s="346" t="s">
        <v>380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1036</v>
      </c>
      <c r="C8" s="25" t="s">
        <v>1037</v>
      </c>
      <c r="D8" s="408"/>
      <c r="E8" s="78"/>
      <c r="F8" s="79"/>
      <c r="G8" s="79"/>
      <c r="H8" s="80"/>
      <c r="I8" s="409"/>
      <c r="J8" s="82"/>
      <c r="K8" s="82"/>
      <c r="L8" s="82"/>
      <c r="M8" s="83"/>
      <c r="N8" s="394" t="str">
        <f aca="false">IFERROR(AVERAGE(I8:M8),"")</f>
        <v/>
      </c>
      <c r="O8" s="84" t="str">
        <f aca="false">IF(I8&lt;&gt;"",IF(COUNTIF(I8:M8,"&lt;3"),"Не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>IF(I8&lt;&gt;"",IF(N8&lt;1.85,"Выговор",IF(AND(N8&gt;1.85,N8&lt;3),"Предупреждение",IF(AND(N8&gt;3,N8&lt;=4.65),"Нормально",IF(AND(N8&gt;4.65,N8&lt;5.1,MIN(I8:M8)&gt;=4),"Благодарность","Нормально")))),"")</f>
        <v/>
      </c>
      <c r="R8" s="77" t="n">
        <f aca="false">COUNTIF(I8:M8,2)+COUNTIF(I8:M8,1)+COUNTIF(I8:M8,0)</f>
        <v>0</v>
      </c>
    </row>
    <row r="9" customFormat="false" ht="15" hidden="false" customHeight="true" outlineLevel="0" collapsed="false">
      <c r="A9" s="37" t="n">
        <v>2</v>
      </c>
      <c r="B9" s="37" t="s">
        <v>1038</v>
      </c>
      <c r="C9" s="37" t="s">
        <v>1039</v>
      </c>
      <c r="D9" s="160"/>
      <c r="E9" s="86"/>
      <c r="F9" s="87"/>
      <c r="G9" s="87"/>
      <c r="H9" s="89"/>
      <c r="I9" s="410"/>
      <c r="J9" s="87"/>
      <c r="K9" s="87"/>
      <c r="L9" s="87"/>
      <c r="M9" s="89"/>
      <c r="N9" s="394" t="str">
        <f aca="false">IFERROR(AVERAGE(I9:M9),"")</f>
        <v/>
      </c>
      <c r="O9" s="84" t="str">
        <f aca="false">IF(I9&lt;&gt;"",IF(COUNTIF(I9:M9,"&lt;3"),"Не успевает","Успевает"),"")</f>
        <v/>
      </c>
      <c r="P9" s="241" t="str">
        <f aca="false">IF(D9&lt;&gt;"",(30*(set!B$5)-D9)/(30*(set!B$5))*100,"")</f>
        <v/>
      </c>
      <c r="Q9" s="77" t="str">
        <f aca="false">IF(I9&lt;&gt;"",IF(N9&lt;1.85,"Выговор",IF(AND(N9&gt;1.85,N9&lt;3),"Предупреждение",IF(AND(N9&gt;3,N9&lt;=4.65),"Нормально",IF(AND(N9&gt;4.65,N9&lt;5.1,MIN(I9:M9)&gt;=4),"Благодарность","Нормально")))),"")</f>
        <v/>
      </c>
      <c r="R9" s="77" t="n">
        <f aca="false">COUNTIF(I9:M9,2)+COUNTIF(I9:M9,1)+COUNTIF(I9:M9,0)</f>
        <v>0</v>
      </c>
    </row>
    <row r="10" customFormat="false" ht="15" hidden="false" customHeight="true" outlineLevel="0" collapsed="false">
      <c r="A10" s="37" t="n">
        <v>3</v>
      </c>
      <c r="B10" s="37" t="s">
        <v>1040</v>
      </c>
      <c r="C10" s="37" t="s">
        <v>1041</v>
      </c>
      <c r="D10" s="160"/>
      <c r="E10" s="86"/>
      <c r="F10" s="87"/>
      <c r="G10" s="87"/>
      <c r="H10" s="89"/>
      <c r="I10" s="410"/>
      <c r="J10" s="87"/>
      <c r="K10" s="87"/>
      <c r="L10" s="87"/>
      <c r="M10" s="89"/>
      <c r="N10" s="394" t="str">
        <f aca="false">IFERROR(AVERAGE(I10:M10),"")</f>
        <v/>
      </c>
      <c r="O10" s="84" t="str">
        <f aca="false">IF(I10&lt;&gt;"",IF(COUNTIF(I10:M10,"&lt;3"),"Не успевает","Успевает"),"")</f>
        <v/>
      </c>
      <c r="P10" s="241" t="str">
        <f aca="false">IF(D10&lt;&gt;"",(30*(set!B$5)-D10)/(30*(set!B$5))*100,"")</f>
        <v/>
      </c>
      <c r="Q10" s="77" t="str">
        <f aca="false">IF(I10&lt;&gt;"",IF(N10&lt;1.85,"Выговор",IF(AND(N10&gt;1.85,N10&lt;3),"Предупреждение",IF(AND(N10&gt;3,N10&lt;=4.65),"Нормально",IF(AND(N10&gt;4.65,N10&lt;5.1,MIN(I10:M10)&gt;=4),"Благодарность","Нормально")))),"")</f>
        <v/>
      </c>
      <c r="R10" s="77" t="n">
        <f aca="false">COUNTIF(I10:M10,2)+COUNTIF(I10:M10,1)+COUNTIF(I10:M10,0)</f>
        <v>0</v>
      </c>
    </row>
    <row r="11" customFormat="false" ht="15" hidden="false" customHeight="true" outlineLevel="0" collapsed="false">
      <c r="A11" s="37" t="n">
        <v>4</v>
      </c>
      <c r="B11" s="37" t="s">
        <v>1042</v>
      </c>
      <c r="C11" s="37" t="s">
        <v>1043</v>
      </c>
      <c r="D11" s="160"/>
      <c r="E11" s="86"/>
      <c r="F11" s="87"/>
      <c r="G11" s="87"/>
      <c r="H11" s="89"/>
      <c r="I11" s="410"/>
      <c r="J11" s="87"/>
      <c r="K11" s="87"/>
      <c r="L11" s="87"/>
      <c r="M11" s="89"/>
      <c r="N11" s="394" t="str">
        <f aca="false">IFERROR(AVERAGE(I11:M11),"")</f>
        <v/>
      </c>
      <c r="O11" s="84" t="str">
        <f aca="false">IF(I11&lt;&gt;"",IF(COUNTIF(I11:M11,"&lt;3"),"Не успевает","Успевает"),"")</f>
        <v/>
      </c>
      <c r="P11" s="241" t="str">
        <f aca="false">IF(D11&lt;&gt;"",(30*(set!B$5)-D11)/(30*(set!B$5))*100,"")</f>
        <v/>
      </c>
      <c r="Q11" s="77" t="str">
        <f aca="false">IF(I11&lt;&gt;"",IF(N11&lt;1.85,"Выговор",IF(AND(N11&gt;1.85,N11&lt;3),"Предупреждение",IF(AND(N11&gt;3,N11&lt;=4.65),"Нормально",IF(AND(N11&gt;4.65,N11&lt;5.1,MIN(I11:M11)&gt;=4),"Благодарность","Нормально")))),"")</f>
        <v/>
      </c>
      <c r="R11" s="77" t="n">
        <f aca="false">COUNTIF(I11:M11,2)+COUNTIF(I11:M11,1)+COUNTIF(I11:M11,0)</f>
        <v>0</v>
      </c>
    </row>
    <row r="12" customFormat="false" ht="15" hidden="false" customHeight="true" outlineLevel="0" collapsed="false">
      <c r="A12" s="37" t="n">
        <v>5</v>
      </c>
      <c r="B12" s="37" t="s">
        <v>1044</v>
      </c>
      <c r="C12" s="37" t="s">
        <v>1045</v>
      </c>
      <c r="D12" s="160"/>
      <c r="E12" s="86"/>
      <c r="F12" s="87"/>
      <c r="G12" s="87"/>
      <c r="H12" s="89"/>
      <c r="I12" s="410"/>
      <c r="J12" s="87"/>
      <c r="K12" s="87"/>
      <c r="L12" s="87"/>
      <c r="M12" s="89"/>
      <c r="N12" s="394" t="str">
        <f aca="false">IFERROR(AVERAGE(I12:M12),"")</f>
        <v/>
      </c>
      <c r="O12" s="84" t="str">
        <f aca="false">IF(I12&lt;&gt;"",IF(COUNTIF(I12:M12,"&lt;3"),"Не успевает","Успевает"),"")</f>
        <v/>
      </c>
      <c r="P12" s="241" t="str">
        <f aca="false">IF(D12&lt;&gt;"",(30*(set!B$5)-D12)/(30*(set!B$5))*100,"")</f>
        <v/>
      </c>
      <c r="Q12" s="77" t="str">
        <f aca="false">IF(I12&lt;&gt;"",IF(N12&lt;1.85,"Выговор",IF(AND(N12&gt;1.85,N12&lt;3),"Предупреждение",IF(AND(N12&gt;3,N12&lt;=4.65),"Нормально",IF(AND(N12&gt;4.65,N12&lt;5.1,MIN(I12:M12)&gt;=4),"Благодарность","Нормально")))),"")</f>
        <v/>
      </c>
      <c r="R12" s="77" t="n">
        <f aca="false">COUNTIF(I12:M12,2)+COUNTIF(I12:M12,1)+COUNTIF(I12:M12,0)</f>
        <v>0</v>
      </c>
    </row>
    <row r="13" customFormat="false" ht="15" hidden="false" customHeight="true" outlineLevel="0" collapsed="false">
      <c r="A13" s="37" t="n">
        <v>6</v>
      </c>
      <c r="B13" s="37" t="s">
        <v>1046</v>
      </c>
      <c r="C13" s="37" t="s">
        <v>1047</v>
      </c>
      <c r="D13" s="160"/>
      <c r="E13" s="86"/>
      <c r="F13" s="87"/>
      <c r="G13" s="87"/>
      <c r="H13" s="89"/>
      <c r="I13" s="410"/>
      <c r="J13" s="87"/>
      <c r="K13" s="87"/>
      <c r="L13" s="87"/>
      <c r="M13" s="89"/>
      <c r="N13" s="394" t="str">
        <f aca="false">IFERROR(AVERAGE(I13:M13),"")</f>
        <v/>
      </c>
      <c r="O13" s="84" t="str">
        <f aca="false">IF(I13&lt;&gt;"",IF(COUNTIF(I13:M13,"&lt;3"),"Не успевает","Успевает"),"")</f>
        <v/>
      </c>
      <c r="P13" s="241" t="str">
        <f aca="false">IF(D13&lt;&gt;"",(30*(set!B$5)-D13)/(30*(set!B$5))*100,"")</f>
        <v/>
      </c>
      <c r="Q13" s="77" t="str">
        <f aca="false">IF(I13&lt;&gt;"",IF(N13&lt;1.85,"Выговор",IF(AND(N13&gt;1.85,N13&lt;3),"Предупреждение",IF(AND(N13&gt;3,N13&lt;=4.65),"Нормально",IF(AND(N13&gt;4.65,N13&lt;5.1,MIN(I13:M13)&gt;=4),"Благодарность","Нормально")))),"")</f>
        <v/>
      </c>
      <c r="R13" s="77" t="n">
        <f aca="false">COUNTIF(I13:M13,2)+COUNTIF(I13:M13,1)+COUNTIF(I13:M13,0)</f>
        <v>0</v>
      </c>
    </row>
    <row r="14" customFormat="false" ht="15" hidden="false" customHeight="true" outlineLevel="0" collapsed="false">
      <c r="A14" s="37" t="n">
        <v>7</v>
      </c>
      <c r="B14" s="37" t="s">
        <v>1048</v>
      </c>
      <c r="C14" s="37" t="s">
        <v>1049</v>
      </c>
      <c r="D14" s="160"/>
      <c r="E14" s="86"/>
      <c r="F14" s="87"/>
      <c r="G14" s="87"/>
      <c r="H14" s="89"/>
      <c r="I14" s="410"/>
      <c r="J14" s="87"/>
      <c r="K14" s="87"/>
      <c r="L14" s="87"/>
      <c r="M14" s="89"/>
      <c r="N14" s="394" t="str">
        <f aca="false">IFERROR(AVERAGE(I14:M14),"")</f>
        <v/>
      </c>
      <c r="O14" s="84" t="str">
        <f aca="false">IF(I14&lt;&gt;"",IF(COUNTIF(I14:M14,"&lt;3"),"Не успевает","Успевает"),"")</f>
        <v/>
      </c>
      <c r="P14" s="241" t="str">
        <f aca="false">IF(D14&lt;&gt;"",(30*(set!B$5)-D14)/(30*(set!B$5))*100,"")</f>
        <v/>
      </c>
      <c r="Q14" s="77" t="str">
        <f aca="false">IF(I14&lt;&gt;"",IF(N14&lt;1.85,"Выговор",IF(AND(N14&gt;1.85,N14&lt;3),"Предупреждение",IF(AND(N14&gt;3,N14&lt;=4.65),"Нормально",IF(AND(N14&gt;4.65,N14&lt;5.1,MIN(I14:M14)&gt;=4),"Благодарность","Нормально")))),"")</f>
        <v/>
      </c>
      <c r="R14" s="77" t="n">
        <f aca="false">COUNTIF(I14:M14,2)+COUNTIF(I14:M14,1)+COUNTIF(I14:M14,0)</f>
        <v>0</v>
      </c>
    </row>
    <row r="15" customFormat="false" ht="15" hidden="false" customHeight="true" outlineLevel="0" collapsed="false">
      <c r="A15" s="37" t="n">
        <v>8</v>
      </c>
      <c r="B15" s="37" t="s">
        <v>1050</v>
      </c>
      <c r="C15" s="37" t="s">
        <v>1051</v>
      </c>
      <c r="D15" s="160"/>
      <c r="E15" s="86"/>
      <c r="F15" s="87"/>
      <c r="G15" s="87"/>
      <c r="H15" s="89"/>
      <c r="I15" s="410"/>
      <c r="J15" s="87"/>
      <c r="K15" s="87"/>
      <c r="L15" s="87"/>
      <c r="M15" s="89"/>
      <c r="N15" s="394" t="str">
        <f aca="false">IFERROR(AVERAGE(I15:M15),"")</f>
        <v/>
      </c>
      <c r="O15" s="84" t="str">
        <f aca="false">IF(I15&lt;&gt;"",IF(COUNTIF(I15:M15,"&lt;3"),"Не успевает","Успевает"),"")</f>
        <v/>
      </c>
      <c r="P15" s="241" t="str">
        <f aca="false">IF(D15&lt;&gt;"",(30*(set!B$5)-D15)/(30*(set!B$5))*100,"")</f>
        <v/>
      </c>
      <c r="Q15" s="77" t="str">
        <f aca="false">IF(I15&lt;&gt;"",IF(N15&lt;1.85,"Выговор",IF(AND(N15&gt;1.85,N15&lt;3),"Предупреждение",IF(AND(N15&gt;3,N15&lt;=4.65),"Нормально",IF(AND(N15&gt;4.65,N15&lt;5.1,MIN(I15:M15)&gt;=4),"Благодарность","Нормально")))),"")</f>
        <v/>
      </c>
      <c r="R15" s="77" t="n">
        <f aca="false">COUNTIF(I15:M15,2)+COUNTIF(I15:M15,1)+COUNTIF(I15:M15,0)</f>
        <v>0</v>
      </c>
    </row>
    <row r="16" customFormat="false" ht="15" hidden="false" customHeight="true" outlineLevel="0" collapsed="false">
      <c r="A16" s="37" t="n">
        <v>9</v>
      </c>
      <c r="B16" s="37" t="s">
        <v>1052</v>
      </c>
      <c r="C16" s="37" t="s">
        <v>1053</v>
      </c>
      <c r="D16" s="160"/>
      <c r="E16" s="86"/>
      <c r="F16" s="87"/>
      <c r="G16" s="87"/>
      <c r="H16" s="89"/>
      <c r="I16" s="410"/>
      <c r="J16" s="87"/>
      <c r="K16" s="87"/>
      <c r="L16" s="87"/>
      <c r="M16" s="89"/>
      <c r="N16" s="394" t="str">
        <f aca="false">IFERROR(AVERAGE(I16:M16),"")</f>
        <v/>
      </c>
      <c r="O16" s="84" t="str">
        <f aca="false">IF(I16&lt;&gt;"",IF(COUNTIF(I16:M16,"&lt;3"),"Не успевает","Успевает"),"")</f>
        <v/>
      </c>
      <c r="P16" s="241" t="str">
        <f aca="false">IF(D16&lt;&gt;"",(30*(set!B$5)-D16)/(30*(set!B$5))*100,"")</f>
        <v/>
      </c>
      <c r="Q16" s="77" t="str">
        <f aca="false">IF(I16&lt;&gt;"",IF(N16&lt;1.85,"Выговор",IF(AND(N16&gt;1.85,N16&lt;3),"Предупреждение",IF(AND(N16&gt;3,N16&lt;=4.65),"Нормально",IF(AND(N16&gt;4.65,N16&lt;5.1,MIN(I16:M16)&gt;=4),"Благодарность","Нормально")))),"")</f>
        <v/>
      </c>
      <c r="R16" s="77" t="n">
        <f aca="false">COUNTIF(I16:M16,2)+COUNTIF(I16:M16,1)+COUNTIF(I16:M16,0)</f>
        <v>0</v>
      </c>
    </row>
    <row r="17" customFormat="false" ht="15" hidden="false" customHeight="true" outlineLevel="0" collapsed="false">
      <c r="A17" s="37" t="n">
        <v>10</v>
      </c>
      <c r="B17" s="37" t="s">
        <v>1054</v>
      </c>
      <c r="C17" s="37" t="s">
        <v>1055</v>
      </c>
      <c r="D17" s="160"/>
      <c r="E17" s="86"/>
      <c r="F17" s="87"/>
      <c r="G17" s="87"/>
      <c r="H17" s="89"/>
      <c r="I17" s="410"/>
      <c r="J17" s="87"/>
      <c r="K17" s="87"/>
      <c r="L17" s="87"/>
      <c r="M17" s="89"/>
      <c r="N17" s="394" t="str">
        <f aca="false">IFERROR(AVERAGE(I17:M17),"")</f>
        <v/>
      </c>
      <c r="O17" s="84" t="str">
        <f aca="false">IF(I17&lt;&gt;"",IF(COUNTIF(I17:M17,"&lt;3"),"Не успевает","Успевает"),"")</f>
        <v/>
      </c>
      <c r="P17" s="241" t="str">
        <f aca="false">IF(D17&lt;&gt;"",(30*(set!B$5)-D17)/(30*(set!B$5))*100,"")</f>
        <v/>
      </c>
      <c r="Q17" s="77" t="str">
        <f aca="false">IF(I17&lt;&gt;"",IF(N17&lt;1.85,"Выговор",IF(AND(N17&gt;1.85,N17&lt;3),"Предупреждение",IF(AND(N17&gt;3,N17&lt;=4.65),"Нормально",IF(AND(N17&gt;4.65,N17&lt;5.1,MIN(I17:M17)&gt;=4),"Благодарность","Нормально")))),"")</f>
        <v/>
      </c>
      <c r="R17" s="77" t="n">
        <f aca="false">COUNTIF(I17:M17,2)+COUNTIF(I17:M17,1)+COUNTIF(I17:M17,0)</f>
        <v>0</v>
      </c>
    </row>
    <row r="18" customFormat="false" ht="15" hidden="false" customHeight="true" outlineLevel="0" collapsed="false">
      <c r="A18" s="37" t="n">
        <v>11</v>
      </c>
      <c r="B18" s="37" t="s">
        <v>1056</v>
      </c>
      <c r="C18" s="37" t="s">
        <v>1057</v>
      </c>
      <c r="D18" s="160"/>
      <c r="E18" s="86"/>
      <c r="F18" s="87"/>
      <c r="G18" s="87"/>
      <c r="H18" s="89"/>
      <c r="I18" s="410"/>
      <c r="J18" s="87"/>
      <c r="K18" s="87"/>
      <c r="L18" s="87"/>
      <c r="M18" s="89"/>
      <c r="N18" s="394" t="str">
        <f aca="false">IFERROR(AVERAGE(I18:M18),"")</f>
        <v/>
      </c>
      <c r="O18" s="84" t="str">
        <f aca="false">IF(I18&lt;&gt;"",IF(COUNTIF(I18:M18,"&lt;3"),"Не успевает","Успевает"),"")</f>
        <v/>
      </c>
      <c r="P18" s="241" t="str">
        <f aca="false">IF(D18&lt;&gt;"",(30*(set!B$5)-D18)/(30*(set!B$5))*100,"")</f>
        <v/>
      </c>
      <c r="Q18" s="77" t="str">
        <f aca="false">IF(I18&lt;&gt;"",IF(N18&lt;1.85,"Выговор",IF(AND(N18&gt;1.85,N18&lt;3),"Предупреждение",IF(AND(N18&gt;3,N18&lt;=4.65),"Нормально",IF(AND(N18&gt;4.65,N18&lt;5.1,MIN(I18:M18)&gt;=4),"Благодарность","Нормально")))),"")</f>
        <v/>
      </c>
      <c r="R18" s="77" t="n">
        <f aca="false">COUNTIF(I18:M18,2)+COUNTIF(I18:M18,1)+COUNTIF(I18:M18,0)</f>
        <v>0</v>
      </c>
    </row>
    <row r="19" s="45" customFormat="true" ht="15" hidden="false" customHeight="true" outlineLevel="0" collapsed="false">
      <c r="A19" s="37" t="n">
        <v>12</v>
      </c>
      <c r="B19" s="37" t="s">
        <v>1058</v>
      </c>
      <c r="C19" s="37" t="s">
        <v>1059</v>
      </c>
      <c r="D19" s="160"/>
      <c r="E19" s="86"/>
      <c r="F19" s="87"/>
      <c r="G19" s="87"/>
      <c r="H19" s="89"/>
      <c r="I19" s="410"/>
      <c r="J19" s="87"/>
      <c r="K19" s="87"/>
      <c r="L19" s="87"/>
      <c r="M19" s="89"/>
      <c r="N19" s="394" t="str">
        <f aca="false">IFERROR(AVERAGE(I19:M19),"")</f>
        <v/>
      </c>
      <c r="O19" s="84" t="str">
        <f aca="false">IF(I19&lt;&gt;"",IF(COUNTIF(I19:M19,"&lt;3"),"Не успевает","Успевает"),"")</f>
        <v/>
      </c>
      <c r="P19" s="241" t="str">
        <f aca="false">IF(D19&lt;&gt;"",(30*(set!B$5)-D19)/(30*(set!B$5))*100,"")</f>
        <v/>
      </c>
      <c r="Q19" s="77" t="str">
        <f aca="false">IF(I19&lt;&gt;"",IF(N19&lt;1.85,"Выговор",IF(AND(N19&gt;1.85,N19&lt;3),"Предупреждение",IF(AND(N19&gt;3,N19&lt;=4.65),"Нормально",IF(AND(N19&gt;4.65,N19&lt;5.1,MIN(I19:M19)&gt;=4),"Благодарность","Нормально")))),"")</f>
        <v/>
      </c>
      <c r="R19" s="77" t="n">
        <f aca="false">COUNTIF(I19:M19,2)+COUNTIF(I19:M19,1)+COUNTIF(I19:M19,0)</f>
        <v>0</v>
      </c>
    </row>
    <row r="20" s="45" customFormat="true" ht="15" hidden="false" customHeight="true" outlineLevel="0" collapsed="false">
      <c r="A20" s="37" t="n">
        <v>13</v>
      </c>
      <c r="B20" s="37" t="s">
        <v>1060</v>
      </c>
      <c r="C20" s="37" t="s">
        <v>1061</v>
      </c>
      <c r="D20" s="160"/>
      <c r="E20" s="86"/>
      <c r="F20" s="87"/>
      <c r="G20" s="87"/>
      <c r="H20" s="89"/>
      <c r="I20" s="410"/>
      <c r="J20" s="87"/>
      <c r="K20" s="87"/>
      <c r="L20" s="87"/>
      <c r="M20" s="89"/>
      <c r="N20" s="394" t="str">
        <f aca="false">IFERROR(AVERAGE(I20:M20),"")</f>
        <v/>
      </c>
      <c r="O20" s="84" t="str">
        <f aca="false">IF(I20&lt;&gt;"",IF(COUNTIF(I20:M20,"&lt;3"),"Не успевает","Успевает"),"")</f>
        <v/>
      </c>
      <c r="P20" s="241" t="str">
        <f aca="false">IF(D20&lt;&gt;"",(30*(set!B$5)-D20)/(30*(set!B$5))*100,"")</f>
        <v/>
      </c>
      <c r="Q20" s="77" t="str">
        <f aca="false">IF(I20&lt;&gt;"",IF(N20&lt;1.85,"Выговор",IF(AND(N20&gt;1.85,N20&lt;3),"Предупреждение",IF(AND(N20&gt;3,N20&lt;=4.65),"Нормально",IF(AND(N20&gt;4.65,N20&lt;5.1,MIN(I20:M20)&gt;=4),"Благодарность","Нормально")))),"")</f>
        <v/>
      </c>
      <c r="R20" s="77" t="n">
        <f aca="false">COUNTIF(I20:M20,2)+COUNTIF(I20:M20,1)+COUNTIF(I20:M20,0)</f>
        <v>0</v>
      </c>
    </row>
    <row r="21" s="45" customFormat="true" ht="15" hidden="false" customHeight="true" outlineLevel="0" collapsed="false">
      <c r="A21" s="37" t="n">
        <v>14</v>
      </c>
      <c r="B21" s="37" t="s">
        <v>1062</v>
      </c>
      <c r="C21" s="37" t="s">
        <v>1063</v>
      </c>
      <c r="D21" s="160"/>
      <c r="E21" s="86"/>
      <c r="F21" s="87"/>
      <c r="G21" s="87"/>
      <c r="H21" s="89"/>
      <c r="I21" s="410"/>
      <c r="J21" s="87"/>
      <c r="K21" s="87"/>
      <c r="L21" s="87"/>
      <c r="M21" s="89"/>
      <c r="N21" s="394" t="str">
        <f aca="false">IFERROR(AVERAGE(I21:M21),"")</f>
        <v/>
      </c>
      <c r="O21" s="84" t="str">
        <f aca="false">IF(I21&lt;&gt;"",IF(COUNTIF(I21:M21,"&lt;3"),"Не успевает","Успевает"),"")</f>
        <v/>
      </c>
      <c r="P21" s="241" t="str">
        <f aca="false">IF(D21&lt;&gt;"",(30*(set!B$5)-D21)/(30*(set!B$5))*100,"")</f>
        <v/>
      </c>
      <c r="Q21" s="77" t="str">
        <f aca="false">IF(I21&lt;&gt;"",IF(N21&lt;1.85,"Выговор",IF(AND(N21&gt;1.85,N21&lt;3),"Предупреждение",IF(AND(N21&gt;3,N21&lt;=4.65),"Нормально",IF(AND(N21&gt;4.65,N21&lt;5.1,MIN(I21:M21)&gt;=4),"Благодарность","Нормально")))),"")</f>
        <v/>
      </c>
      <c r="R21" s="77" t="n">
        <f aca="false">COUNTIF(I21:M21,2)+COUNTIF(I21:M21,1)+COUNTIF(I21:M21,0)</f>
        <v>0</v>
      </c>
    </row>
    <row r="22" customFormat="false" ht="15" hidden="false" customHeight="true" outlineLevel="0" collapsed="false">
      <c r="A22" s="37" t="n">
        <v>15</v>
      </c>
      <c r="B22" s="37" t="s">
        <v>1064</v>
      </c>
      <c r="C22" s="37" t="s">
        <v>1065</v>
      </c>
      <c r="D22" s="160"/>
      <c r="E22" s="86"/>
      <c r="F22" s="87"/>
      <c r="G22" s="87"/>
      <c r="H22" s="89"/>
      <c r="I22" s="410"/>
      <c r="J22" s="87"/>
      <c r="K22" s="87"/>
      <c r="L22" s="87"/>
      <c r="M22" s="89"/>
      <c r="N22" s="394" t="str">
        <f aca="false">IFERROR(AVERAGE(I22:M22),"")</f>
        <v/>
      </c>
      <c r="O22" s="84" t="str">
        <f aca="false">IF(I22&lt;&gt;"",IF(COUNTIF(I22:M22,"&lt;3"),"Не успевает","Успевает"),"")</f>
        <v/>
      </c>
      <c r="P22" s="241" t="str">
        <f aca="false">IF(D22&lt;&gt;"",(30*(set!B$5)-D22)/(30*(set!B$5))*100,"")</f>
        <v/>
      </c>
      <c r="Q22" s="77" t="str">
        <f aca="false">IF(I22&lt;&gt;"",IF(N22&lt;1.85,"Выговор",IF(AND(N22&gt;1.85,N22&lt;3),"Предупреждение",IF(AND(N22&gt;3,N22&lt;=4.65),"Нормально",IF(AND(N22&gt;4.65,N22&lt;5.1,MIN(I22:M22)&gt;=4),"Благодарность","Нормально")))),"")</f>
        <v/>
      </c>
      <c r="R22" s="77" t="n">
        <f aca="false">COUNTIF(I22:M22,2)+COUNTIF(I22:M22,1)+COUNTIF(I22:M22,0)</f>
        <v>0</v>
      </c>
    </row>
    <row r="23" customFormat="false" ht="15" hidden="false" customHeight="true" outlineLevel="0" collapsed="false">
      <c r="A23" s="37" t="n">
        <v>16</v>
      </c>
      <c r="B23" s="37" t="s">
        <v>1066</v>
      </c>
      <c r="C23" s="37" t="s">
        <v>1067</v>
      </c>
      <c r="D23" s="160"/>
      <c r="E23" s="86"/>
      <c r="F23" s="87"/>
      <c r="G23" s="87"/>
      <c r="H23" s="89"/>
      <c r="I23" s="410"/>
      <c r="J23" s="87"/>
      <c r="K23" s="87"/>
      <c r="L23" s="87"/>
      <c r="M23" s="89"/>
      <c r="N23" s="394" t="str">
        <f aca="false">IFERROR(AVERAGE(I23:M23),"")</f>
        <v/>
      </c>
      <c r="O23" s="84" t="str">
        <f aca="false">IF(I23&lt;&gt;"",IF(COUNTIF(I23:M23,"&lt;3"),"Не успевает","Успевает"),"")</f>
        <v/>
      </c>
      <c r="P23" s="241" t="str">
        <f aca="false">IF(D23&lt;&gt;"",(30*(set!B$5)-D23)/(30*(set!B$5))*100,"")</f>
        <v/>
      </c>
      <c r="Q23" s="77" t="str">
        <f aca="false">IF(I23&lt;&gt;"",IF(N23&lt;1.85,"Выговор",IF(AND(N23&gt;1.85,N23&lt;3),"Предупреждение",IF(AND(N23&gt;3,N23&lt;=4.65),"Нормально",IF(AND(N23&gt;4.65,N23&lt;5.1,MIN(I23:M23)&gt;=4),"Благодарность","Нормально")))),"")</f>
        <v/>
      </c>
      <c r="R23" s="77" t="n">
        <f aca="false">COUNTIF(I23:M23,2)+COUNTIF(I23:M23,1)+COUNTIF(I23:M23,0)</f>
        <v>0</v>
      </c>
    </row>
    <row r="24" customFormat="false" ht="15" hidden="false" customHeight="true" outlineLevel="0" collapsed="false">
      <c r="A24" s="37" t="n">
        <v>17</v>
      </c>
      <c r="B24" s="37" t="s">
        <v>1068</v>
      </c>
      <c r="C24" s="37" t="s">
        <v>1069</v>
      </c>
      <c r="D24" s="160"/>
      <c r="E24" s="86"/>
      <c r="F24" s="87"/>
      <c r="G24" s="87"/>
      <c r="H24" s="89"/>
      <c r="I24" s="410"/>
      <c r="J24" s="87"/>
      <c r="K24" s="87"/>
      <c r="L24" s="87"/>
      <c r="M24" s="89"/>
      <c r="N24" s="394" t="str">
        <f aca="false">IFERROR(AVERAGE(I24:M24),"")</f>
        <v/>
      </c>
      <c r="O24" s="84" t="str">
        <f aca="false">IF(I24&lt;&gt;"",IF(COUNTIF(I24:M24,"&lt;3"),"Не успевает","Успевает"),"")</f>
        <v/>
      </c>
      <c r="P24" s="241" t="str">
        <f aca="false">IF(D24&lt;&gt;"",(30*(set!B$5)-D24)/(30*(set!B$5))*100,"")</f>
        <v/>
      </c>
      <c r="Q24" s="77" t="str">
        <f aca="false">IF(I24&lt;&gt;"",IF(N24&lt;1.85,"Выговор",IF(AND(N24&gt;1.85,N24&lt;3),"Предупреждение",IF(AND(N24&gt;3,N24&lt;=4.65),"Нормально",IF(AND(N24&gt;4.65,N24&lt;5.1,MIN(I24:M24)&gt;=4),"Благодарность","Нормально")))),"")</f>
        <v/>
      </c>
      <c r="R24" s="77" t="n">
        <f aca="false">COUNTIF(I24:M24,2)+COUNTIF(I24:M24,1)+COUNTIF(I24:M24,0)</f>
        <v>0</v>
      </c>
    </row>
    <row r="25" customFormat="false" ht="15" hidden="false" customHeight="true" outlineLevel="0" collapsed="false">
      <c r="A25" s="37" t="n">
        <v>18</v>
      </c>
      <c r="B25" s="37" t="s">
        <v>1070</v>
      </c>
      <c r="C25" s="37" t="s">
        <v>1071</v>
      </c>
      <c r="D25" s="160"/>
      <c r="E25" s="86"/>
      <c r="F25" s="87"/>
      <c r="G25" s="87"/>
      <c r="H25" s="89"/>
      <c r="I25" s="410"/>
      <c r="J25" s="87"/>
      <c r="K25" s="87"/>
      <c r="L25" s="87"/>
      <c r="M25" s="89"/>
      <c r="N25" s="394" t="str">
        <f aca="false">IFERROR(AVERAGE(I25:M25),"")</f>
        <v/>
      </c>
      <c r="O25" s="84" t="str">
        <f aca="false">IF(I25&lt;&gt;"",IF(COUNTIF(I25:M25,"&lt;3"),"Не успевает","Успевает"),"")</f>
        <v/>
      </c>
      <c r="P25" s="241" t="str">
        <f aca="false">IF(D25&lt;&gt;"",(30*(set!B$5)-D25)/(30*(set!B$5))*100,"")</f>
        <v/>
      </c>
      <c r="Q25" s="77" t="str">
        <f aca="false">IF(I25&lt;&gt;"",IF(N25&lt;1.85,"Выговор",IF(AND(N25&gt;1.85,N25&lt;3),"Предупреждение",IF(AND(N25&gt;3,N25&lt;=4.65),"Нормально",IF(AND(N25&gt;4.65,N25&lt;5.1,MIN(I25:M25)&gt;=4),"Благодарность","Нормально")))),"")</f>
        <v/>
      </c>
      <c r="R25" s="77" t="n">
        <f aca="false">COUNTIF(I25:M25,2)+COUNTIF(I25:M25,1)+COUNTIF(I25:M25,0)</f>
        <v>0</v>
      </c>
    </row>
    <row r="26" customFormat="false" ht="15" hidden="false" customHeight="true" outlineLevel="0" collapsed="false">
      <c r="A26" s="37" t="n">
        <v>19</v>
      </c>
      <c r="B26" s="37" t="s">
        <v>1072</v>
      </c>
      <c r="C26" s="37" t="s">
        <v>1073</v>
      </c>
      <c r="D26" s="160"/>
      <c r="E26" s="86"/>
      <c r="F26" s="87"/>
      <c r="G26" s="87"/>
      <c r="H26" s="89"/>
      <c r="I26" s="410"/>
      <c r="J26" s="87"/>
      <c r="K26" s="87"/>
      <c r="L26" s="87"/>
      <c r="M26" s="89"/>
      <c r="N26" s="394" t="str">
        <f aca="false">IFERROR(AVERAGE(I26:M26),"")</f>
        <v/>
      </c>
      <c r="O26" s="84" t="str">
        <f aca="false">IF(I26&lt;&gt;"",IF(COUNTIF(I26:M26,"&lt;3"),"Не успевает","Успевает"),"")</f>
        <v/>
      </c>
      <c r="P26" s="241" t="str">
        <f aca="false">IF(D26&lt;&gt;"",(30*(set!B$5)-D26)/(30*(set!B$5))*100,"")</f>
        <v/>
      </c>
      <c r="Q26" s="77" t="str">
        <f aca="false">IF(I26&lt;&gt;"",IF(N26&lt;1.85,"Выговор",IF(AND(N26&gt;1.85,N26&lt;3),"Предупреждение",IF(AND(N26&gt;3,N26&lt;=4.65),"Нормально",IF(AND(N26&gt;4.65,N26&lt;5.1,MIN(I26:M26)&gt;=4),"Благодарность","Нормально")))),"")</f>
        <v/>
      </c>
      <c r="R26" s="77" t="n">
        <f aca="false">COUNTIF(I26:M26,2)+COUNTIF(I26:M26,1)+COUNTIF(I26:M26,0)</f>
        <v>0</v>
      </c>
    </row>
    <row r="27" customFormat="false" ht="15" hidden="false" customHeight="true" outlineLevel="0" collapsed="false">
      <c r="A27" s="37" t="n">
        <v>20</v>
      </c>
      <c r="B27" s="37" t="s">
        <v>1074</v>
      </c>
      <c r="C27" s="37" t="s">
        <v>1075</v>
      </c>
      <c r="D27" s="160"/>
      <c r="E27" s="86"/>
      <c r="F27" s="87"/>
      <c r="G27" s="87"/>
      <c r="H27" s="89"/>
      <c r="I27" s="410"/>
      <c r="J27" s="87"/>
      <c r="K27" s="87"/>
      <c r="L27" s="87"/>
      <c r="M27" s="89"/>
      <c r="N27" s="394" t="str">
        <f aca="false">IFERROR(AVERAGE(I27:M27),"")</f>
        <v/>
      </c>
      <c r="O27" s="84" t="str">
        <f aca="false">IF(I27&lt;&gt;"",IF(COUNTIF(I27:M27,"&lt;3"),"Не успевает","Успевает"),"")</f>
        <v/>
      </c>
      <c r="P27" s="241" t="str">
        <f aca="false">IF(D27&lt;&gt;"",(30*(set!B$5)-D27)/(30*(set!B$5))*100,"")</f>
        <v/>
      </c>
      <c r="Q27" s="77" t="str">
        <f aca="false">IF(I27&lt;&gt;"",IF(N27&lt;1.85,"Выговор",IF(AND(N27&gt;1.85,N27&lt;3),"Предупреждение",IF(AND(N27&gt;3,N27&lt;=4.65),"Нормально",IF(AND(N27&gt;4.65,N27&lt;5.1,MIN(I27:M27)&gt;=4),"Благодарность","Нормально")))),"")</f>
        <v/>
      </c>
      <c r="R27" s="77" t="n">
        <f aca="false">COUNTIF(I27:M27,2)+COUNTIF(I27:M27,1)+COUNTIF(I27:M27,0)</f>
        <v>0</v>
      </c>
    </row>
    <row r="28" customFormat="false" ht="15" hidden="false" customHeight="true" outlineLevel="0" collapsed="false">
      <c r="A28" s="0" t="s">
        <v>77</v>
      </c>
      <c r="D28" s="411"/>
      <c r="E28" s="412" t="e">
        <f aca="false">AVERAGE(E8:E27)</f>
        <v>#DIV/0!</v>
      </c>
      <c r="F28" s="412" t="e">
        <f aca="false">AVERAGE(F8:F27)</f>
        <v>#DIV/0!</v>
      </c>
      <c r="G28" s="412" t="e">
        <f aca="false">AVERAGE(G8:G27)</f>
        <v>#DIV/0!</v>
      </c>
      <c r="H28" s="412" t="e">
        <f aca="false">AVERAGE(H8:H27)</f>
        <v>#DIV/0!</v>
      </c>
      <c r="I28" s="412" t="e">
        <f aca="false">AVERAGE(I8:I27)</f>
        <v>#DIV/0!</v>
      </c>
      <c r="J28" s="412" t="e">
        <f aca="false">AVERAGE(J8:J27)</f>
        <v>#DIV/0!</v>
      </c>
      <c r="K28" s="412" t="e">
        <f aca="false">AVERAGE(K8:K27)</f>
        <v>#DIV/0!</v>
      </c>
      <c r="L28" s="412" t="e">
        <f aca="false">AVERAGE(L8:L27)</f>
        <v>#DIV/0!</v>
      </c>
      <c r="M28" s="412" t="e">
        <f aca="false">AVERAGE(M8:M27)</f>
        <v>#DIV/0!</v>
      </c>
      <c r="N28" s="48"/>
      <c r="O28" s="48"/>
      <c r="P28" s="48"/>
    </row>
    <row r="29" customFormat="false" ht="15" hidden="false" customHeight="true" outlineLevel="0" collapsed="false">
      <c r="A29" s="0" t="s">
        <v>78</v>
      </c>
      <c r="D29" s="209"/>
      <c r="E29" s="137" t="e">
        <f aca="false">(COUNTIF(E8:E27,5)+COUNTIF(E8:E27,4)+COUNTIF(E8:E27,3))/$Q$34*100</f>
        <v>#DIV/0!</v>
      </c>
      <c r="F29" s="137" t="e">
        <f aca="false">(COUNTIF(F8:F27,5)+COUNTIF(F8:F27,4)+COUNTIF(F8:F27,3))/$Q$34*100</f>
        <v>#DIV/0!</v>
      </c>
      <c r="G29" s="137" t="e">
        <f aca="false">(COUNTIF(G8:G27,5)+COUNTIF(G8:G27,4)+COUNTIF(G8:G27,3))/$Q$34*100</f>
        <v>#DIV/0!</v>
      </c>
      <c r="H29" s="137" t="e">
        <f aca="false">(COUNTIF(H8:H27,5)+COUNTIF(H8:H27,4)+COUNTIF(H8:H27,3))/$Q$34*100</f>
        <v>#DIV/0!</v>
      </c>
      <c r="I29" s="137" t="e">
        <f aca="false">(COUNTIF(I8:I27,5)+COUNTIF(I8:I27,4)+COUNTIF(I8:I27,3))/$Q$34*100</f>
        <v>#DIV/0!</v>
      </c>
      <c r="J29" s="137" t="e">
        <f aca="false">(COUNTIF(J8:J27,5)+COUNTIF(J8:J27,4)+COUNTIF(J8:J27,3))/$Q$34*100</f>
        <v>#DIV/0!</v>
      </c>
      <c r="K29" s="137" t="e">
        <f aca="false">(COUNTIF(K8:K27,5)+COUNTIF(K8:K27,4)+COUNTIF(K8:K27,3))/$Q$34*100</f>
        <v>#DIV/0!</v>
      </c>
      <c r="L29" s="137" t="e">
        <f aca="false">(COUNTIF(L8:L27,5)+COUNTIF(L8:L27,4)+COUNTIF(L8:L27,3))/$Q$34*100</f>
        <v>#DIV/0!</v>
      </c>
      <c r="M29" s="137" t="e">
        <f aca="false">(COUNTIF(M8:M27,5)+COUNTIF(M8:M27,4)+COUNTIF(M8:M27,3))/$Q$34*100</f>
        <v>#DIV/0!</v>
      </c>
      <c r="N29" s="48"/>
      <c r="O29" s="48"/>
      <c r="P29" s="48"/>
    </row>
    <row r="30" customFormat="false" ht="15" hidden="false" customHeight="true" outlineLevel="0" collapsed="false">
      <c r="D30" s="46"/>
      <c r="E30" s="46"/>
      <c r="F30" s="46"/>
      <c r="G30" s="46"/>
      <c r="H30" s="46"/>
      <c r="I30" s="47"/>
      <c r="J30" s="47"/>
      <c r="K30" s="47"/>
      <c r="L30" s="47"/>
      <c r="M30" s="47"/>
      <c r="N30" s="48"/>
      <c r="O30" s="48"/>
      <c r="P30" s="48"/>
    </row>
    <row r="31" customFormat="false" ht="15" hidden="false" customHeight="true" outlineLevel="0" collapsed="false">
      <c r="I31" s="48"/>
      <c r="J31" s="48"/>
      <c r="K31" s="48"/>
      <c r="L31" s="48"/>
      <c r="M31" s="48"/>
      <c r="N31" s="48"/>
      <c r="O31" s="48"/>
      <c r="P31" s="48"/>
      <c r="Q31" s="48"/>
    </row>
    <row r="32" customFormat="false" ht="15" hidden="false" customHeight="true" outlineLevel="0" collapsed="false">
      <c r="B32" s="50"/>
      <c r="C32" s="50" t="s">
        <v>8</v>
      </c>
      <c r="D32" s="51" t="str">
        <f aca="false">IFERROR(AVERAGE(N8:N27),"")</f>
        <v/>
      </c>
      <c r="E32" s="51"/>
      <c r="F32" s="51"/>
      <c r="G32" s="51"/>
      <c r="H32" s="51" t="s">
        <v>9</v>
      </c>
      <c r="I32" s="52"/>
      <c r="J32" s="53" t="str">
        <f aca="false">IFERROR(COUNTIF(O8:O27,"Успевает")/Q34*100,"")</f>
        <v/>
      </c>
      <c r="K32" s="55" t="s">
        <v>10</v>
      </c>
      <c r="L32" s="55"/>
      <c r="M32" s="55" t="str">
        <f aca="false">IFERROR(AVERAGE(P8:P27),"")</f>
        <v/>
      </c>
      <c r="N32" s="48"/>
      <c r="O32" s="48"/>
      <c r="P32" s="48"/>
      <c r="Q32" s="48"/>
    </row>
    <row r="33" customFormat="false" ht="15" hidden="false" customHeight="true" outlineLevel="0" collapsed="false">
      <c r="B33" s="50"/>
      <c r="C33" s="50"/>
      <c r="D33" s="50"/>
      <c r="E33" s="50"/>
      <c r="F33" s="50"/>
      <c r="G33" s="50"/>
      <c r="H33" s="50"/>
      <c r="I33" s="56"/>
      <c r="J33" s="56"/>
      <c r="K33" s="56"/>
      <c r="L33" s="56"/>
      <c r="M33" s="56"/>
    </row>
    <row r="34" customFormat="false" ht="15" hidden="false" customHeight="true" outlineLevel="0" collapsed="false">
      <c r="A34" s="50"/>
      <c r="B34" s="261" t="s">
        <v>81</v>
      </c>
      <c r="C34" s="261"/>
      <c r="D34" s="261"/>
      <c r="E34" s="261"/>
      <c r="F34" s="261"/>
      <c r="G34" s="261"/>
      <c r="H34" s="261"/>
      <c r="I34" s="261"/>
      <c r="J34" s="261"/>
      <c r="K34" s="261"/>
      <c r="L34" s="261"/>
      <c r="M34" s="56"/>
      <c r="N34" s="63" t="s">
        <v>80</v>
      </c>
      <c r="O34" s="63"/>
      <c r="P34" s="63"/>
      <c r="Q34" s="58" t="n">
        <f aca="false">SUM(Q35,Q36)</f>
        <v>0</v>
      </c>
    </row>
    <row r="35" customFormat="false" ht="15" hidden="false" customHeight="true" outlineLevel="0" collapsed="false">
      <c r="A35" s="50"/>
      <c r="B35" s="141" t="str">
        <f aca="false">$E$6</f>
        <v> Искусственные нейронные сети</v>
      </c>
      <c r="C35" s="141"/>
      <c r="D35" s="141"/>
      <c r="E35" s="141"/>
      <c r="F35" s="141"/>
      <c r="G35" s="141"/>
      <c r="H35" s="141"/>
      <c r="I35" s="141"/>
      <c r="J35" s="141"/>
      <c r="K35" s="397"/>
      <c r="L35" s="397"/>
      <c r="M35" s="67"/>
      <c r="N35" s="63" t="s">
        <v>83</v>
      </c>
      <c r="O35" s="63"/>
      <c r="P35" s="63"/>
      <c r="Q35" s="58" t="n">
        <f aca="false">COUNTIF(O8:O27,"Успевает")</f>
        <v>0</v>
      </c>
    </row>
    <row r="36" customFormat="false" ht="15" hidden="false" customHeight="true" outlineLevel="0" collapsed="false">
      <c r="A36" s="50"/>
      <c r="B36" s="141" t="str">
        <f aca="false">$F$6</f>
        <v> Методологии разработки программного обеспечения</v>
      </c>
      <c r="C36" s="141"/>
      <c r="D36" s="141"/>
      <c r="E36" s="141"/>
      <c r="F36" s="141"/>
      <c r="G36" s="141"/>
      <c r="H36" s="141"/>
      <c r="I36" s="141"/>
      <c r="J36" s="141"/>
      <c r="K36" s="397"/>
      <c r="L36" s="397"/>
      <c r="M36" s="67"/>
      <c r="N36" s="68" t="s">
        <v>84</v>
      </c>
      <c r="O36" s="68"/>
      <c r="P36" s="68"/>
      <c r="Q36" s="58" t="n">
        <f aca="false">COUNTIF(O8:O27,"Не успевает")</f>
        <v>0</v>
      </c>
    </row>
    <row r="37" customFormat="false" ht="15" hidden="false" customHeight="true" outlineLevel="0" collapsed="false">
      <c r="A37" s="50"/>
      <c r="B37" s="141" t="str">
        <f aca="false">$G$6</f>
        <v>Научно-исследовательская работа</v>
      </c>
      <c r="C37" s="141"/>
      <c r="D37" s="141"/>
      <c r="E37" s="141"/>
      <c r="F37" s="141"/>
      <c r="G37" s="141"/>
      <c r="H37" s="141"/>
      <c r="I37" s="141"/>
      <c r="J37" s="141"/>
      <c r="K37" s="397"/>
      <c r="L37" s="397"/>
      <c r="M37" s="67"/>
      <c r="N37" s="68" t="s">
        <v>85</v>
      </c>
      <c r="O37" s="68"/>
      <c r="P37" s="68"/>
      <c r="Q37" s="58" t="n">
        <f aca="false">COUNTIF(Q8:Q27,"Благодарность")</f>
        <v>0</v>
      </c>
    </row>
    <row r="38" customFormat="false" ht="15" hidden="false" customHeight="true" outlineLevel="0" collapsed="false">
      <c r="A38" s="50"/>
      <c r="B38" s="141" t="str">
        <f aca="false">$H$6</f>
        <v>Системы передачи данных</v>
      </c>
      <c r="C38" s="141"/>
      <c r="D38" s="141"/>
      <c r="E38" s="141"/>
      <c r="F38" s="141"/>
      <c r="G38" s="141"/>
      <c r="H38" s="141"/>
      <c r="I38" s="141"/>
      <c r="J38" s="141"/>
      <c r="K38" s="397"/>
      <c r="L38" s="397"/>
      <c r="M38" s="67"/>
      <c r="N38" s="68" t="s">
        <v>86</v>
      </c>
      <c r="O38" s="68"/>
      <c r="P38" s="68"/>
      <c r="Q38" s="58" t="n">
        <f aca="false">COUNTIF(Q8:Q27,"Нормально")</f>
        <v>0</v>
      </c>
    </row>
    <row r="39" customFormat="false" ht="15" hidden="false" customHeight="true" outlineLevel="0" collapsed="false">
      <c r="A39" s="50"/>
      <c r="B39" s="141" t="str">
        <f aca="false">$I$6</f>
        <v> Архитектура вычислительных систем (к.п.)</v>
      </c>
      <c r="C39" s="141"/>
      <c r="D39" s="141"/>
      <c r="E39" s="141"/>
      <c r="F39" s="141"/>
      <c r="G39" s="141"/>
      <c r="H39" s="141"/>
      <c r="I39" s="141"/>
      <c r="J39" s="141"/>
      <c r="K39" s="397"/>
      <c r="L39" s="397"/>
      <c r="M39" s="67"/>
      <c r="N39" s="68" t="s">
        <v>87</v>
      </c>
      <c r="O39" s="68"/>
      <c r="P39" s="68"/>
      <c r="Q39" s="58" t="n">
        <f aca="false">COUNTIF(Q8:Q27,"Предупреждение")</f>
        <v>0</v>
      </c>
    </row>
    <row r="40" customFormat="false" ht="15" hidden="false" customHeight="true" outlineLevel="0" collapsed="false">
      <c r="A40" s="50"/>
      <c r="B40" s="398" t="str">
        <f aca="false">$J$6</f>
        <v> Беспроводные технологии передачи данных</v>
      </c>
      <c r="C40" s="398"/>
      <c r="D40" s="398"/>
      <c r="E40" s="398"/>
      <c r="F40" s="398"/>
      <c r="G40" s="398"/>
      <c r="H40" s="398"/>
      <c r="I40" s="398"/>
      <c r="J40" s="398"/>
      <c r="K40" s="397"/>
      <c r="L40" s="397"/>
      <c r="M40" s="67"/>
      <c r="N40" s="68" t="s">
        <v>88</v>
      </c>
      <c r="O40" s="68"/>
      <c r="P40" s="68"/>
      <c r="Q40" s="58" t="n">
        <f aca="false">COUNTIF(Q8:Q27,"Выговор")</f>
        <v>0</v>
      </c>
    </row>
    <row r="41" customFormat="false" ht="15" hidden="false" customHeight="true" outlineLevel="0" collapsed="false">
      <c r="A41" s="50"/>
      <c r="B41" s="398" t="str">
        <f aca="false">$K$6</f>
        <v> Методы машинного обучения </v>
      </c>
      <c r="C41" s="398"/>
      <c r="D41" s="398"/>
      <c r="E41" s="398"/>
      <c r="F41" s="398"/>
      <c r="G41" s="398"/>
      <c r="H41" s="398"/>
      <c r="I41" s="398"/>
      <c r="J41" s="398"/>
      <c r="K41" s="397"/>
      <c r="L41" s="397"/>
      <c r="M41" s="67"/>
      <c r="N41" s="380"/>
      <c r="O41" s="380" t="s">
        <v>12</v>
      </c>
      <c r="P41" s="380"/>
      <c r="Q41" s="143" t="n">
        <f aca="false">SUM(R8:R27)</f>
        <v>0</v>
      </c>
    </row>
    <row r="42" customFormat="false" ht="15" hidden="false" customHeight="true" outlineLevel="0" collapsed="false">
      <c r="A42" s="50"/>
      <c r="B42" s="398" t="str">
        <f aca="false">$L$6</f>
        <v>Научно-исследовательская работа</v>
      </c>
      <c r="C42" s="398"/>
      <c r="D42" s="398"/>
      <c r="E42" s="398"/>
      <c r="F42" s="398"/>
      <c r="G42" s="398"/>
      <c r="H42" s="398"/>
      <c r="I42" s="398"/>
      <c r="J42" s="398"/>
      <c r="K42" s="397"/>
      <c r="L42" s="397"/>
      <c r="M42" s="67"/>
    </row>
    <row r="43" customFormat="false" ht="15" hidden="false" customHeight="true" outlineLevel="0" collapsed="false">
      <c r="A43" s="50"/>
      <c r="B43" s="141" t="str">
        <f aca="false">$M$6</f>
        <v> Экономика</v>
      </c>
      <c r="C43" s="141"/>
      <c r="D43" s="141"/>
      <c r="E43" s="141"/>
      <c r="F43" s="141"/>
      <c r="G43" s="141"/>
      <c r="H43" s="141"/>
      <c r="I43" s="141"/>
      <c r="J43" s="141"/>
      <c r="K43" s="397"/>
      <c r="L43" s="397"/>
      <c r="M43" s="67"/>
    </row>
    <row r="44" customFormat="false" ht="15" hidden="false" customHeight="true" outlineLevel="0" collapsed="false">
      <c r="A44" s="50"/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67"/>
      <c r="M44" s="67"/>
      <c r="N44" s="67"/>
      <c r="O44" s="67"/>
      <c r="P44" s="67"/>
      <c r="Q44" s="48"/>
    </row>
    <row r="45" customFormat="false" ht="15" hidden="false" customHeight="true" outlineLevel="0" collapsed="false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48"/>
      <c r="N45" s="48"/>
      <c r="O45" s="48"/>
      <c r="P45" s="48"/>
      <c r="Q45" s="48"/>
    </row>
    <row r="46" customFormat="false" ht="15" hidden="false" customHeight="true" outlineLevel="0" collapsed="false">
      <c r="A46" s="50"/>
      <c r="B46" s="361" t="s">
        <v>405</v>
      </c>
      <c r="C46" s="413" t="s">
        <v>1076</v>
      </c>
      <c r="D46" s="414"/>
      <c r="E46" s="414"/>
      <c r="F46" s="414"/>
      <c r="G46" s="414"/>
      <c r="H46" s="414"/>
      <c r="I46" s="52" t="s">
        <v>230</v>
      </c>
      <c r="J46" s="350" t="s">
        <v>1077</v>
      </c>
      <c r="K46" s="52"/>
      <c r="L46" s="50"/>
      <c r="M46" s="48"/>
    </row>
    <row r="47" customFormat="false" ht="15" hidden="false" customHeight="true" outlineLevel="0" collapsed="false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48"/>
    </row>
    <row r="48" customFormat="false" ht="15" hidden="false" customHeight="true" outlineLevel="0" collapsed="false">
      <c r="A48" s="50"/>
      <c r="B48" s="50" t="s">
        <v>93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48"/>
    </row>
    <row r="49" customFormat="false" ht="15" hidden="false" customHeight="true" outlineLevel="0" collapsed="false">
      <c r="A49" s="50"/>
      <c r="B49" s="50" t="s">
        <v>94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48"/>
    </row>
    <row r="50" customFormat="false" ht="15" hidden="false" customHeight="true" outlineLevel="0" collapsed="false">
      <c r="A50" s="50"/>
      <c r="B50" s="50" t="s">
        <v>95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48"/>
    </row>
    <row r="51" customFormat="false" ht="15" hidden="false" customHeight="true" outlineLevel="0" collapsed="false">
      <c r="A51" s="50"/>
      <c r="B51" s="52" t="s">
        <v>96</v>
      </c>
      <c r="C51" s="52"/>
      <c r="D51" s="52"/>
      <c r="E51" s="52"/>
      <c r="F51" s="52"/>
      <c r="G51" s="52"/>
      <c r="H51" s="52"/>
      <c r="I51" s="52"/>
      <c r="J51" s="52"/>
      <c r="K51" s="50"/>
      <c r="L51" s="50"/>
      <c r="M51" s="48"/>
      <c r="N51" s="67"/>
      <c r="O51" s="67"/>
      <c r="P51" s="67"/>
      <c r="Q51" s="48"/>
    </row>
    <row r="52" customFormat="false" ht="15" hidden="false" customHeight="true" outlineLevel="0" collapsed="false">
      <c r="A52" s="50"/>
      <c r="B52" s="50" t="s">
        <v>97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48"/>
      <c r="N52" s="48"/>
      <c r="O52" s="48"/>
      <c r="P52" s="48"/>
      <c r="Q52" s="48"/>
    </row>
    <row r="53" customFormat="false" ht="15" hidden="false" customHeight="true" outlineLevel="0" collapsed="false">
      <c r="A53" s="50"/>
      <c r="B53" s="50" t="s">
        <v>98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48"/>
      <c r="N53" s="48"/>
      <c r="O53" s="48"/>
      <c r="P53" s="48"/>
      <c r="Q53" s="48"/>
    </row>
    <row r="54" customFormat="false" ht="15" hidden="false" customHeight="true" outlineLevel="0" collapsed="false">
      <c r="A54" s="50"/>
      <c r="B54" s="50" t="s">
        <v>99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48"/>
      <c r="N54" s="48"/>
      <c r="O54" s="48"/>
      <c r="P54" s="48"/>
      <c r="Q54" s="48"/>
    </row>
    <row r="55" customFormat="false" ht="15" hidden="false" customHeight="true" outlineLevel="0" collapsed="false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48"/>
    </row>
    <row r="56" customFormat="false" ht="15.75" hidden="false" customHeight="false" outlineLevel="0" collapsed="false">
      <c r="A56" s="50"/>
      <c r="B56" s="52"/>
      <c r="C56" s="52"/>
      <c r="D56" s="52"/>
      <c r="E56" s="52"/>
      <c r="F56" s="52"/>
      <c r="G56" s="52"/>
      <c r="H56" s="52"/>
      <c r="I56" s="52"/>
      <c r="J56" s="52"/>
      <c r="K56" s="50"/>
      <c r="L56" s="50"/>
      <c r="M56" s="48"/>
      <c r="N56" s="67"/>
      <c r="O56" s="67"/>
      <c r="P56" s="67"/>
      <c r="Q56" s="48"/>
    </row>
    <row r="57" customFormat="false" ht="15.75" hidden="false" customHeight="false" outlineLevel="0" collapsed="false">
      <c r="A57" s="50"/>
      <c r="B57" s="74"/>
      <c r="C57" s="74"/>
      <c r="D57" s="74"/>
      <c r="E57" s="74"/>
      <c r="F57" s="74"/>
      <c r="G57" s="74"/>
      <c r="H57" s="74"/>
      <c r="I57" s="74"/>
      <c r="J57" s="74"/>
      <c r="K57" s="50"/>
      <c r="L57" s="50"/>
      <c r="M57" s="48"/>
      <c r="N57" s="48"/>
      <c r="O57" s="48"/>
      <c r="P57" s="48"/>
      <c r="Q57" s="48"/>
    </row>
    <row r="58" customFormat="false" ht="15.75" hidden="false" customHeight="false" outlineLevel="0" collapsed="false">
      <c r="A58" s="50"/>
      <c r="B58" s="74"/>
      <c r="C58" s="74"/>
      <c r="D58" s="74"/>
      <c r="E58" s="74"/>
      <c r="F58" s="74"/>
      <c r="G58" s="74"/>
      <c r="H58" s="74"/>
      <c r="I58" s="74"/>
      <c r="J58" s="74"/>
      <c r="K58" s="74"/>
      <c r="L58" s="50"/>
      <c r="M58" s="48"/>
      <c r="N58" s="48"/>
      <c r="O58" s="48"/>
      <c r="P58" s="48"/>
      <c r="Q58" s="48"/>
    </row>
    <row r="59" customFormat="false" ht="15.75" hidden="false" customHeight="false" outlineLevel="0" collapsed="false">
      <c r="A59" s="50"/>
      <c r="B59" s="74"/>
      <c r="C59" s="74"/>
      <c r="D59" s="74"/>
      <c r="E59" s="74"/>
      <c r="F59" s="74"/>
      <c r="G59" s="74"/>
      <c r="H59" s="74"/>
      <c r="I59" s="74"/>
      <c r="J59" s="50"/>
      <c r="K59" s="50"/>
      <c r="L59" s="50"/>
      <c r="M59" s="48"/>
      <c r="N59" s="48"/>
      <c r="O59" s="48"/>
      <c r="P59" s="48"/>
      <c r="Q59" s="48"/>
    </row>
  </sheetData>
  <mergeCells count="43">
    <mergeCell ref="C1:J1"/>
    <mergeCell ref="L2:N2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B34:J34"/>
    <mergeCell ref="K34:L34"/>
    <mergeCell ref="N34:P34"/>
    <mergeCell ref="B35:J35"/>
    <mergeCell ref="K35:L35"/>
    <mergeCell ref="N35:P35"/>
    <mergeCell ref="B36:J36"/>
    <mergeCell ref="K36:L36"/>
    <mergeCell ref="N36:P36"/>
    <mergeCell ref="B37:J37"/>
    <mergeCell ref="K37:L37"/>
    <mergeCell ref="N37:P37"/>
    <mergeCell ref="B38:J38"/>
    <mergeCell ref="K38:L38"/>
    <mergeCell ref="N38:P38"/>
    <mergeCell ref="B39:J39"/>
    <mergeCell ref="K39:L39"/>
    <mergeCell ref="N39:P39"/>
    <mergeCell ref="B40:J40"/>
    <mergeCell ref="K40:L40"/>
    <mergeCell ref="N40:P40"/>
    <mergeCell ref="B41:J41"/>
    <mergeCell ref="K41:L41"/>
    <mergeCell ref="B42:J42"/>
    <mergeCell ref="K42:L42"/>
    <mergeCell ref="B43:J43"/>
    <mergeCell ref="K43:L43"/>
    <mergeCell ref="B57:J57"/>
    <mergeCell ref="B58:K58"/>
    <mergeCell ref="B59:I59"/>
  </mergeCells>
  <conditionalFormatting sqref="E19:H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H18 E22:H27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9:M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4:M18 I8:M13 M22:M27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8:M2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:M30 E29:H2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4:L18 I22:L27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9:L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7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H13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4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6.57"/>
    <col collapsed="false" customWidth="true" hidden="false" outlineLevel="0" max="2" min="2" style="0" width="10.57"/>
    <col collapsed="false" customWidth="true" hidden="false" outlineLevel="0" max="3" min="3" style="0" width="17.15"/>
    <col collapsed="false" customWidth="false" hidden="false" outlineLevel="0" max="7" min="7" style="45" width="8.71"/>
    <col collapsed="false" customWidth="true" hidden="false" outlineLevel="0" max="9" min="9" style="0" width="9.14"/>
    <col collapsed="false" customWidth="true" hidden="false" outlineLevel="0" max="11" min="11" style="0" width="10.71"/>
    <col collapsed="false" customWidth="true" hidden="false" outlineLevel="0" max="12" min="12" style="0" width="9.42"/>
    <col collapsed="false" customWidth="true" hidden="false" outlineLevel="0" max="14" min="13" style="0" width="9.14"/>
    <col collapsed="false" customWidth="true" hidden="false" outlineLevel="0" max="15" min="15" style="0" width="10.71"/>
    <col collapsed="false" customWidth="true" hidden="false" outlineLevel="0" max="16" min="16" style="0" width="16.71"/>
    <col collapsed="false" customWidth="true" hidden="false" outlineLevel="0" max="17" min="17" style="0" width="9.42"/>
    <col collapsed="false" customWidth="true" hidden="false" outlineLevel="0" max="18" min="18" style="0" width="3.86"/>
    <col collapsed="false" customWidth="true" hidden="false" outlineLevel="0" max="19" min="19" style="0" width="4.42"/>
    <col collapsed="false" customWidth="true" hidden="false" outlineLevel="0" max="20" min="20" style="0" width="5.42"/>
  </cols>
  <sheetData>
    <row r="1" customFormat="false" ht="19.7" hidden="false" customHeight="false" outlineLevel="0" collapsed="false">
      <c r="F1" s="1" t="s">
        <v>0</v>
      </c>
      <c r="G1" s="1"/>
      <c r="H1" s="1"/>
      <c r="I1" s="1"/>
      <c r="J1" s="1"/>
      <c r="K1" s="2" t="n">
        <f aca="false">set!B1</f>
        <v>2</v>
      </c>
      <c r="L1" s="3"/>
    </row>
    <row r="2" customFormat="false" ht="15" hidden="false" customHeight="false" outlineLevel="0" collapsed="false">
      <c r="O2" s="5" t="s">
        <v>289</v>
      </c>
      <c r="P2" s="5"/>
      <c r="Q2" s="415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ИУК2-11М факультета ИУК МГТУ им. Н.Э. Баумана"</f>
        <v>Успеваемость студентов за 1 семестр 24/25 учебного года по группе ИУК2-11М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.7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416" t="s">
        <v>6</v>
      </c>
      <c r="F5" s="416"/>
      <c r="G5" s="416"/>
      <c r="H5" s="416"/>
      <c r="I5" s="416" t="s">
        <v>7</v>
      </c>
      <c r="J5" s="416"/>
      <c r="K5" s="416"/>
      <c r="L5" s="416"/>
      <c r="M5" s="12" t="s">
        <v>8</v>
      </c>
      <c r="N5" s="13" t="s">
        <v>9</v>
      </c>
      <c r="O5" s="13" t="s">
        <v>10</v>
      </c>
      <c r="P5" s="417" t="s">
        <v>11</v>
      </c>
      <c r="Q5" s="417" t="s">
        <v>12</v>
      </c>
      <c r="R5" s="418"/>
    </row>
    <row r="6" customFormat="false" ht="15" hidden="false" customHeight="false" outlineLevel="0" collapsed="false">
      <c r="A6" s="8"/>
      <c r="B6" s="8"/>
      <c r="C6" s="8"/>
      <c r="D6" s="9"/>
      <c r="E6" s="339" t="s">
        <v>1078</v>
      </c>
      <c r="F6" s="340" t="s">
        <v>1079</v>
      </c>
      <c r="G6" s="419" t="s">
        <v>1080</v>
      </c>
      <c r="H6" s="420" t="s">
        <v>1081</v>
      </c>
      <c r="I6" s="405" t="s">
        <v>18</v>
      </c>
      <c r="J6" s="340" t="s">
        <v>467</v>
      </c>
      <c r="K6" s="340" t="s">
        <v>1082</v>
      </c>
      <c r="L6" s="342" t="s">
        <v>1083</v>
      </c>
      <c r="M6" s="12"/>
      <c r="N6" s="13"/>
      <c r="O6" s="13"/>
      <c r="P6" s="417"/>
      <c r="Q6" s="417"/>
      <c r="R6" s="418"/>
    </row>
    <row r="7" customFormat="false" ht="17.9" hidden="false" customHeight="false" outlineLevel="0" collapsed="false">
      <c r="A7" s="8"/>
      <c r="B7" s="8"/>
      <c r="C7" s="8"/>
      <c r="D7" s="9"/>
      <c r="E7" s="343" t="s">
        <v>549</v>
      </c>
      <c r="F7" s="344" t="s">
        <v>1084</v>
      </c>
      <c r="G7" s="345" t="s">
        <v>299</v>
      </c>
      <c r="H7" s="346" t="s">
        <v>741</v>
      </c>
      <c r="I7" s="407" t="s">
        <v>27</v>
      </c>
      <c r="J7" s="344" t="s">
        <v>1085</v>
      </c>
      <c r="K7" s="344" t="s">
        <v>1086</v>
      </c>
      <c r="L7" s="346" t="s">
        <v>380</v>
      </c>
      <c r="M7" s="12"/>
      <c r="N7" s="13"/>
      <c r="O7" s="13"/>
      <c r="P7" s="417"/>
      <c r="Q7" s="417"/>
      <c r="R7" s="418"/>
    </row>
    <row r="8" customFormat="false" ht="15" hidden="false" customHeight="true" outlineLevel="0" collapsed="false">
      <c r="A8" s="103" t="n">
        <v>1</v>
      </c>
      <c r="B8" s="25" t="s">
        <v>1087</v>
      </c>
      <c r="C8" s="25" t="s">
        <v>1088</v>
      </c>
      <c r="D8" s="90"/>
      <c r="E8" s="78"/>
      <c r="F8" s="79"/>
      <c r="G8" s="79"/>
      <c r="H8" s="80"/>
      <c r="I8" s="410"/>
      <c r="J8" s="410"/>
      <c r="K8" s="87"/>
      <c r="L8" s="80"/>
      <c r="M8" s="33" t="str">
        <f aca="false">IFERROR(AVERAGE(E8:L8),"")</f>
        <v/>
      </c>
      <c r="N8" s="84" t="str">
        <f aca="false">IF(E8&lt;&gt;"",IF(COUNTIF(E8:L8,"&lt;3"),"Не успевает","Успевает"),"")</f>
        <v/>
      </c>
      <c r="O8" s="241" t="str">
        <f aca="false">IF(D8&lt;&gt;"",(30*(set!B$5)-D8)/(30*(set!B$5))*100,"")</f>
        <v/>
      </c>
      <c r="P8" s="85" t="str">
        <f aca="false">IF(E8&lt;&gt;"",IF(M8&lt;1.85,"Выговор",IF(M8=1.85,"Выговор",IF(AND(M8&gt;1.85,M8&lt;3),"Предупреждение",IF(AND(M8&gt;3,M8&lt;4.65),"Нормально",IF(AND(M8&gt;4.65,M8&lt;5.1,MIN(E8:L8)&gt;=4),"Благодарность","Нормально"))))),"")</f>
        <v/>
      </c>
      <c r="Q8" s="421" t="n">
        <f aca="false">COUNTIF(E8:L8,2)+COUNTIF(E8:L8,1)+COUNTIF(E8:L8,0)</f>
        <v>0</v>
      </c>
      <c r="R8" s="418"/>
    </row>
    <row r="9" customFormat="false" ht="15" hidden="false" customHeight="true" outlineLevel="0" collapsed="false">
      <c r="A9" s="37" t="n">
        <v>2</v>
      </c>
      <c r="B9" s="37" t="s">
        <v>1089</v>
      </c>
      <c r="C9" s="37" t="s">
        <v>1090</v>
      </c>
      <c r="D9" s="90"/>
      <c r="E9" s="86"/>
      <c r="F9" s="87"/>
      <c r="G9" s="87"/>
      <c r="H9" s="89"/>
      <c r="I9" s="410"/>
      <c r="J9" s="410"/>
      <c r="K9" s="87"/>
      <c r="L9" s="89"/>
      <c r="M9" s="33" t="str">
        <f aca="false">IFERROR(AVERAGE(E9:L9),"")</f>
        <v/>
      </c>
      <c r="N9" s="84" t="str">
        <f aca="false">IF(E9&lt;&gt;"",IF(COUNTIF(E9:L9,"&lt;3"),"Не успевает","Успевает"),"")</f>
        <v/>
      </c>
      <c r="O9" s="241" t="str">
        <f aca="false">IF(D9&lt;&gt;"",(30*(set!B$5)-D9)/(30*(set!B$5))*100,"")</f>
        <v/>
      </c>
      <c r="P9" s="85" t="str">
        <f aca="false">IF(E9&lt;&gt;"",IF(M9&lt;1.85,"Выговор",IF(M9=1.85,"Выговор",IF(AND(M9&gt;1.85,M9&lt;3),"Предупреждение",IF(AND(M9&gt;3,M9&lt;4.65),"Нормально",IF(AND(M9&gt;4.65,M9&lt;5.1,MIN(E9:L9)&gt;=4),"Благодарность","Нормально"))))),"")</f>
        <v/>
      </c>
      <c r="Q9" s="421" t="n">
        <f aca="false">COUNTIF(E9:L9,2)+COUNTIF(E9:L9,1)+COUNTIF(E9:L9,0)</f>
        <v>0</v>
      </c>
      <c r="R9" s="418"/>
    </row>
    <row r="10" customFormat="false" ht="15" hidden="false" customHeight="true" outlineLevel="0" collapsed="false">
      <c r="A10" s="85" t="n">
        <v>3</v>
      </c>
      <c r="B10" s="37" t="s">
        <v>1091</v>
      </c>
      <c r="C10" s="37" t="s">
        <v>1092</v>
      </c>
      <c r="D10" s="90"/>
      <c r="E10" s="86"/>
      <c r="F10" s="87"/>
      <c r="G10" s="87"/>
      <c r="H10" s="89"/>
      <c r="I10" s="410"/>
      <c r="J10" s="410"/>
      <c r="K10" s="87"/>
      <c r="L10" s="89"/>
      <c r="M10" s="33" t="str">
        <f aca="false">IFERROR(AVERAGE(E10:L10),"")</f>
        <v/>
      </c>
      <c r="N10" s="84" t="str">
        <f aca="false">IF(E10&lt;&gt;"",IF(COUNTIF(E10:L10,"&lt;3"),"Не успевает","Успевает"),"")</f>
        <v/>
      </c>
      <c r="O10" s="241" t="str">
        <f aca="false">IF(D10&lt;&gt;"",(30*(set!B$5)-D10)/(30*(set!B$5))*100,"")</f>
        <v/>
      </c>
      <c r="P10" s="85" t="str">
        <f aca="false">IF(E10&lt;&gt;"",IF(M10&lt;1.85,"Выговор",IF(M10=1.85,"Выговор",IF(AND(M10&gt;1.85,M10&lt;3),"Предупреждение",IF(AND(M10&gt;3,M10&lt;4.65),"Нормально",IF(AND(M10&gt;4.65,M10&lt;5.1,MIN(E10:L10)&gt;=4),"Благодарность","Нормально"))))),"")</f>
        <v/>
      </c>
      <c r="Q10" s="421" t="n">
        <f aca="false">COUNTIF(E10:L10,2)+COUNTIF(E10:L10,1)+COUNTIF(E10:L10,0)</f>
        <v>0</v>
      </c>
      <c r="R10" s="418"/>
    </row>
    <row r="11" customFormat="false" ht="15" hidden="false" customHeight="true" outlineLevel="0" collapsed="false">
      <c r="A11" s="37" t="n">
        <v>4</v>
      </c>
      <c r="B11" s="37" t="s">
        <v>1093</v>
      </c>
      <c r="C11" s="37" t="s">
        <v>1094</v>
      </c>
      <c r="D11" s="90"/>
      <c r="E11" s="86"/>
      <c r="F11" s="87"/>
      <c r="G11" s="87"/>
      <c r="H11" s="89"/>
      <c r="I11" s="410"/>
      <c r="J11" s="410"/>
      <c r="K11" s="87"/>
      <c r="L11" s="89"/>
      <c r="M11" s="33" t="str">
        <f aca="false">IFERROR(AVERAGE(E11:L11),"")</f>
        <v/>
      </c>
      <c r="N11" s="84" t="str">
        <f aca="false">IF(E11&lt;&gt;"",IF(COUNTIF(E11:L11,"&lt;3"),"Не успевает","Успевает"),"")</f>
        <v/>
      </c>
      <c r="O11" s="241" t="str">
        <f aca="false">IF(D11&lt;&gt;"",(30*(set!B$5)-D11)/(30*(set!B$5))*100,"")</f>
        <v/>
      </c>
      <c r="P11" s="85" t="str">
        <f aca="false">IF(E11&lt;&gt;"",IF(M11&lt;1.85,"Выговор",IF(M11=1.85,"Выговор",IF(AND(M11&gt;1.85,M11&lt;3),"Предупреждение",IF(AND(M11&gt;3,M11&lt;4.65),"Нормально",IF(AND(M11&gt;4.65,M11&lt;5.1,MIN(E11:L11)&gt;=4),"Благодарность","Нормально"))))),"")</f>
        <v/>
      </c>
      <c r="Q11" s="421" t="n">
        <f aca="false">COUNTIF(E11:L11,2)+COUNTIF(E11:L11,1)+COUNTIF(E11:L11,0)</f>
        <v>0</v>
      </c>
      <c r="R11" s="418"/>
    </row>
    <row r="12" customFormat="false" ht="15" hidden="false" customHeight="true" outlineLevel="0" collapsed="false">
      <c r="A12" s="85" t="n">
        <v>5</v>
      </c>
      <c r="B12" s="37" t="s">
        <v>1095</v>
      </c>
      <c r="C12" s="37" t="s">
        <v>1096</v>
      </c>
      <c r="D12" s="90"/>
      <c r="E12" s="86"/>
      <c r="F12" s="87"/>
      <c r="G12" s="87"/>
      <c r="H12" s="89"/>
      <c r="I12" s="410"/>
      <c r="J12" s="410"/>
      <c r="K12" s="87"/>
      <c r="L12" s="89"/>
      <c r="M12" s="33" t="str">
        <f aca="false">IFERROR(AVERAGE(E12:L12),"")</f>
        <v/>
      </c>
      <c r="N12" s="84" t="str">
        <f aca="false">IF(E12&lt;&gt;"",IF(COUNTIF(E12:L12,"&lt;3"),"Не успевает","Успевает"),"")</f>
        <v/>
      </c>
      <c r="O12" s="241" t="str">
        <f aca="false">IF(D12&lt;&gt;"",(30*(set!B$5)-D12)/(30*(set!B$5))*100,"")</f>
        <v/>
      </c>
      <c r="P12" s="85" t="str">
        <f aca="false">IF(E12&lt;&gt;"",IF(M12&lt;1.85,"Выговор",IF(M12=1.85,"Выговор",IF(AND(M12&gt;1.85,M12&lt;3),"Предупреждение",IF(AND(M12&gt;3,M12&lt;4.65),"Нормально",IF(AND(M12&gt;4.65,M12&lt;5.1,MIN(E12:L12)&gt;=4),"Благодарность","Нормально"))))),"")</f>
        <v/>
      </c>
      <c r="Q12" s="421" t="n">
        <f aca="false">COUNTIF(E12:L12,2)+COUNTIF(E12:L12,1)+COUNTIF(E12:L12,0)</f>
        <v>0</v>
      </c>
      <c r="R12" s="418"/>
    </row>
    <row r="13" customFormat="false" ht="15" hidden="false" customHeight="true" outlineLevel="0" collapsed="false">
      <c r="A13" s="37" t="n">
        <v>6</v>
      </c>
      <c r="B13" s="37" t="s">
        <v>1097</v>
      </c>
      <c r="C13" s="37" t="s">
        <v>1098</v>
      </c>
      <c r="D13" s="90"/>
      <c r="E13" s="86"/>
      <c r="F13" s="87"/>
      <c r="G13" s="87"/>
      <c r="H13" s="89"/>
      <c r="I13" s="410"/>
      <c r="J13" s="410"/>
      <c r="K13" s="87"/>
      <c r="L13" s="89"/>
      <c r="M13" s="33" t="str">
        <f aca="false">IFERROR(AVERAGE(E13:L13),"")</f>
        <v/>
      </c>
      <c r="N13" s="84" t="str">
        <f aca="false">IF(E13&lt;&gt;"",IF(COUNTIF(E13:L13,"&lt;3"),"Не успевает","Успевает"),"")</f>
        <v/>
      </c>
      <c r="O13" s="241" t="str">
        <f aca="false">IF(D13&lt;&gt;"",(30*(set!B$5)-D13)/(30*(set!B$5))*100,"")</f>
        <v/>
      </c>
      <c r="P13" s="85" t="str">
        <f aca="false">IF(E13&lt;&gt;"",IF(M13&lt;1.85,"Выговор",IF(M13=1.85,"Выговор",IF(AND(M13&gt;1.85,M13&lt;3),"Предупреждение",IF(AND(M13&gt;3,M13&lt;4.65),"Нормально",IF(AND(M13&gt;4.65,M13&lt;5.1,MIN(E13:L13)&gt;=4),"Благодарность","Нормально"))))),"")</f>
        <v/>
      </c>
      <c r="Q13" s="421" t="n">
        <f aca="false">COUNTIF(E13:L13,2)+COUNTIF(E13:L13,1)+COUNTIF(E13:L13,0)</f>
        <v>0</v>
      </c>
      <c r="R13" s="418"/>
    </row>
    <row r="14" customFormat="false" ht="15" hidden="false" customHeight="true" outlineLevel="0" collapsed="false">
      <c r="A14" s="85" t="n">
        <v>7</v>
      </c>
      <c r="B14" s="37" t="s">
        <v>1099</v>
      </c>
      <c r="C14" s="37" t="s">
        <v>1100</v>
      </c>
      <c r="D14" s="90"/>
      <c r="E14" s="86"/>
      <c r="F14" s="87"/>
      <c r="G14" s="87"/>
      <c r="H14" s="89"/>
      <c r="I14" s="410"/>
      <c r="J14" s="410"/>
      <c r="K14" s="87"/>
      <c r="L14" s="89"/>
      <c r="M14" s="33" t="str">
        <f aca="false">IFERROR(AVERAGE(E14:L14),"")</f>
        <v/>
      </c>
      <c r="N14" s="84" t="str">
        <f aca="false">IF(E14&lt;&gt;"",IF(COUNTIF(E14:L14,"&lt;3"),"Не успевает","Успевает"),"")</f>
        <v/>
      </c>
      <c r="O14" s="241" t="str">
        <f aca="false">IF(D14&lt;&gt;"",(30*(set!B$5)-D14)/(30*(set!B$5))*100,"")</f>
        <v/>
      </c>
      <c r="P14" s="85" t="str">
        <f aca="false">IF(E14&lt;&gt;"",IF(M14&lt;1.85,"Выговор",IF(M14=1.85,"Выговор",IF(AND(M14&gt;1.85,M14&lt;3),"Предупреждение",IF(AND(M14&gt;3,M14&lt;4.65),"Нормально",IF(AND(M14&gt;4.65,M14&lt;5.1,MIN(E14:L14)&gt;=4),"Благодарность","Нормально"))))),"")</f>
        <v/>
      </c>
      <c r="Q14" s="421" t="n">
        <f aca="false">COUNTIF(E14:L14,2)+COUNTIF(E14:L14,1)+COUNTIF(E14:L14,0)</f>
        <v>0</v>
      </c>
      <c r="R14" s="418"/>
    </row>
    <row r="15" customFormat="false" ht="15" hidden="false" customHeight="true" outlineLevel="0" collapsed="false">
      <c r="A15" s="85" t="n">
        <v>8</v>
      </c>
      <c r="B15" s="37" t="s">
        <v>1101</v>
      </c>
      <c r="C15" s="37" t="s">
        <v>1102</v>
      </c>
      <c r="D15" s="90"/>
      <c r="E15" s="86"/>
      <c r="F15" s="87"/>
      <c r="G15" s="87"/>
      <c r="H15" s="89"/>
      <c r="I15" s="410"/>
      <c r="J15" s="410"/>
      <c r="K15" s="87"/>
      <c r="L15" s="89"/>
      <c r="M15" s="33" t="str">
        <f aca="false">IFERROR(AVERAGE(E15:L15),"")</f>
        <v/>
      </c>
      <c r="N15" s="84" t="str">
        <f aca="false">IF(E15&lt;&gt;"",IF(COUNTIF(E15:L15,"&lt;3"),"Не успевает","Успевает"),"")</f>
        <v/>
      </c>
      <c r="O15" s="241" t="str">
        <f aca="false">IF(D15&lt;&gt;"",(30*(set!B$5)-D15)/(30*(set!B$5))*100,"")</f>
        <v/>
      </c>
      <c r="P15" s="85" t="str">
        <f aca="false">IF(E15&lt;&gt;"",IF(M15&lt;1.85,"Выговор",IF(M15=1.85,"Выговор",IF(AND(M15&gt;1.85,M15&lt;3),"Предупреждение",IF(AND(M15&gt;3,M15&lt;4.65),"Нормально",IF(AND(M15&gt;4.65,M15&lt;5.1,MIN(E15:L15)&gt;=4),"Благодарность","Нормально"))))),"")</f>
        <v/>
      </c>
      <c r="Q15" s="421" t="n">
        <f aca="false">COUNTIF(E15:L15,2)+COUNTIF(E15:L15,1)+COUNTIF(E15:L15,0)</f>
        <v>0</v>
      </c>
      <c r="R15" s="418"/>
    </row>
    <row r="16" customFormat="false" ht="15" hidden="false" customHeight="true" outlineLevel="0" collapsed="false">
      <c r="A16" s="0" t="s">
        <v>77</v>
      </c>
      <c r="C16" s="46"/>
      <c r="D16" s="47"/>
      <c r="E16" s="422" t="e">
        <f aca="false">AVERAGE(E8:E15)</f>
        <v>#DIV/0!</v>
      </c>
      <c r="F16" s="422" t="e">
        <f aca="false">AVERAGE(F8:F15)</f>
        <v>#DIV/0!</v>
      </c>
      <c r="G16" s="422" t="e">
        <f aca="false">AVERAGE(G8:G15)</f>
        <v>#DIV/0!</v>
      </c>
      <c r="H16" s="422" t="e">
        <f aca="false">AVERAGE(H8:H15)</f>
        <v>#DIV/0!</v>
      </c>
      <c r="I16" s="422" t="e">
        <f aca="false">AVERAGE(I8:I15)</f>
        <v>#DIV/0!</v>
      </c>
      <c r="J16" s="422" t="e">
        <f aca="false">AVERAGE(J8:J15)</f>
        <v>#DIV/0!</v>
      </c>
      <c r="K16" s="422" t="e">
        <f aca="false">AVERAGE(K8:K15)</f>
        <v>#DIV/0!</v>
      </c>
      <c r="L16" s="422" t="e">
        <f aca="false">AVERAGE(L8:L15)</f>
        <v>#DIV/0!</v>
      </c>
      <c r="M16" s="47"/>
      <c r="N16" s="47"/>
      <c r="O16" s="47"/>
      <c r="P16" s="48"/>
      <c r="Q16" s="423"/>
      <c r="R16" s="242"/>
      <c r="S16" s="242"/>
    </row>
    <row r="17" customFormat="false" ht="15" hidden="false" customHeight="true" outlineLevel="0" collapsed="false">
      <c r="A17" s="0" t="s">
        <v>78</v>
      </c>
      <c r="C17" s="46"/>
      <c r="D17" s="47"/>
      <c r="E17" s="49" t="e">
        <f aca="false">(COUNTIF(E8:E15,5)+COUNTIF(E8:E15,4)+COUNTIF(E8:E15,3))/$P$22*100</f>
        <v>#DIV/0!</v>
      </c>
      <c r="F17" s="49" t="e">
        <f aca="false">(COUNTIF(F8:F15,5)+COUNTIF(F8:F15,4)+COUNTIF(F8:F15,3))/$P$22*100</f>
        <v>#DIV/0!</v>
      </c>
      <c r="G17" s="49" t="e">
        <f aca="false">(COUNTIF(G8:G15,5)+COUNTIF(G8:G15,4)+COUNTIF(G8:G15,3))/$P$22*100</f>
        <v>#DIV/0!</v>
      </c>
      <c r="H17" s="49" t="e">
        <f aca="false">(COUNTIF(H8:H15,5)+COUNTIF(H8:H15,4)+COUNTIF(H8:H15,3))/$P$22*100</f>
        <v>#DIV/0!</v>
      </c>
      <c r="I17" s="49" t="e">
        <f aca="false">(COUNTIF(I8:I15,5)+COUNTIF(I8:I15,4)+COUNTIF(I8:I15,3))/$P$22*100</f>
        <v>#DIV/0!</v>
      </c>
      <c r="J17" s="49" t="e">
        <f aca="false">(COUNTIF(J8:J15,5)+COUNTIF(J8:J15,4)+COUNTIF(J8:J15,3))/$P$22*100</f>
        <v>#DIV/0!</v>
      </c>
      <c r="K17" s="49" t="e">
        <f aca="false">(COUNTIF(K8:K15,5)+COUNTIF(K8:K15,4)+COUNTIF(K8:K15,3))/$P$22*100</f>
        <v>#DIV/0!</v>
      </c>
      <c r="L17" s="49" t="e">
        <f aca="false">(COUNTIF(L8:L15,5)+COUNTIF(L8:L15,4)+COUNTIF(L8:L15,3))/$P$22*100</f>
        <v>#DIV/0!</v>
      </c>
      <c r="M17" s="47"/>
      <c r="N17" s="47"/>
      <c r="O17" s="47"/>
      <c r="P17" s="48"/>
      <c r="Q17" s="423"/>
      <c r="R17" s="242"/>
      <c r="S17" s="242"/>
    </row>
    <row r="18" customFormat="false" ht="15" hidden="false" customHeight="true" outlineLevel="0" collapsed="false">
      <c r="D18" s="46"/>
      <c r="E18" s="46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</row>
    <row r="19" customFormat="false" ht="15" hidden="false" customHeight="true" outlineLevel="0" collapsed="false"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</row>
    <row r="20" customFormat="false" ht="15" hidden="false" customHeight="true" outlineLevel="0" collapsed="false">
      <c r="B20" s="50"/>
      <c r="C20" s="50" t="s">
        <v>8</v>
      </c>
      <c r="D20" s="51" t="str">
        <f aca="false">IFERROR(AVERAGE(M8:M15),"")</f>
        <v/>
      </c>
      <c r="E20" s="51"/>
      <c r="F20" s="52" t="s">
        <v>9</v>
      </c>
      <c r="G20" s="52"/>
      <c r="H20" s="52"/>
      <c r="I20" s="55" t="str">
        <f aca="false">IFERROR(COUNTIF(N8:N15,"Успевает")/P22*100,"")</f>
        <v/>
      </c>
      <c r="J20" s="424" t="s">
        <v>10</v>
      </c>
      <c r="K20" s="424"/>
      <c r="L20" s="55" t="str">
        <f aca="false">IFERROR(AVERAGE(O8:O15),"")</f>
        <v/>
      </c>
      <c r="P20" s="59"/>
    </row>
    <row r="21" customFormat="false" ht="15" hidden="false" customHeight="true" outlineLevel="0" collapsed="false">
      <c r="B21" s="50"/>
      <c r="C21" s="50"/>
      <c r="D21" s="50"/>
      <c r="E21" s="50"/>
      <c r="F21" s="56"/>
      <c r="G21" s="56"/>
      <c r="H21" s="56"/>
      <c r="I21" s="56"/>
      <c r="J21" s="56"/>
      <c r="K21" s="56"/>
      <c r="L21" s="56"/>
      <c r="P21" s="64"/>
    </row>
    <row r="22" customFormat="false" ht="15" hidden="false" customHeight="true" outlineLevel="0" collapsed="false">
      <c r="A22" s="50"/>
      <c r="B22" s="61" t="s">
        <v>81</v>
      </c>
      <c r="C22" s="61"/>
      <c r="D22" s="61"/>
      <c r="E22" s="61"/>
      <c r="F22" s="61"/>
      <c r="G22" s="61"/>
      <c r="H22" s="61"/>
      <c r="I22" s="61"/>
      <c r="J22" s="61"/>
      <c r="K22" s="425" t="s">
        <v>82</v>
      </c>
      <c r="L22" s="425"/>
      <c r="N22" s="57" t="s">
        <v>80</v>
      </c>
      <c r="O22" s="57"/>
      <c r="P22" s="58" t="n">
        <f aca="false">SUM(P23,P24)</f>
        <v>0</v>
      </c>
    </row>
    <row r="23" customFormat="false" ht="15" hidden="false" customHeight="true" outlineLevel="0" collapsed="false">
      <c r="A23" s="50"/>
      <c r="B23" s="65" t="str">
        <f aca="false">$E$6</f>
        <v> Вейвлет-преобразования сигналов</v>
      </c>
      <c r="C23" s="65"/>
      <c r="D23" s="65"/>
      <c r="E23" s="65"/>
      <c r="F23" s="65"/>
      <c r="G23" s="65"/>
      <c r="H23" s="65"/>
      <c r="I23" s="65"/>
      <c r="J23" s="65"/>
      <c r="K23" s="426"/>
      <c r="L23" s="426"/>
      <c r="N23" s="57" t="s">
        <v>83</v>
      </c>
      <c r="O23" s="57"/>
      <c r="P23" s="58" t="n">
        <f aca="false">COUNTIF(N8:N15,"Успевает")</f>
        <v>0</v>
      </c>
    </row>
    <row r="24" customFormat="false" ht="15" hidden="false" customHeight="true" outlineLevel="0" collapsed="false">
      <c r="A24" s="50"/>
      <c r="B24" s="65" t="str">
        <f aca="false">$F$6</f>
        <v> Методы проектирования биоинспирированных
распределенных систем</v>
      </c>
      <c r="C24" s="65"/>
      <c r="D24" s="65"/>
      <c r="E24" s="65"/>
      <c r="F24" s="65"/>
      <c r="G24" s="65"/>
      <c r="H24" s="65"/>
      <c r="I24" s="65"/>
      <c r="J24" s="65"/>
      <c r="K24" s="426"/>
      <c r="L24" s="426"/>
      <c r="N24" s="98" t="s">
        <v>84</v>
      </c>
      <c r="O24" s="98"/>
      <c r="P24" s="58" t="n">
        <f aca="false">COUNTIF(N8:N15,"Не успевает")</f>
        <v>0</v>
      </c>
    </row>
    <row r="25" customFormat="false" ht="15" hidden="false" customHeight="true" outlineLevel="0" collapsed="false">
      <c r="A25" s="50"/>
      <c r="B25" s="65" t="str">
        <f aca="false">$G$6</f>
        <v> Проектирование интеллектуальных систем</v>
      </c>
      <c r="C25" s="65"/>
      <c r="D25" s="65"/>
      <c r="E25" s="65"/>
      <c r="F25" s="65"/>
      <c r="G25" s="65"/>
      <c r="H25" s="65"/>
      <c r="I25" s="65"/>
      <c r="J25" s="65"/>
      <c r="K25" s="426"/>
      <c r="L25" s="426"/>
      <c r="N25" s="98" t="s">
        <v>85</v>
      </c>
      <c r="O25" s="98"/>
      <c r="P25" s="58" t="n">
        <f aca="false">COUNTIF(P8:P15,"Благодарность")</f>
        <v>0</v>
      </c>
    </row>
    <row r="26" customFormat="false" ht="15" hidden="false" customHeight="true" outlineLevel="0" collapsed="false">
      <c r="A26" s="50"/>
      <c r="B26" s="65" t="str">
        <f aca="false">$H$6</f>
        <v> Системы мультимедиа, прототипирование и разработка интерфейса веб-проекта</v>
      </c>
      <c r="C26" s="65"/>
      <c r="D26" s="65"/>
      <c r="E26" s="65"/>
      <c r="F26" s="65"/>
      <c r="G26" s="65"/>
      <c r="H26" s="65"/>
      <c r="I26" s="65"/>
      <c r="J26" s="65"/>
      <c r="K26" s="426"/>
      <c r="L26" s="426"/>
      <c r="N26" s="98" t="s">
        <v>86</v>
      </c>
      <c r="O26" s="98"/>
      <c r="P26" s="58" t="n">
        <f aca="false">COUNTIF(P8:P15,"Нормально")</f>
        <v>0</v>
      </c>
    </row>
    <row r="27" customFormat="false" ht="15" hidden="false" customHeight="true" outlineLevel="0" collapsed="false">
      <c r="A27" s="50"/>
      <c r="B27" s="65" t="str">
        <f aca="false">$I$6</f>
        <v>Иностранный язык</v>
      </c>
      <c r="C27" s="65"/>
      <c r="D27" s="65"/>
      <c r="E27" s="65"/>
      <c r="F27" s="65"/>
      <c r="G27" s="65"/>
      <c r="H27" s="65"/>
      <c r="I27" s="65"/>
      <c r="J27" s="65"/>
      <c r="K27" s="426"/>
      <c r="L27" s="426"/>
      <c r="N27" s="98" t="s">
        <v>87</v>
      </c>
      <c r="O27" s="98"/>
      <c r="P27" s="58" t="n">
        <f aca="false">COUNTIF(P8:P15,"Предупреждение")</f>
        <v>0</v>
      </c>
    </row>
    <row r="28" customFormat="false" ht="15" hidden="false" customHeight="true" outlineLevel="0" collapsed="false">
      <c r="A28" s="50"/>
      <c r="B28" s="65" t="str">
        <f aca="false">$J$6</f>
        <v>Научно-исследовательская работа</v>
      </c>
      <c r="C28" s="65"/>
      <c r="D28" s="65"/>
      <c r="E28" s="65"/>
      <c r="F28" s="65"/>
      <c r="G28" s="65"/>
      <c r="H28" s="65"/>
      <c r="I28" s="65"/>
      <c r="J28" s="65"/>
      <c r="K28" s="426"/>
      <c r="L28" s="426"/>
      <c r="M28" s="67"/>
      <c r="N28" s="98" t="s">
        <v>88</v>
      </c>
      <c r="O28" s="98"/>
      <c r="P28" s="58" t="n">
        <f aca="false">COUNTIF(P8:P15,"Выговор")</f>
        <v>0</v>
      </c>
    </row>
    <row r="29" customFormat="false" ht="15" hidden="false" customHeight="true" outlineLevel="0" collapsed="false">
      <c r="A29" s="50"/>
      <c r="B29" s="65" t="str">
        <f aca="false">$K$6</f>
        <v> Технологическая практика</v>
      </c>
      <c r="C29" s="65"/>
      <c r="D29" s="65"/>
      <c r="E29" s="65"/>
      <c r="F29" s="65"/>
      <c r="G29" s="65"/>
      <c r="H29" s="65"/>
      <c r="I29" s="65"/>
      <c r="J29" s="65"/>
      <c r="K29" s="426"/>
      <c r="L29" s="426"/>
      <c r="M29" s="67"/>
      <c r="N29" s="185" t="s">
        <v>12</v>
      </c>
      <c r="O29" s="186"/>
      <c r="P29" s="427" t="n">
        <f aca="false">SUM(Q8:Q15)</f>
        <v>0</v>
      </c>
    </row>
    <row r="30" customFormat="false" ht="15" hidden="false" customHeight="true" outlineLevel="0" collapsed="false">
      <c r="A30" s="50"/>
      <c r="B30" s="65" t="str">
        <f aca="false">$L$6</f>
        <v> Управление персоналом </v>
      </c>
      <c r="C30" s="65"/>
      <c r="D30" s="65"/>
      <c r="E30" s="65"/>
      <c r="F30" s="65"/>
      <c r="G30" s="65"/>
      <c r="H30" s="65"/>
      <c r="I30" s="65"/>
      <c r="J30" s="65"/>
      <c r="K30" s="426"/>
      <c r="L30" s="426"/>
      <c r="M30" s="67"/>
      <c r="N30" s="67"/>
      <c r="O30" s="67"/>
      <c r="P30" s="48"/>
    </row>
    <row r="31" customFormat="false" ht="15" hidden="false" customHeight="true" outlineLevel="0" collapsed="false">
      <c r="A31" s="50"/>
      <c r="B31" s="139"/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M31" s="67"/>
      <c r="N31" s="139"/>
      <c r="P31" s="67"/>
    </row>
    <row r="32" customFormat="false" ht="15" hidden="false" customHeight="true" outlineLevel="0" collapsed="false">
      <c r="A32" s="50"/>
      <c r="B32" s="428" t="s">
        <v>405</v>
      </c>
      <c r="C32" s="327" t="s">
        <v>1103</v>
      </c>
      <c r="D32" s="327"/>
      <c r="E32" s="327"/>
      <c r="F32" s="67"/>
      <c r="G32" s="67"/>
      <c r="H32" s="52" t="s">
        <v>407</v>
      </c>
      <c r="I32" s="52"/>
      <c r="J32" s="300" t="s">
        <v>1104</v>
      </c>
      <c r="K32" s="52"/>
      <c r="L32" s="52"/>
      <c r="M32" s="139"/>
      <c r="N32" s="139"/>
      <c r="P32" s="67"/>
    </row>
    <row r="33" customFormat="false" ht="15" hidden="false" customHeight="true" outlineLevel="0" collapsed="false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139"/>
      <c r="N33" s="139"/>
      <c r="P33" s="67"/>
    </row>
    <row r="34" customFormat="false" ht="15" hidden="false" customHeight="true" outlineLevel="0" collapsed="false">
      <c r="A34" s="50"/>
      <c r="B34" s="50" t="s">
        <v>93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139"/>
      <c r="N34" s="139"/>
      <c r="P34" s="67"/>
    </row>
    <row r="35" customFormat="false" ht="15" hidden="false" customHeight="true" outlineLevel="0" collapsed="false">
      <c r="A35" s="50"/>
      <c r="B35" s="50" t="s">
        <v>94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P35" s="48"/>
    </row>
    <row r="36" customFormat="false" ht="15" hidden="false" customHeight="true" outlineLevel="0" collapsed="false">
      <c r="A36" s="50"/>
      <c r="B36" s="50" t="s">
        <v>95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P36" s="48"/>
    </row>
    <row r="37" customFormat="false" ht="15" hidden="false" customHeight="true" outlineLevel="0" collapsed="false">
      <c r="A37" s="50"/>
      <c r="B37" s="50" t="s">
        <v>96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P37" s="48"/>
    </row>
    <row r="38" customFormat="false" ht="15" hidden="false" customHeight="true" outlineLevel="0" collapsed="false">
      <c r="A38" s="50"/>
      <c r="B38" s="50" t="s">
        <v>97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P38" s="48"/>
    </row>
    <row r="39" customFormat="false" ht="15" hidden="false" customHeight="true" outlineLevel="0" collapsed="false">
      <c r="A39" s="50"/>
      <c r="B39" s="50" t="s">
        <v>98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P39" s="48"/>
    </row>
    <row r="40" customFormat="false" ht="15" hidden="false" customHeight="true" outlineLevel="0" collapsed="false">
      <c r="A40" s="50"/>
      <c r="B40" s="50" t="s">
        <v>99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P40" s="48"/>
    </row>
    <row r="41" customFormat="false" ht="15" hidden="false" customHeight="true" outlineLevel="0" collapsed="false">
      <c r="A41" s="50"/>
      <c r="M41" s="50"/>
      <c r="P41" s="48"/>
    </row>
    <row r="42" customFormat="false" ht="15" hidden="false" customHeight="true" outlineLevel="0" collapsed="false">
      <c r="A42" s="50"/>
      <c r="M42" s="50"/>
      <c r="P42" s="48"/>
    </row>
    <row r="43" customFormat="false" ht="15.75" hidden="false" customHeight="false" outlineLevel="0" collapsed="false">
      <c r="A43" s="50"/>
      <c r="M43" s="50"/>
      <c r="P43" s="48"/>
    </row>
    <row r="44" customFormat="false" ht="15.75" hidden="false" customHeight="false" outlineLevel="0" collapsed="false">
      <c r="A44" s="50"/>
      <c r="M44" s="50"/>
      <c r="P44" s="48"/>
    </row>
  </sheetData>
  <mergeCells count="41">
    <mergeCell ref="F1:J1"/>
    <mergeCell ref="O2:P2"/>
    <mergeCell ref="A3:O3"/>
    <mergeCell ref="A5:A7"/>
    <mergeCell ref="B5:B7"/>
    <mergeCell ref="C5:C7"/>
    <mergeCell ref="D5:D7"/>
    <mergeCell ref="E5:H5"/>
    <mergeCell ref="I5:L5"/>
    <mergeCell ref="M5:M7"/>
    <mergeCell ref="N5:N7"/>
    <mergeCell ref="O5:O7"/>
    <mergeCell ref="P5:P7"/>
    <mergeCell ref="Q5:Q7"/>
    <mergeCell ref="J20:K20"/>
    <mergeCell ref="B22:J22"/>
    <mergeCell ref="K22:L22"/>
    <mergeCell ref="N22:O22"/>
    <mergeCell ref="B23:J23"/>
    <mergeCell ref="K23:L23"/>
    <mergeCell ref="N23:O23"/>
    <mergeCell ref="B24:J24"/>
    <mergeCell ref="K24:L24"/>
    <mergeCell ref="N24:O24"/>
    <mergeCell ref="B25:J25"/>
    <mergeCell ref="K25:L25"/>
    <mergeCell ref="N25:O25"/>
    <mergeCell ref="B26:J26"/>
    <mergeCell ref="K26:L26"/>
    <mergeCell ref="N26:O26"/>
    <mergeCell ref="B27:J27"/>
    <mergeCell ref="K27:L27"/>
    <mergeCell ref="N27:O27"/>
    <mergeCell ref="B28:J28"/>
    <mergeCell ref="K28:L28"/>
    <mergeCell ref="N28:O28"/>
    <mergeCell ref="B29:J29"/>
    <mergeCell ref="K29:L29"/>
    <mergeCell ref="B30:J30"/>
    <mergeCell ref="K30:L30"/>
    <mergeCell ref="C32:E32"/>
  </mergeCells>
  <conditionalFormatting sqref="O16:O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6:N17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D16:M17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L1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L15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15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5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5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29"/>
    <col collapsed="false" customWidth="true" hidden="false" outlineLevel="0" max="2" min="2" style="0" width="11.71"/>
    <col collapsed="false" customWidth="true" hidden="false" outlineLevel="0" max="3" min="3" style="0" width="17.71"/>
    <col collapsed="false" customWidth="false" hidden="false" outlineLevel="0" max="9" min="8" style="45" width="9.14"/>
    <col collapsed="false" customWidth="false" hidden="false" outlineLevel="0" max="11" min="11" style="45" width="9.14"/>
    <col collapsed="false" customWidth="true" hidden="false" outlineLevel="0" max="13" min="13" style="0" width="10.14"/>
    <col collapsed="false" customWidth="true" hidden="false" outlineLevel="0" max="15" min="15" style="0" width="9.86"/>
    <col collapsed="false" customWidth="true" hidden="false" outlineLevel="0" max="16" min="16" style="0" width="13.71"/>
    <col collapsed="false" customWidth="true" hidden="false" outlineLevel="0" max="17" min="17" style="0" width="6.29"/>
    <col collapsed="false" customWidth="true" hidden="false" outlineLevel="0" max="18" min="18" style="0" width="3.86"/>
    <col collapsed="false" customWidth="true" hidden="false" outlineLevel="0" max="19" min="19" style="0" width="4.42"/>
    <col collapsed="false" customWidth="true" hidden="false" outlineLevel="0" max="20" min="20" style="0" width="5.42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1"/>
      <c r="J1" s="1"/>
      <c r="K1" s="1"/>
      <c r="L1" s="2" t="n">
        <f aca="false">set!B1</f>
        <v>2</v>
      </c>
    </row>
    <row r="2" customFormat="false" ht="15" hidden="false" customHeight="false" outlineLevel="0" collapsed="false">
      <c r="J2" s="4"/>
      <c r="K2" s="4"/>
      <c r="N2" s="0" t="s">
        <v>289</v>
      </c>
      <c r="P2" s="389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ИУК2-31М факультета ИУК МГТУ им. Н.Э. Баумана"</f>
        <v>Успеваемость студентов за 1 семестр 24/25 учебного года по группе ИУК2-31М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.7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404" t="s">
        <v>7</v>
      </c>
      <c r="I5" s="404"/>
      <c r="J5" s="404"/>
      <c r="K5" s="404"/>
      <c r="L5" s="404"/>
      <c r="M5" s="429" t="s">
        <v>8</v>
      </c>
      <c r="N5" s="13" t="s">
        <v>9</v>
      </c>
      <c r="O5" s="13" t="s">
        <v>10</v>
      </c>
      <c r="P5" s="430" t="s">
        <v>11</v>
      </c>
      <c r="Q5" s="430" t="s">
        <v>12</v>
      </c>
    </row>
    <row r="6" customFormat="false" ht="121.5" hidden="false" customHeight="true" outlineLevel="0" collapsed="false">
      <c r="A6" s="8"/>
      <c r="B6" s="8"/>
      <c r="C6" s="8"/>
      <c r="D6" s="9"/>
      <c r="E6" s="339" t="s">
        <v>1105</v>
      </c>
      <c r="F6" s="340" t="s">
        <v>504</v>
      </c>
      <c r="G6" s="342" t="s">
        <v>1106</v>
      </c>
      <c r="H6" s="405" t="s">
        <v>1107</v>
      </c>
      <c r="I6" s="405" t="s">
        <v>1108</v>
      </c>
      <c r="J6" s="405" t="s">
        <v>505</v>
      </c>
      <c r="K6" s="405" t="s">
        <v>1109</v>
      </c>
      <c r="L6" s="340" t="s">
        <v>1110</v>
      </c>
      <c r="M6" s="429"/>
      <c r="N6" s="13"/>
      <c r="O6" s="13"/>
      <c r="P6" s="430"/>
      <c r="Q6" s="430"/>
    </row>
    <row r="7" customFormat="false" ht="17.9" hidden="false" customHeight="false" outlineLevel="0" collapsed="false">
      <c r="A7" s="8"/>
      <c r="B7" s="8"/>
      <c r="C7" s="8"/>
      <c r="D7" s="9"/>
      <c r="E7" s="343" t="s">
        <v>1003</v>
      </c>
      <c r="F7" s="344" t="s">
        <v>509</v>
      </c>
      <c r="G7" s="346" t="s">
        <v>299</v>
      </c>
      <c r="H7" s="407" t="s">
        <v>549</v>
      </c>
      <c r="I7" s="407" t="s">
        <v>742</v>
      </c>
      <c r="J7" s="407" t="s">
        <v>1086</v>
      </c>
      <c r="K7" s="407" t="s">
        <v>1004</v>
      </c>
      <c r="L7" s="344" t="s">
        <v>1003</v>
      </c>
      <c r="M7" s="429"/>
      <c r="N7" s="13"/>
      <c r="O7" s="13"/>
      <c r="P7" s="430"/>
      <c r="Q7" s="430"/>
    </row>
    <row r="8" customFormat="false" ht="15" hidden="false" customHeight="true" outlineLevel="0" collapsed="false">
      <c r="A8" s="37" t="n">
        <v>1</v>
      </c>
      <c r="B8" s="37" t="s">
        <v>1111</v>
      </c>
      <c r="C8" s="37" t="s">
        <v>691</v>
      </c>
      <c r="D8" s="431"/>
      <c r="E8" s="432"/>
      <c r="F8" s="433"/>
      <c r="G8" s="434"/>
      <c r="H8" s="435"/>
      <c r="I8" s="436"/>
      <c r="J8" s="436"/>
      <c r="K8" s="433"/>
      <c r="L8" s="434"/>
      <c r="M8" s="33" t="str">
        <f aca="false">IFERROR(AVERAGE(E8:L8),"")</f>
        <v/>
      </c>
      <c r="N8" s="84" t="str">
        <f aca="false">IF(E8&lt;&gt;"",IF(COUNTIF(E8:L8,"&lt;3"),"Не успевает","Успевает"),"")</f>
        <v/>
      </c>
      <c r="O8" s="241" t="str">
        <f aca="false">IF(D8&lt;&gt;"",(30*(set!B$5)-D8)/(30*(set!B$5))*100,"")</f>
        <v/>
      </c>
      <c r="P8" s="85" t="str">
        <f aca="false">IF(E8&lt;&gt;"",IF(M8&lt;1.85,"Выговор",IF(M8=1.85,"Выговор",IF(AND(M8&gt;1.85,M8&lt;3),"Предупреждение",IF(AND(M8&gt;3,M8&lt;4.65),"Нормально",IF(AND(M8&gt;4.65,M8&lt;5.1,MIN(E8:L8)&gt;=4),"Благодарность","Нормально"))))),"")</f>
        <v/>
      </c>
      <c r="Q8" s="437" t="n">
        <f aca="false">COUNTIF(E8:L8,2)+COUNTIF(E8:L8,1)+COUNTIF(E8:L8,0)</f>
        <v>0</v>
      </c>
    </row>
    <row r="9" customFormat="false" ht="15" hidden="false" customHeight="true" outlineLevel="0" collapsed="false">
      <c r="A9" s="77" t="n">
        <v>2</v>
      </c>
      <c r="B9" s="37" t="s">
        <v>1112</v>
      </c>
      <c r="C9" s="37" t="s">
        <v>1113</v>
      </c>
      <c r="D9" s="438"/>
      <c r="E9" s="439"/>
      <c r="F9" s="440"/>
      <c r="G9" s="441"/>
      <c r="H9" s="439"/>
      <c r="I9" s="440"/>
      <c r="J9" s="440"/>
      <c r="K9" s="440"/>
      <c r="L9" s="441"/>
      <c r="M9" s="33" t="str">
        <f aca="false">IFERROR(AVERAGE(E9:L9),"")</f>
        <v/>
      </c>
      <c r="N9" s="84" t="str">
        <f aca="false">IF(E9&lt;&gt;"",IF(COUNTIF(E9:L9,"&lt;3"),"Не успевает","Успевает"),"")</f>
        <v/>
      </c>
      <c r="O9" s="241" t="str">
        <f aca="false">IF(D9&lt;&gt;"",(30*(set!B$5)-D9)/(30*(set!B$5))*100,"")</f>
        <v/>
      </c>
      <c r="P9" s="85" t="str">
        <f aca="false">IF(E9&lt;&gt;"",IF(M9&lt;1.85,"Выговор",IF(M9=1.85,"Выговор",IF(AND(M9&gt;1.85,M9&lt;3),"Предупреждение",IF(AND(M9&gt;3,M9&lt;4.65),"Нормально",IF(AND(M9&gt;4.65,M9&lt;5.1,MIN(E9:L9)&gt;=4),"Благодарность","Нормально"))))),"")</f>
        <v/>
      </c>
      <c r="Q9" s="437" t="n">
        <f aca="false">COUNTIF(E9:L9,2)+COUNTIF(E9:L9,1)+COUNTIF(E9:L9,0)</f>
        <v>0</v>
      </c>
    </row>
    <row r="10" customFormat="false" ht="15" hidden="false" customHeight="true" outlineLevel="0" collapsed="false">
      <c r="A10" s="37" t="n">
        <v>3</v>
      </c>
      <c r="B10" s="37" t="s">
        <v>1114</v>
      </c>
      <c r="C10" s="37" t="s">
        <v>1115</v>
      </c>
      <c r="D10" s="438"/>
      <c r="E10" s="439"/>
      <c r="F10" s="440"/>
      <c r="G10" s="441"/>
      <c r="H10" s="439"/>
      <c r="I10" s="440"/>
      <c r="J10" s="440"/>
      <c r="K10" s="440"/>
      <c r="L10" s="441"/>
      <c r="M10" s="33" t="str">
        <f aca="false">IFERROR(AVERAGE(E10:L10),"")</f>
        <v/>
      </c>
      <c r="N10" s="84" t="str">
        <f aca="false">IF(E10&lt;&gt;"",IF(COUNTIF(E10:L10,"&lt;3"),"Не успевает","Успевает"),"")</f>
        <v/>
      </c>
      <c r="O10" s="241" t="str">
        <f aca="false">IF(D10&lt;&gt;"",(30*(set!B$5)-D10)/(30*(set!B$5))*100,"")</f>
        <v/>
      </c>
      <c r="P10" s="85" t="str">
        <f aca="false">IF(E10&lt;&gt;"",IF(M10&lt;1.85,"Выговор",IF(M10=1.85,"Выговор",IF(AND(M10&gt;1.85,M10&lt;3),"Предупреждение",IF(AND(M10&gt;3,M10&lt;4.65),"Нормально",IF(AND(M10&gt;4.65,M10&lt;5.1,MIN(E10:L10)&gt;=4),"Благодарность","Нормально"))))),"")</f>
        <v/>
      </c>
      <c r="Q10" s="437" t="n">
        <f aca="false">COUNTIF(E10:L10,2)+COUNTIF(E10:L10,1)+COUNTIF(E10:L10,0)</f>
        <v>0</v>
      </c>
    </row>
    <row r="11" customFormat="false" ht="15" hidden="false" customHeight="true" outlineLevel="0" collapsed="false">
      <c r="A11" s="77" t="n">
        <v>4</v>
      </c>
      <c r="B11" s="37" t="s">
        <v>1116</v>
      </c>
      <c r="C11" s="37" t="s">
        <v>1117</v>
      </c>
      <c r="D11" s="438"/>
      <c r="E11" s="439"/>
      <c r="F11" s="440"/>
      <c r="G11" s="441"/>
      <c r="H11" s="439"/>
      <c r="I11" s="440"/>
      <c r="J11" s="440"/>
      <c r="K11" s="440"/>
      <c r="L11" s="441"/>
      <c r="M11" s="33" t="str">
        <f aca="false">IFERROR(AVERAGE(E11:L11),"")</f>
        <v/>
      </c>
      <c r="N11" s="84" t="str">
        <f aca="false">IF(E11&lt;&gt;"",IF(COUNTIF(E11:L11,"&lt;3"),"Не успевает","Успевает"),"")</f>
        <v/>
      </c>
      <c r="O11" s="241" t="str">
        <f aca="false">IF(D11&lt;&gt;"",(30*(set!B$5)-D11)/(30*(set!B$5))*100,"")</f>
        <v/>
      </c>
      <c r="P11" s="85" t="str">
        <f aca="false">IF(E11&lt;&gt;"",IF(M11&lt;1.85,"Выговор",IF(M11=1.85,"Выговор",IF(AND(M11&gt;1.85,M11&lt;3),"Предупреждение",IF(AND(M11&gt;3,M11&lt;4.65),"Нормально",IF(AND(M11&gt;4.65,M11&lt;5.1,MIN(E11:L11)&gt;=4),"Благодарность","Нормально"))))),"")</f>
        <v/>
      </c>
      <c r="Q11" s="437" t="n">
        <f aca="false">COUNTIF(E11:L11,2)+COUNTIF(E11:L11,1)+COUNTIF(E11:L11,0)</f>
        <v>0</v>
      </c>
    </row>
    <row r="12" customFormat="false" ht="15" hidden="false" customHeight="true" outlineLevel="0" collapsed="false">
      <c r="A12" s="37" t="n">
        <v>5</v>
      </c>
      <c r="B12" s="37" t="s">
        <v>1118</v>
      </c>
      <c r="C12" s="37" t="s">
        <v>1119</v>
      </c>
      <c r="D12" s="438"/>
      <c r="E12" s="439"/>
      <c r="F12" s="440"/>
      <c r="G12" s="441"/>
      <c r="H12" s="439"/>
      <c r="I12" s="440"/>
      <c r="J12" s="440"/>
      <c r="K12" s="440"/>
      <c r="L12" s="441"/>
      <c r="M12" s="33" t="str">
        <f aca="false">IFERROR(AVERAGE(E12:L12),"")</f>
        <v/>
      </c>
      <c r="N12" s="84" t="str">
        <f aca="false">IF(E12&lt;&gt;"",IF(COUNTIF(E12:L12,"&lt;3"),"Не успевает","Успевает"),"")</f>
        <v/>
      </c>
      <c r="O12" s="241" t="str">
        <f aca="false">IF(D12&lt;&gt;"",(30*(set!B$5)-D12)/(30*(set!B$5))*100,"")</f>
        <v/>
      </c>
      <c r="P12" s="85" t="str">
        <f aca="false">IF(E12&lt;&gt;"",IF(M12&lt;1.85,"Выговор",IF(M12=1.85,"Выговор",IF(AND(M12&gt;1.85,M12&lt;3),"Предупреждение",IF(AND(M12&gt;3,M12&lt;4.65),"Нормально",IF(AND(M12&gt;4.65,M12&lt;5.1,MIN(E12:L12)&gt;=4),"Благодарность","Нормально"))))),"")</f>
        <v/>
      </c>
      <c r="Q12" s="437" t="n">
        <f aca="false">COUNTIF(E12:L12,2)+COUNTIF(E12:L12,1)+COUNTIF(E12:L12,0)</f>
        <v>0</v>
      </c>
    </row>
    <row r="13" customFormat="false" ht="15" hidden="false" customHeight="true" outlineLevel="0" collapsed="false">
      <c r="A13" s="77" t="n">
        <v>6</v>
      </c>
      <c r="B13" s="37" t="s">
        <v>1120</v>
      </c>
      <c r="C13" s="37" t="s">
        <v>1121</v>
      </c>
      <c r="D13" s="438"/>
      <c r="E13" s="439"/>
      <c r="F13" s="440"/>
      <c r="G13" s="441"/>
      <c r="H13" s="439"/>
      <c r="I13" s="440"/>
      <c r="J13" s="440"/>
      <c r="K13" s="440"/>
      <c r="L13" s="441"/>
      <c r="M13" s="33" t="str">
        <f aca="false">IFERROR(AVERAGE(E13:L13),"")</f>
        <v/>
      </c>
      <c r="N13" s="84" t="str">
        <f aca="false">IF(E13&lt;&gt;"",IF(COUNTIF(E13:L13,"&lt;3"),"Не успевает","Успевает"),"")</f>
        <v/>
      </c>
      <c r="O13" s="241" t="str">
        <f aca="false">IF(D13&lt;&gt;"",(30*(set!B$5)-D13)/(30*(set!B$5))*100,"")</f>
        <v/>
      </c>
      <c r="P13" s="85" t="str">
        <f aca="false">IF(E13&lt;&gt;"",IF(M13&lt;1.85,"Выговор",IF(M13=1.85,"Выговор",IF(AND(M13&gt;1.85,M13&lt;3),"Предупреждение",IF(AND(M13&gt;3,M13&lt;4.65),"Нормально",IF(AND(M13&gt;4.65,M13&lt;5.1,MIN(E13:L13)&gt;=4),"Благодарность","Нормально"))))),"")</f>
        <v/>
      </c>
      <c r="Q13" s="437" t="n">
        <f aca="false">COUNTIF(E13:L13,2)+COUNTIF(E13:L13,1)+COUNTIF(E13:L13,0)</f>
        <v>0</v>
      </c>
    </row>
    <row r="14" s="45" customFormat="true" ht="15" hidden="false" customHeight="true" outlineLevel="0" collapsed="false">
      <c r="A14" s="37" t="n">
        <v>7</v>
      </c>
      <c r="B14" s="37" t="s">
        <v>1122</v>
      </c>
      <c r="C14" s="37" t="s">
        <v>1123</v>
      </c>
      <c r="D14" s="438"/>
      <c r="E14" s="439"/>
      <c r="F14" s="440"/>
      <c r="G14" s="441"/>
      <c r="H14" s="439"/>
      <c r="I14" s="440"/>
      <c r="J14" s="440"/>
      <c r="K14" s="440"/>
      <c r="L14" s="441"/>
      <c r="M14" s="33" t="str">
        <f aca="false">IFERROR(AVERAGE(E14:L14),"")</f>
        <v/>
      </c>
      <c r="N14" s="84" t="str">
        <f aca="false">IF(E14&lt;&gt;"",IF(COUNTIF(E14:L14,"&lt;3"),"Не успевает","Успевает"),"")</f>
        <v/>
      </c>
      <c r="O14" s="241" t="str">
        <f aca="false">IF(D14&lt;&gt;"",(30*(set!B$5)-D14)/(30*(set!B$5))*100,"")</f>
        <v/>
      </c>
      <c r="P14" s="85" t="str">
        <f aca="false">IF(E14&lt;&gt;"",IF(M14&lt;1.85,"Выговор",IF(M14=1.85,"Выговор",IF(AND(M14&gt;1.85,M14&lt;3),"Предупреждение",IF(AND(M14&gt;3,M14&lt;4.65),"Нормально",IF(AND(M14&gt;4.65,M14&lt;5.1,MIN(E14:L14)&gt;=4),"Благодарность","Нормально"))))),"")</f>
        <v/>
      </c>
      <c r="Q14" s="437" t="n">
        <f aca="false">COUNTIF(E14:L14,2)+COUNTIF(E14:L14,1)+COUNTIF(E14:L14,0)</f>
        <v>0</v>
      </c>
    </row>
    <row r="15" s="45" customFormat="true" ht="15" hidden="false" customHeight="true" outlineLevel="0" collapsed="false">
      <c r="A15" s="77" t="n">
        <v>8</v>
      </c>
      <c r="B15" s="37" t="s">
        <v>1124</v>
      </c>
      <c r="C15" s="37" t="s">
        <v>1125</v>
      </c>
      <c r="D15" s="438"/>
      <c r="E15" s="439"/>
      <c r="F15" s="440"/>
      <c r="G15" s="441"/>
      <c r="H15" s="439"/>
      <c r="I15" s="440"/>
      <c r="J15" s="440"/>
      <c r="K15" s="440"/>
      <c r="L15" s="441"/>
      <c r="M15" s="33" t="str">
        <f aca="false">IFERROR(AVERAGE(E15:L15),"")</f>
        <v/>
      </c>
      <c r="N15" s="84" t="str">
        <f aca="false">IF(E15&lt;&gt;"",IF(COUNTIF(E15:L15,"&lt;3"),"Не успевает","Успевает"),"")</f>
        <v/>
      </c>
      <c r="O15" s="241" t="str">
        <f aca="false">IF(D15&lt;&gt;"",(30*(set!B$5)-D15)/(30*(set!B$5))*100,"")</f>
        <v/>
      </c>
      <c r="P15" s="85" t="str">
        <f aca="false">IF(E15&lt;&gt;"",IF(M15&lt;1.85,"Выговор",IF(M15=1.85,"Выговор",IF(AND(M15&gt;1.85,M15&lt;3),"Предупреждение",IF(AND(M15&gt;3,M15&lt;4.65),"Нормально",IF(AND(M15&gt;4.65,M15&lt;5.1,MIN(E15:L15)&gt;=4),"Благодарность","Нормально"))))),"")</f>
        <v/>
      </c>
      <c r="Q15" s="437" t="n">
        <f aca="false">COUNTIF(E15:L15,2)+COUNTIF(E15:L15,1)+COUNTIF(E15:L15,0)</f>
        <v>0</v>
      </c>
    </row>
    <row r="16" customFormat="false" ht="15" hidden="false" customHeight="true" outlineLevel="0" collapsed="false">
      <c r="A16" s="37" t="n">
        <v>9</v>
      </c>
      <c r="B16" s="37" t="s">
        <v>1126</v>
      </c>
      <c r="C16" s="37" t="s">
        <v>1127</v>
      </c>
      <c r="D16" s="438"/>
      <c r="E16" s="439"/>
      <c r="F16" s="440"/>
      <c r="G16" s="441"/>
      <c r="H16" s="439"/>
      <c r="I16" s="440"/>
      <c r="J16" s="440"/>
      <c r="K16" s="440"/>
      <c r="L16" s="441"/>
      <c r="M16" s="33" t="str">
        <f aca="false">IFERROR(AVERAGE(E16:L16),"")</f>
        <v/>
      </c>
      <c r="N16" s="84" t="str">
        <f aca="false">IF(E16&lt;&gt;"",IF(COUNTIF(E16:L16,"&lt;3"),"Не успевает","Успевает"),"")</f>
        <v/>
      </c>
      <c r="O16" s="241" t="str">
        <f aca="false">IF(D16&lt;&gt;"",(30*(set!B$5)-D16)/(30*(set!B$5))*100,"")</f>
        <v/>
      </c>
      <c r="P16" s="85" t="str">
        <f aca="false">IF(E16&lt;&gt;"",IF(M16&lt;1.85,"Выговор",IF(M16=1.85,"Выговор",IF(AND(M16&gt;1.85,M16&lt;3),"Предупреждение",IF(AND(M16&gt;3,M16&lt;4.65),"Нормально",IF(AND(M16&gt;4.65,M16&lt;5.1,MIN(E16:L16)&gt;=4),"Благодарность","Нормально"))))),"")</f>
        <v/>
      </c>
      <c r="Q16" s="437" t="n">
        <f aca="false">COUNTIF(E16:L16,2)+COUNTIF(E16:L16,1)+COUNTIF(E16:L16,0)</f>
        <v>0</v>
      </c>
    </row>
    <row r="17" customFormat="false" ht="15" hidden="false" customHeight="true" outlineLevel="0" collapsed="false">
      <c r="A17" s="0" t="s">
        <v>77</v>
      </c>
      <c r="C17" s="46"/>
      <c r="D17" s="47"/>
      <c r="E17" s="47" t="e">
        <f aca="false">AVERAGE(E8:E16)</f>
        <v>#DIV/0!</v>
      </c>
      <c r="F17" s="47" t="e">
        <f aca="false">AVERAGE(F8:F16)</f>
        <v>#DIV/0!</v>
      </c>
      <c r="G17" s="47" t="e">
        <f aca="false">AVERAGE(G8:G16)</f>
        <v>#DIV/0!</v>
      </c>
      <c r="H17" s="47" t="e">
        <f aca="false">AVERAGE(H8:H16)</f>
        <v>#DIV/0!</v>
      </c>
      <c r="I17" s="47" t="e">
        <f aca="false">AVERAGE(I8:I16)</f>
        <v>#DIV/0!</v>
      </c>
      <c r="J17" s="47" t="e">
        <f aca="false">AVERAGE(J8:J16)</f>
        <v>#DIV/0!</v>
      </c>
      <c r="K17" s="47" t="e">
        <f aca="false">AVERAGE(K8:K16)</f>
        <v>#DIV/0!</v>
      </c>
      <c r="L17" s="47" t="e">
        <f aca="false">AVERAGE(L8:L16)</f>
        <v>#DIV/0!</v>
      </c>
      <c r="M17" s="47"/>
      <c r="N17" s="48"/>
      <c r="O17" s="49"/>
      <c r="P17" s="48"/>
      <c r="Q17" s="242"/>
    </row>
    <row r="18" customFormat="false" ht="15" hidden="false" customHeight="true" outlineLevel="0" collapsed="false">
      <c r="A18" s="0" t="s">
        <v>78</v>
      </c>
      <c r="C18" s="46"/>
      <c r="D18" s="47"/>
      <c r="E18" s="47" t="e">
        <f aca="false">(COUNTIF(E8:E16,5)+COUNTIF(E8:E16,4)+COUNTIF(E8:E16,3))/$P$35*100</f>
        <v>#DIV/0!</v>
      </c>
      <c r="F18" s="47" t="e">
        <f aca="false">(COUNTIF(F8:F16,5)+COUNTIF(F8:F16,4)+COUNTIF(F8:F16,3))/$P$35*100</f>
        <v>#DIV/0!</v>
      </c>
      <c r="G18" s="47" t="e">
        <f aca="false">(COUNTIF(G8:G16,5)+COUNTIF(G8:G16,4)+COUNTIF(G8:G16,3))/$P$35*100</f>
        <v>#DIV/0!</v>
      </c>
      <c r="H18" s="47" t="e">
        <f aca="false">(COUNTIF(H8:H16,5)+COUNTIF(H8:H16,4)+COUNTIF(H8:H16,3))/$P$35*100</f>
        <v>#DIV/0!</v>
      </c>
      <c r="I18" s="47" t="e">
        <f aca="false">(COUNTIF(I8:I16,5)+COUNTIF(I8:I16,4)+COUNTIF(I8:I16,3))/$P$35*100</f>
        <v>#DIV/0!</v>
      </c>
      <c r="J18" s="47" t="e">
        <f aca="false">(COUNTIF(J8:J16,5)+COUNTIF(J8:J16,4)+COUNTIF(J8:J16,3))/$P$35*100</f>
        <v>#DIV/0!</v>
      </c>
      <c r="K18" s="47" t="e">
        <f aca="false">(COUNTIF(K8:K16,5)+COUNTIF(K8:K16,4)+COUNTIF(K8:K16,3))/$P$35*100</f>
        <v>#DIV/0!</v>
      </c>
      <c r="L18" s="47" t="e">
        <f aca="false">(COUNTIF(L8:L16,5)+COUNTIF(L8:L16,4)+COUNTIF(L8:L16,3))/$P$35*100</f>
        <v>#DIV/0!</v>
      </c>
      <c r="M18" s="47"/>
      <c r="N18" s="48"/>
      <c r="O18" s="49"/>
      <c r="P18" s="48"/>
      <c r="Q18" s="242"/>
    </row>
    <row r="19" customFormat="false" ht="15" hidden="false" customHeight="true" outlineLevel="0" collapsed="false">
      <c r="C19" s="4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8"/>
      <c r="O19" s="49"/>
      <c r="P19" s="48"/>
      <c r="Q19" s="242"/>
    </row>
    <row r="20" customFormat="false" ht="15" hidden="false" customHeight="true" outlineLevel="0" collapsed="false"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</row>
    <row r="21" customFormat="false" ht="15" hidden="false" customHeight="true" outlineLevel="0" collapsed="false">
      <c r="B21" s="50"/>
      <c r="C21" s="50" t="s">
        <v>8</v>
      </c>
      <c r="D21" s="51" t="str">
        <f aca="false">IFERROR(AVERAGE(M8:M16),"")</f>
        <v/>
      </c>
      <c r="E21" s="52" t="s">
        <v>9</v>
      </c>
      <c r="F21" s="52"/>
      <c r="G21" s="53" t="str">
        <f aca="false">IFERROR(COUNTIF(N8:N16,"Успевает")/P35*100,"")</f>
        <v/>
      </c>
      <c r="H21" s="53"/>
      <c r="I21" s="53"/>
      <c r="J21" s="54" t="s">
        <v>79</v>
      </c>
      <c r="K21" s="54"/>
      <c r="L21" s="54"/>
      <c r="M21" s="52" t="str">
        <f aca="false">IFERROR(AVERAGE(O8:O16),"")</f>
        <v/>
      </c>
    </row>
    <row r="22" customFormat="false" ht="15" hidden="false" customHeight="true" outlineLevel="0" collapsed="false">
      <c r="B22" s="50"/>
      <c r="C22" s="50"/>
      <c r="D22" s="50"/>
      <c r="E22" s="56"/>
      <c r="F22" s="56"/>
      <c r="G22" s="56"/>
      <c r="H22" s="56"/>
      <c r="I22" s="56"/>
      <c r="J22" s="56"/>
      <c r="K22" s="56"/>
      <c r="L22" s="56"/>
      <c r="M22" s="56"/>
    </row>
    <row r="23" customFormat="false" ht="15" hidden="false" customHeight="true" outlineLevel="0" collapsed="false">
      <c r="A23" s="50"/>
      <c r="B23" s="61" t="s">
        <v>81</v>
      </c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 t="s">
        <v>82</v>
      </c>
      <c r="N23" s="61"/>
      <c r="O23" s="61"/>
    </row>
    <row r="24" customFormat="false" ht="15" hidden="false" customHeight="true" outlineLevel="0" collapsed="false">
      <c r="A24" s="50"/>
      <c r="B24" s="65" t="str">
        <f aca="false">$E$6</f>
        <v> Вычислительные системы с адаптивными информационными каналами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314"/>
      <c r="N24" s="314"/>
      <c r="O24" s="314"/>
    </row>
    <row r="25" customFormat="false" ht="15" hidden="false" customHeight="true" outlineLevel="0" collapsed="false">
      <c r="A25" s="50"/>
      <c r="B25" s="65" t="str">
        <f aca="false">$F$6</f>
        <v> Основы системного анализа</v>
      </c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314"/>
      <c r="N25" s="314"/>
      <c r="O25" s="314"/>
    </row>
    <row r="26" customFormat="false" ht="15" hidden="false" customHeight="true" outlineLevel="0" collapsed="false">
      <c r="A26" s="50"/>
      <c r="B26" s="65" t="str">
        <f aca="false">$G$6</f>
        <v> Эргономический анализ человеко-машинных интерфейсов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314"/>
      <c r="N26" s="314"/>
      <c r="O26" s="314"/>
    </row>
    <row r="27" customFormat="false" ht="15" hidden="false" customHeight="true" outlineLevel="0" collapsed="false">
      <c r="A27" s="50"/>
      <c r="B27" s="65" t="str">
        <f aca="false">$H$6</f>
        <v> Облачные технологии для обработки больших данных (к.п.)</v>
      </c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314"/>
      <c r="N27" s="314"/>
      <c r="O27" s="314"/>
    </row>
    <row r="28" s="45" customFormat="true" ht="15" hidden="false" customHeight="true" outlineLevel="0" collapsed="false">
      <c r="A28" s="50"/>
      <c r="B28" s="65" t="str">
        <f aca="false">$I$6</f>
        <v> Параллельные процессы в информационных системах</v>
      </c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314"/>
      <c r="N28" s="314"/>
      <c r="O28" s="314"/>
    </row>
    <row r="29" s="45" customFormat="true" ht="15" hidden="false" customHeight="true" outlineLevel="0" collapsed="false">
      <c r="A29" s="50"/>
      <c r="B29" s="65" t="str">
        <f aca="false">$J$6</f>
        <v> Педагогическая практика</v>
      </c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314"/>
      <c r="N29" s="314"/>
      <c r="O29" s="314"/>
    </row>
    <row r="30" s="45" customFormat="true" ht="15" hidden="false" customHeight="true" outlineLevel="0" collapsed="false">
      <c r="A30" s="50"/>
      <c r="B30" s="65" t="str">
        <f aca="false">$K$6</f>
        <v> Перспективные технологии разработки
программных средств</v>
      </c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314"/>
      <c r="N30" s="314"/>
      <c r="O30" s="314"/>
    </row>
    <row r="31" customFormat="false" ht="15" hidden="false" customHeight="true" outlineLevel="0" collapsed="false">
      <c r="A31" s="50"/>
      <c r="B31" s="65" t="str">
        <f aca="false">$L$6</f>
        <v>Проектно-технологическая практика</v>
      </c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314"/>
      <c r="N31" s="314"/>
      <c r="O31" s="314"/>
    </row>
    <row r="32" customFormat="false" ht="15" hidden="false" customHeight="true" outlineLevel="0" collapsed="false">
      <c r="A32" s="50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67"/>
    </row>
    <row r="33" customFormat="false" ht="15" hidden="false" customHeight="true" outlineLevel="0" collapsed="false">
      <c r="A33" s="50"/>
      <c r="B33" s="139"/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</row>
    <row r="34" customFormat="false" ht="15" hidden="false" customHeight="true" outlineLevel="0" collapsed="false">
      <c r="A34" s="50"/>
      <c r="B34" s="428" t="s">
        <v>405</v>
      </c>
      <c r="C34" s="198" t="s">
        <v>1128</v>
      </c>
      <c r="D34" s="198"/>
      <c r="E34" s="67"/>
      <c r="F34" s="52" t="s">
        <v>407</v>
      </c>
      <c r="G34" s="300" t="s">
        <v>1104</v>
      </c>
      <c r="H34" s="300"/>
      <c r="I34" s="300"/>
      <c r="J34" s="52"/>
      <c r="K34" s="52"/>
      <c r="L34" s="52"/>
      <c r="M34" s="139"/>
    </row>
    <row r="35" customFormat="false" ht="15" hidden="false" customHeight="true" outlineLevel="0" collapsed="false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139"/>
      <c r="N35" s="57" t="s">
        <v>80</v>
      </c>
      <c r="O35" s="57"/>
      <c r="P35" s="58" t="n">
        <f aca="false">SUM(P36,P37)</f>
        <v>0</v>
      </c>
    </row>
    <row r="36" customFormat="false" ht="15" hidden="false" customHeight="true" outlineLevel="0" collapsed="false">
      <c r="A36" s="50"/>
      <c r="B36" s="50" t="s">
        <v>93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7" t="s">
        <v>83</v>
      </c>
      <c r="O36" s="57"/>
      <c r="P36" s="58" t="n">
        <f aca="false">COUNTIF(N8:N16,"Успевает")</f>
        <v>0</v>
      </c>
    </row>
    <row r="37" customFormat="false" ht="15" hidden="false" customHeight="true" outlineLevel="0" collapsed="false">
      <c r="A37" s="50"/>
      <c r="B37" s="50" t="s">
        <v>94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98" t="s">
        <v>84</v>
      </c>
      <c r="O37" s="98"/>
      <c r="P37" s="58" t="n">
        <f aca="false">COUNTIF(N8:N16,"Не успевает")</f>
        <v>0</v>
      </c>
    </row>
    <row r="38" customFormat="false" ht="15" hidden="false" customHeight="true" outlineLevel="0" collapsed="false">
      <c r="A38" s="50"/>
      <c r="B38" s="50" t="s">
        <v>95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98" t="s">
        <v>85</v>
      </c>
      <c r="O38" s="98"/>
      <c r="P38" s="58" t="n">
        <f aca="false">COUNTIF(P8:P16,"Благодарность")</f>
        <v>0</v>
      </c>
    </row>
    <row r="39" customFormat="false" ht="15" hidden="false" customHeight="true" outlineLevel="0" collapsed="false">
      <c r="A39" s="50"/>
      <c r="B39" s="50" t="s">
        <v>96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98" t="s">
        <v>86</v>
      </c>
      <c r="O39" s="98"/>
      <c r="P39" s="58" t="n">
        <f aca="false">COUNTIF(P8:P16,"Нормально")</f>
        <v>0</v>
      </c>
    </row>
    <row r="40" customFormat="false" ht="15" hidden="false" customHeight="true" outlineLevel="0" collapsed="false">
      <c r="A40" s="50"/>
      <c r="B40" s="50" t="s">
        <v>97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98" t="s">
        <v>87</v>
      </c>
      <c r="O40" s="98"/>
      <c r="P40" s="58" t="n">
        <f aca="false">COUNTIF(P8:P16,"Предупреждение")</f>
        <v>0</v>
      </c>
    </row>
    <row r="41" customFormat="false" ht="15" hidden="false" customHeight="true" outlineLevel="0" collapsed="false">
      <c r="A41" s="50"/>
      <c r="B41" s="50" t="s">
        <v>98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98" t="s">
        <v>88</v>
      </c>
      <c r="O41" s="98"/>
      <c r="P41" s="58" t="n">
        <f aca="false">COUNTIF(P8:P16,"Выговор")</f>
        <v>0</v>
      </c>
    </row>
    <row r="42" customFormat="false" ht="15" hidden="false" customHeight="true" outlineLevel="0" collapsed="false">
      <c r="A42" s="50"/>
      <c r="B42" s="50" t="s">
        <v>99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442" t="s">
        <v>12</v>
      </c>
      <c r="O42" s="380"/>
      <c r="P42" s="443" t="n">
        <f aca="false">SUM(Q8:Q16)</f>
        <v>0</v>
      </c>
    </row>
    <row r="43" customFormat="false" ht="15" hidden="false" customHeight="true" outlineLevel="0" collapsed="false">
      <c r="A43" s="50"/>
      <c r="M43" s="50"/>
      <c r="P43" s="48"/>
    </row>
    <row r="44" customFormat="false" ht="15" hidden="false" customHeight="true" outlineLevel="0" collapsed="false">
      <c r="A44" s="50"/>
      <c r="M44" s="50"/>
      <c r="P44" s="48"/>
    </row>
    <row r="45" customFormat="false" ht="15.75" hidden="false" customHeight="false" outlineLevel="0" collapsed="false">
      <c r="A45" s="50"/>
      <c r="M45" s="50"/>
      <c r="P45" s="48"/>
    </row>
  </sheetData>
  <mergeCells count="38">
    <mergeCell ref="E1:J1"/>
    <mergeCell ref="A5:A7"/>
    <mergeCell ref="B5:B7"/>
    <mergeCell ref="C5:C7"/>
    <mergeCell ref="D5:D7"/>
    <mergeCell ref="E5:G5"/>
    <mergeCell ref="H5:L5"/>
    <mergeCell ref="M5:M7"/>
    <mergeCell ref="N5:N7"/>
    <mergeCell ref="O5:O7"/>
    <mergeCell ref="P5:P7"/>
    <mergeCell ref="Q5:Q7"/>
    <mergeCell ref="J21:L21"/>
    <mergeCell ref="B23:L23"/>
    <mergeCell ref="M23:O23"/>
    <mergeCell ref="B24:L24"/>
    <mergeCell ref="M24:O24"/>
    <mergeCell ref="B25:L25"/>
    <mergeCell ref="M25:O25"/>
    <mergeCell ref="B26:L26"/>
    <mergeCell ref="M26:O26"/>
    <mergeCell ref="B27:L27"/>
    <mergeCell ref="M27:O27"/>
    <mergeCell ref="B28:L28"/>
    <mergeCell ref="M28:O28"/>
    <mergeCell ref="B29:L29"/>
    <mergeCell ref="M29:O29"/>
    <mergeCell ref="B30:L30"/>
    <mergeCell ref="M30:O30"/>
    <mergeCell ref="B31:L31"/>
    <mergeCell ref="M31:O31"/>
    <mergeCell ref="N35:O35"/>
    <mergeCell ref="N36:O36"/>
    <mergeCell ref="N37:O37"/>
    <mergeCell ref="N38:O38"/>
    <mergeCell ref="N39:O39"/>
    <mergeCell ref="N40:O40"/>
    <mergeCell ref="N41:O41"/>
  </mergeCells>
  <conditionalFormatting sqref="K16:L16 K8:L1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4:L1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6:I16 H8:I13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4:I1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G16 E8:G13 J16 J8:J1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G15 J14:J15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4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6" activeCellId="0" sqref="C16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"/>
    <col collapsed="false" customWidth="true" hidden="false" outlineLevel="0" max="3" min="3" style="0" width="19.14"/>
    <col collapsed="false" customWidth="true" hidden="false" outlineLevel="0" max="15" min="15" style="0" width="10.85"/>
    <col collapsed="false" customWidth="true" hidden="false" outlineLevel="0" max="17" min="17" style="0" width="10.42"/>
    <col collapsed="false" customWidth="true" hidden="false" outlineLevel="0" max="18" min="18" style="0" width="8.71"/>
    <col collapsed="false" customWidth="true" hidden="false" outlineLevel="0" max="19" min="19" style="0" width="11.71"/>
    <col collapsed="false" customWidth="true" hidden="false" outlineLevel="0" max="20" min="20" style="0" width="3.86"/>
  </cols>
  <sheetData>
    <row r="1" customFormat="false" ht="19.7" hidden="false" customHeight="false" outlineLevel="0" collapsed="false">
      <c r="F1" s="1" t="s">
        <v>0</v>
      </c>
      <c r="G1" s="1"/>
      <c r="H1" s="1"/>
      <c r="I1" s="2" t="n">
        <f aca="false">set!B1</f>
        <v>2</v>
      </c>
      <c r="J1" s="3"/>
    </row>
    <row r="2" customFormat="false" ht="19.7" hidden="false" customHeight="false" outlineLevel="0" collapsed="false">
      <c r="H2" s="444"/>
      <c r="M2" s="0" t="s">
        <v>1</v>
      </c>
      <c r="O2" s="6" t="n">
        <f aca="false">set!B4</f>
        <v>45608</v>
      </c>
      <c r="P2" s="364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ИУК3-11Б факультета ИУК МГТУ им. Н.Э. Баумана"</f>
        <v>Успеваемость студентов за 1 семестр 24/25 учебного года по группе ИУК3-11Б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430" t="s">
        <v>11</v>
      </c>
      <c r="R5" s="430" t="s">
        <v>12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542</v>
      </c>
      <c r="F6" s="340" t="s">
        <v>1129</v>
      </c>
      <c r="G6" s="340" t="s">
        <v>1130</v>
      </c>
      <c r="H6" s="342" t="s">
        <v>1131</v>
      </c>
      <c r="I6" s="405" t="s">
        <v>17</v>
      </c>
      <c r="J6" s="340" t="s">
        <v>18</v>
      </c>
      <c r="K6" s="340" t="s">
        <v>144</v>
      </c>
      <c r="L6" s="340" t="s">
        <v>20</v>
      </c>
      <c r="M6" s="342" t="s">
        <v>147</v>
      </c>
      <c r="N6" s="12"/>
      <c r="O6" s="13"/>
      <c r="P6" s="13"/>
      <c r="Q6" s="430"/>
      <c r="R6" s="430"/>
    </row>
    <row r="7" customFormat="false" ht="17.9" hidden="false" customHeight="false" outlineLevel="0" collapsed="false">
      <c r="A7" s="8"/>
      <c r="B7" s="8"/>
      <c r="C7" s="8"/>
      <c r="D7" s="9"/>
      <c r="E7" s="365" t="s">
        <v>22</v>
      </c>
      <c r="F7" s="366" t="s">
        <v>23</v>
      </c>
      <c r="G7" s="366" t="s">
        <v>24</v>
      </c>
      <c r="H7" s="346" t="s">
        <v>25</v>
      </c>
      <c r="I7" s="445" t="s">
        <v>26</v>
      </c>
      <c r="J7" s="366" t="s">
        <v>27</v>
      </c>
      <c r="K7" s="366" t="s">
        <v>149</v>
      </c>
      <c r="L7" s="366" t="s">
        <v>28</v>
      </c>
      <c r="M7" s="406" t="s">
        <v>30</v>
      </c>
      <c r="N7" s="12"/>
      <c r="O7" s="13"/>
      <c r="P7" s="13"/>
      <c r="Q7" s="430"/>
      <c r="R7" s="430"/>
    </row>
    <row r="8" customFormat="false" ht="15" hidden="false" customHeight="true" outlineLevel="0" collapsed="false">
      <c r="A8" s="25" t="n">
        <v>1</v>
      </c>
      <c r="B8" s="25" t="s">
        <v>1132</v>
      </c>
      <c r="C8" s="25" t="s">
        <v>1133</v>
      </c>
      <c r="D8" s="446"/>
      <c r="E8" s="382"/>
      <c r="F8" s="383"/>
      <c r="G8" s="383"/>
      <c r="H8" s="383"/>
      <c r="I8" s="382"/>
      <c r="J8" s="383"/>
      <c r="K8" s="383"/>
      <c r="L8" s="383"/>
      <c r="M8" s="153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11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118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1134</v>
      </c>
      <c r="C9" s="37" t="s">
        <v>1135</v>
      </c>
      <c r="D9" s="447"/>
      <c r="E9" s="150"/>
      <c r="F9" s="117"/>
      <c r="G9" s="117"/>
      <c r="H9" s="117"/>
      <c r="I9" s="150"/>
      <c r="J9" s="117"/>
      <c r="K9" s="117"/>
      <c r="L9" s="117"/>
      <c r="M9" s="152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11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1136</v>
      </c>
      <c r="C10" s="37" t="s">
        <v>1137</v>
      </c>
      <c r="D10" s="447"/>
      <c r="E10" s="150"/>
      <c r="F10" s="117"/>
      <c r="G10" s="117"/>
      <c r="H10" s="117"/>
      <c r="I10" s="150"/>
      <c r="J10" s="117"/>
      <c r="K10" s="117"/>
      <c r="L10" s="117"/>
      <c r="M10" s="152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11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1138</v>
      </c>
      <c r="C11" s="37" t="s">
        <v>1139</v>
      </c>
      <c r="D11" s="447"/>
      <c r="E11" s="150"/>
      <c r="F11" s="117"/>
      <c r="G11" s="117"/>
      <c r="H11" s="117"/>
      <c r="I11" s="150"/>
      <c r="J11" s="117"/>
      <c r="K11" s="117"/>
      <c r="L11" s="117"/>
      <c r="M11" s="152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11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1140</v>
      </c>
      <c r="C12" s="37" t="s">
        <v>1141</v>
      </c>
      <c r="D12" s="447"/>
      <c r="E12" s="150"/>
      <c r="F12" s="117"/>
      <c r="G12" s="117"/>
      <c r="H12" s="117"/>
      <c r="I12" s="150"/>
      <c r="J12" s="117"/>
      <c r="K12" s="117"/>
      <c r="L12" s="117"/>
      <c r="M12" s="152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11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1142</v>
      </c>
      <c r="C13" s="37" t="s">
        <v>1143</v>
      </c>
      <c r="D13" s="447"/>
      <c r="E13" s="150"/>
      <c r="F13" s="117"/>
      <c r="G13" s="117"/>
      <c r="H13" s="117"/>
      <c r="I13" s="150"/>
      <c r="J13" s="117"/>
      <c r="K13" s="117"/>
      <c r="L13" s="117"/>
      <c r="M13" s="152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11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1144</v>
      </c>
      <c r="C14" s="37" t="s">
        <v>1145</v>
      </c>
      <c r="D14" s="447"/>
      <c r="E14" s="150"/>
      <c r="F14" s="117"/>
      <c r="G14" s="117"/>
      <c r="H14" s="117"/>
      <c r="I14" s="150"/>
      <c r="J14" s="117"/>
      <c r="K14" s="117"/>
      <c r="L14" s="117"/>
      <c r="M14" s="152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11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1146</v>
      </c>
      <c r="C15" s="37" t="s">
        <v>1147</v>
      </c>
      <c r="D15" s="447"/>
      <c r="E15" s="150"/>
      <c r="F15" s="117"/>
      <c r="G15" s="117"/>
      <c r="H15" s="117"/>
      <c r="I15" s="150"/>
      <c r="J15" s="117"/>
      <c r="K15" s="117"/>
      <c r="L15" s="117"/>
      <c r="M15" s="152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11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1148</v>
      </c>
      <c r="C16" s="37" t="s">
        <v>1149</v>
      </c>
      <c r="D16" s="447"/>
      <c r="E16" s="150"/>
      <c r="F16" s="117"/>
      <c r="G16" s="117"/>
      <c r="H16" s="117"/>
      <c r="I16" s="150"/>
      <c r="J16" s="117"/>
      <c r="K16" s="117"/>
      <c r="L16" s="117"/>
      <c r="M16" s="152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11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1150</v>
      </c>
      <c r="C17" s="37" t="s">
        <v>1151</v>
      </c>
      <c r="D17" s="447"/>
      <c r="E17" s="150"/>
      <c r="F17" s="117"/>
      <c r="G17" s="117"/>
      <c r="H17" s="117"/>
      <c r="I17" s="150"/>
      <c r="J17" s="117"/>
      <c r="K17" s="117"/>
      <c r="L17" s="117"/>
      <c r="M17" s="152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11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1152</v>
      </c>
      <c r="C18" s="37" t="s">
        <v>1153</v>
      </c>
      <c r="D18" s="447"/>
      <c r="E18" s="150"/>
      <c r="F18" s="117"/>
      <c r="G18" s="117"/>
      <c r="H18" s="117"/>
      <c r="I18" s="150"/>
      <c r="J18" s="117"/>
      <c r="K18" s="117"/>
      <c r="L18" s="117"/>
      <c r="M18" s="152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11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1154</v>
      </c>
      <c r="C19" s="37" t="s">
        <v>1155</v>
      </c>
      <c r="D19" s="447"/>
      <c r="E19" s="150"/>
      <c r="F19" s="117"/>
      <c r="G19" s="117"/>
      <c r="H19" s="117"/>
      <c r="I19" s="150"/>
      <c r="J19" s="117"/>
      <c r="K19" s="117"/>
      <c r="L19" s="117"/>
      <c r="M19" s="152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11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1156</v>
      </c>
      <c r="C20" s="37" t="s">
        <v>1157</v>
      </c>
      <c r="D20" s="447"/>
      <c r="E20" s="150"/>
      <c r="F20" s="117"/>
      <c r="G20" s="117"/>
      <c r="H20" s="117"/>
      <c r="I20" s="150"/>
      <c r="J20" s="117"/>
      <c r="K20" s="117"/>
      <c r="L20" s="117"/>
      <c r="M20" s="152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11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85" t="n">
        <v>14</v>
      </c>
      <c r="B21" s="37" t="s">
        <v>1158</v>
      </c>
      <c r="C21" s="37" t="s">
        <v>1159</v>
      </c>
      <c r="D21" s="447"/>
      <c r="E21" s="86"/>
      <c r="F21" s="87"/>
      <c r="G21" s="87"/>
      <c r="H21" s="87"/>
      <c r="I21" s="86"/>
      <c r="J21" s="87"/>
      <c r="K21" s="87"/>
      <c r="L21" s="117"/>
      <c r="M21" s="152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11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85" t="n">
        <v>15</v>
      </c>
      <c r="B22" s="37" t="s">
        <v>1160</v>
      </c>
      <c r="C22" s="37" t="s">
        <v>1161</v>
      </c>
      <c r="D22" s="447"/>
      <c r="E22" s="86"/>
      <c r="F22" s="87"/>
      <c r="G22" s="87"/>
      <c r="H22" s="87"/>
      <c r="I22" s="86"/>
      <c r="J22" s="87"/>
      <c r="K22" s="87"/>
      <c r="L22" s="117"/>
      <c r="M22" s="152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11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1162</v>
      </c>
      <c r="C23" s="37" t="s">
        <v>1163</v>
      </c>
      <c r="D23" s="447"/>
      <c r="E23" s="86"/>
      <c r="F23" s="87"/>
      <c r="G23" s="87"/>
      <c r="H23" s="87"/>
      <c r="I23" s="86"/>
      <c r="J23" s="87"/>
      <c r="K23" s="87"/>
      <c r="L23" s="117"/>
      <c r="M23" s="152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11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true" outlineLevel="0" collapsed="false">
      <c r="A24" s="85" t="n">
        <v>17</v>
      </c>
      <c r="B24" s="37" t="s">
        <v>1164</v>
      </c>
      <c r="C24" s="37" t="s">
        <v>1165</v>
      </c>
      <c r="D24" s="447"/>
      <c r="E24" s="86"/>
      <c r="F24" s="87"/>
      <c r="G24" s="87"/>
      <c r="H24" s="87"/>
      <c r="I24" s="86"/>
      <c r="J24" s="87"/>
      <c r="K24" s="87"/>
      <c r="L24" s="117"/>
      <c r="M24" s="152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117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customFormat="false" ht="15" hidden="false" customHeight="true" outlineLevel="0" collapsed="false">
      <c r="A25" s="85" t="n">
        <v>19</v>
      </c>
      <c r="B25" s="37" t="s">
        <v>1166</v>
      </c>
      <c r="C25" s="37" t="s">
        <v>1167</v>
      </c>
      <c r="D25" s="447"/>
      <c r="E25" s="150"/>
      <c r="F25" s="117"/>
      <c r="G25" s="117"/>
      <c r="H25" s="117"/>
      <c r="I25" s="150"/>
      <c r="J25" s="117"/>
      <c r="K25" s="117"/>
      <c r="L25" s="117"/>
      <c r="M25" s="152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117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customFormat="false" ht="15" hidden="false" customHeight="true" outlineLevel="0" collapsed="false">
      <c r="A26" s="0" t="s">
        <v>77</v>
      </c>
      <c r="D26" s="46"/>
      <c r="E26" s="210" t="e">
        <f aca="false">AVERAGE(E8:E25)</f>
        <v>#DIV/0!</v>
      </c>
      <c r="F26" s="210" t="e">
        <f aca="false">AVERAGE(F8:F25)</f>
        <v>#DIV/0!</v>
      </c>
      <c r="G26" s="210" t="e">
        <f aca="false">AVERAGE(G8:G25)</f>
        <v>#DIV/0!</v>
      </c>
      <c r="H26" s="210" t="e">
        <f aca="false">AVERAGE(H8:H25)</f>
        <v>#DIV/0!</v>
      </c>
      <c r="I26" s="210" t="e">
        <f aca="false">AVERAGE(I8:I25)</f>
        <v>#DIV/0!</v>
      </c>
      <c r="J26" s="210" t="e">
        <f aca="false">AVERAGE(J8:J25)</f>
        <v>#DIV/0!</v>
      </c>
      <c r="K26" s="210" t="e">
        <f aca="false">AVERAGE(K8:K25)</f>
        <v>#DIV/0!</v>
      </c>
      <c r="L26" s="210" t="e">
        <f aca="false">AVERAGE(L8:L25)</f>
        <v>#DIV/0!</v>
      </c>
      <c r="M26" s="210" t="e">
        <f aca="false">AVERAGE(M8:M25)</f>
        <v>#DIV/0!</v>
      </c>
    </row>
    <row r="27" customFormat="false" ht="15" hidden="false" customHeight="true" outlineLevel="0" collapsed="false">
      <c r="A27" s="0" t="s">
        <v>78</v>
      </c>
      <c r="E27" s="448" t="e">
        <f aca="false">(COUNTIF(E8:E25,5)+COUNTIF(E8:E25,4)+COUNTIF(E8:E25,3))/$P$33*100</f>
        <v>#DIV/0!</v>
      </c>
      <c r="F27" s="448" t="e">
        <f aca="false">(COUNTIF(F8:F25,5)+COUNTIF(F8:F25,4)+COUNTIF(F8:F25,3))/$P$33*100</f>
        <v>#DIV/0!</v>
      </c>
      <c r="G27" s="448" t="e">
        <f aca="false">(COUNTIF(G8:G25,5)+COUNTIF(G8:G25,4)+COUNTIF(G8:G25,3))/$P$33*100</f>
        <v>#DIV/0!</v>
      </c>
      <c r="H27" s="448" t="e">
        <f aca="false">(COUNTIF(H8:H25,5)+COUNTIF(H8:H25,4)+COUNTIF(H8:H25,3))/$P$33*100</f>
        <v>#DIV/0!</v>
      </c>
      <c r="I27" s="448" t="e">
        <f aca="false">(COUNTIF(I8:I25,5)+COUNTIF(I8:I25,4)+COUNTIF(I8:I25,3))/$P$33*100</f>
        <v>#DIV/0!</v>
      </c>
      <c r="J27" s="448" t="e">
        <f aca="false">(COUNTIF(J8:J25,5)+COUNTIF(J8:J25,4)+COUNTIF(J8:J25,3))/$P$33*100</f>
        <v>#DIV/0!</v>
      </c>
      <c r="K27" s="448" t="e">
        <f aca="false">(COUNTIF(K8:K25,5)+COUNTIF(K8:K25,4)+COUNTIF(K8:K25,3))/$P$33*100</f>
        <v>#DIV/0!</v>
      </c>
      <c r="L27" s="448" t="e">
        <f aca="false">(COUNTIF(L8:L25,5)+COUNTIF(L8:L25,4)+COUNTIF(L8:L25,3))/$P$33*100</f>
        <v>#DIV/0!</v>
      </c>
      <c r="M27" s="448" t="e">
        <f aca="false">(COUNTIF(M8:M25,5)+COUNTIF(M8:M25,4)+COUNTIF(M8:M25,3))/$P$33*100</f>
        <v>#DIV/0!</v>
      </c>
    </row>
    <row r="28" customFormat="false" ht="15" hidden="false" customHeight="true" outlineLevel="0" collapsed="false"/>
    <row r="29" customFormat="false" ht="15" hidden="false" customHeight="true" outlineLevel="0" collapsed="false">
      <c r="O29" s="48"/>
      <c r="P29" s="48"/>
      <c r="Q29" s="48"/>
    </row>
    <row r="30" customFormat="false" ht="15" hidden="false" customHeight="true" outlineLevel="0" collapsed="false"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8"/>
      <c r="R30" s="48"/>
    </row>
    <row r="31" customFormat="false" ht="15" hidden="false" customHeight="true" outlineLevel="0" collapsed="false">
      <c r="B31" s="50"/>
      <c r="C31" s="50" t="s">
        <v>8</v>
      </c>
      <c r="D31" s="51" t="str">
        <f aca="false">IFERROR(AVERAGE(N8:N25),"")</f>
        <v/>
      </c>
      <c r="E31" s="52" t="s">
        <v>9</v>
      </c>
      <c r="F31" s="52"/>
      <c r="G31" s="53" t="str">
        <f aca="false">IFERROR(COUNTIF(O8:O25,"Успевает")/P33*100,"")</f>
        <v/>
      </c>
      <c r="H31" s="161" t="s">
        <v>79</v>
      </c>
      <c r="I31" s="55"/>
      <c r="J31" s="55" t="str">
        <f aca="false">IFERROR(AVERAGE(P8:P25),"")</f>
        <v/>
      </c>
      <c r="K31" s="55"/>
      <c r="L31" s="52"/>
      <c r="P31" s="183"/>
      <c r="Q31" s="183"/>
    </row>
    <row r="32" customFormat="false" ht="15" hidden="false" customHeight="true" outlineLevel="0" collapsed="false">
      <c r="B32" s="50"/>
      <c r="C32" s="50"/>
      <c r="D32" s="50"/>
      <c r="E32" s="56"/>
      <c r="F32" s="56"/>
      <c r="G32" s="56"/>
      <c r="H32" s="56"/>
      <c r="I32" s="56"/>
      <c r="J32" s="56"/>
      <c r="K32" s="56"/>
      <c r="L32" s="56"/>
      <c r="M32" s="56"/>
      <c r="P32" s="64"/>
      <c r="Q32" s="64"/>
    </row>
    <row r="33" customFormat="false" ht="15" hidden="false" customHeight="true" outlineLevel="0" collapsed="false">
      <c r="A33" s="50"/>
      <c r="B33" s="61" t="s">
        <v>81</v>
      </c>
      <c r="C33" s="61"/>
      <c r="D33" s="61"/>
      <c r="E33" s="61"/>
      <c r="F33" s="61"/>
      <c r="G33" s="61"/>
      <c r="H33" s="61"/>
      <c r="I33" s="61"/>
      <c r="J33" s="61" t="s">
        <v>82</v>
      </c>
      <c r="K33" s="61"/>
      <c r="L33" s="61"/>
      <c r="M33" s="62"/>
      <c r="N33" s="57" t="s">
        <v>80</v>
      </c>
      <c r="O33" s="57"/>
      <c r="P33" s="58" t="n">
        <f aca="false">SUM(P34,P35)</f>
        <v>0</v>
      </c>
      <c r="Q33" s="69"/>
    </row>
    <row r="34" customFormat="false" ht="15" hidden="false" customHeight="true" outlineLevel="0" collapsed="false">
      <c r="A34" s="50"/>
      <c r="B34" s="65" t="str">
        <f aca="false">$E$6</f>
        <v> Аналитическая геометрия и линейная алгебра</v>
      </c>
      <c r="C34" s="65"/>
      <c r="D34" s="65"/>
      <c r="E34" s="65"/>
      <c r="F34" s="65"/>
      <c r="G34" s="65"/>
      <c r="H34" s="65"/>
      <c r="I34" s="65"/>
      <c r="J34" s="66"/>
      <c r="K34" s="66"/>
      <c r="L34" s="66"/>
      <c r="M34" s="67"/>
      <c r="N34" s="57" t="s">
        <v>83</v>
      </c>
      <c r="O34" s="57"/>
      <c r="P34" s="58" t="n">
        <f aca="false">COUNTIF(O8:O25,"Успевает")</f>
        <v>0</v>
      </c>
      <c r="Q34" s="64"/>
    </row>
    <row r="35" customFormat="false" ht="15" hidden="false" customHeight="true" outlineLevel="0" collapsed="false">
      <c r="A35" s="50"/>
      <c r="B35" s="65" t="str">
        <f aca="false">$F$6</f>
        <v> Информатика</v>
      </c>
      <c r="C35" s="65"/>
      <c r="D35" s="65"/>
      <c r="E35" s="65"/>
      <c r="F35" s="65"/>
      <c r="G35" s="65"/>
      <c r="H35" s="65"/>
      <c r="I35" s="65"/>
      <c r="J35" s="66"/>
      <c r="K35" s="66"/>
      <c r="L35" s="66"/>
      <c r="M35" s="67"/>
      <c r="N35" s="98" t="s">
        <v>84</v>
      </c>
      <c r="O35" s="98"/>
      <c r="P35" s="58" t="n">
        <f aca="false">COUNTIF(O8:O25,"Не успевает")</f>
        <v>0</v>
      </c>
      <c r="Q35" s="48"/>
    </row>
    <row r="36" customFormat="false" ht="15" hidden="false" customHeight="true" outlineLevel="0" collapsed="false">
      <c r="A36" s="50"/>
      <c r="B36" s="65" t="str">
        <f aca="false">$G$6</f>
        <v> Математический анализ </v>
      </c>
      <c r="C36" s="65"/>
      <c r="D36" s="65"/>
      <c r="E36" s="65"/>
      <c r="F36" s="65"/>
      <c r="G36" s="65"/>
      <c r="H36" s="65"/>
      <c r="I36" s="65"/>
      <c r="J36" s="66"/>
      <c r="K36" s="66"/>
      <c r="L36" s="66"/>
      <c r="M36" s="67"/>
      <c r="N36" s="98" t="s">
        <v>85</v>
      </c>
      <c r="O36" s="98"/>
      <c r="P36" s="58" t="n">
        <f aca="false">COUNTIF(Q8:Q25,"Благодарность")</f>
        <v>0</v>
      </c>
      <c r="Q36" s="48"/>
    </row>
    <row r="37" customFormat="false" ht="15" hidden="false" customHeight="true" outlineLevel="0" collapsed="false">
      <c r="A37" s="50"/>
      <c r="B37" s="65" t="str">
        <f aca="false">$H$6</f>
        <v> Начертательная геометрия</v>
      </c>
      <c r="C37" s="65"/>
      <c r="D37" s="65"/>
      <c r="E37" s="65"/>
      <c r="F37" s="65"/>
      <c r="G37" s="65"/>
      <c r="H37" s="65"/>
      <c r="I37" s="65"/>
      <c r="J37" s="66"/>
      <c r="K37" s="66"/>
      <c r="L37" s="66"/>
      <c r="M37" s="67"/>
      <c r="N37" s="98" t="s">
        <v>86</v>
      </c>
      <c r="O37" s="98"/>
      <c r="P37" s="58" t="n">
        <f aca="false">COUNTIF(Q8:Q25,"Нормально")</f>
        <v>0</v>
      </c>
      <c r="Q37" s="48"/>
    </row>
    <row r="38" customFormat="false" ht="15" hidden="false" customHeight="true" outlineLevel="0" collapsed="false">
      <c r="A38" s="50"/>
      <c r="B38" s="65" t="str">
        <f aca="false">$I$6</f>
        <v>Инженерная графика</v>
      </c>
      <c r="C38" s="65"/>
      <c r="D38" s="65"/>
      <c r="E38" s="65"/>
      <c r="F38" s="65"/>
      <c r="G38" s="65"/>
      <c r="H38" s="65"/>
      <c r="I38" s="65"/>
      <c r="J38" s="66"/>
      <c r="K38" s="66"/>
      <c r="L38" s="66"/>
      <c r="M38" s="67"/>
      <c r="N38" s="98" t="s">
        <v>87</v>
      </c>
      <c r="O38" s="98"/>
      <c r="P38" s="58" t="n">
        <f aca="false">COUNTIF(Q8:Q25,"Предупреждение")</f>
        <v>0</v>
      </c>
      <c r="Q38" s="48"/>
    </row>
    <row r="39" customFormat="false" ht="15" hidden="false" customHeight="true" outlineLevel="0" collapsed="false">
      <c r="A39" s="50"/>
      <c r="B39" s="65" t="str">
        <f aca="false">$J$6</f>
        <v>Иностранный язык</v>
      </c>
      <c r="C39" s="65"/>
      <c r="D39" s="65"/>
      <c r="E39" s="65"/>
      <c r="F39" s="65"/>
      <c r="G39" s="65"/>
      <c r="H39" s="65"/>
      <c r="I39" s="65"/>
      <c r="J39" s="66"/>
      <c r="K39" s="66"/>
      <c r="L39" s="66"/>
      <c r="M39" s="67"/>
      <c r="N39" s="98" t="s">
        <v>88</v>
      </c>
      <c r="O39" s="98"/>
      <c r="P39" s="58" t="n">
        <f aca="false">COUNTIF(Q8:Q25,"Выговор")</f>
        <v>0</v>
      </c>
      <c r="Q39" s="48"/>
    </row>
    <row r="40" customFormat="false" ht="15" hidden="false" customHeight="true" outlineLevel="0" collapsed="false">
      <c r="A40" s="50"/>
      <c r="B40" s="65" t="str">
        <f aca="false">$K$6</f>
        <v> История России</v>
      </c>
      <c r="C40" s="65"/>
      <c r="D40" s="65"/>
      <c r="E40" s="65"/>
      <c r="F40" s="65"/>
      <c r="G40" s="65"/>
      <c r="H40" s="65"/>
      <c r="I40" s="65"/>
      <c r="J40" s="66"/>
      <c r="K40" s="66"/>
      <c r="L40" s="66"/>
      <c r="M40" s="67"/>
      <c r="N40" s="442" t="s">
        <v>12</v>
      </c>
      <c r="O40" s="380"/>
      <c r="P40" s="143" t="n">
        <f aca="false">SUM(R8:R25)</f>
        <v>0</v>
      </c>
      <c r="Q40" s="48"/>
    </row>
    <row r="41" customFormat="false" ht="15" hidden="false" customHeight="true" outlineLevel="0" collapsed="false">
      <c r="A41" s="50"/>
      <c r="B41" s="65" t="str">
        <f aca="false">$L$6</f>
        <v>Учебно-технологический практикум</v>
      </c>
      <c r="C41" s="65"/>
      <c r="D41" s="65"/>
      <c r="E41" s="65"/>
      <c r="F41" s="65"/>
      <c r="G41" s="65"/>
      <c r="H41" s="65"/>
      <c r="I41" s="65"/>
      <c r="J41" s="66"/>
      <c r="K41" s="66"/>
      <c r="L41" s="66"/>
      <c r="M41" s="67"/>
      <c r="N41" s="67"/>
      <c r="O41" s="48"/>
      <c r="P41" s="48"/>
      <c r="Q41" s="48"/>
    </row>
    <row r="42" customFormat="false" ht="15" hidden="false" customHeight="true" outlineLevel="0" collapsed="false">
      <c r="A42" s="50"/>
      <c r="B42" s="65" t="str">
        <f aca="false">$M$6</f>
        <v>Физическая культура и спорт</v>
      </c>
      <c r="C42" s="65"/>
      <c r="D42" s="65"/>
      <c r="E42" s="65"/>
      <c r="F42" s="65"/>
      <c r="G42" s="65"/>
      <c r="H42" s="65"/>
      <c r="I42" s="65"/>
      <c r="J42" s="66"/>
      <c r="K42" s="66"/>
      <c r="L42" s="66"/>
      <c r="M42" s="67"/>
      <c r="N42" s="67"/>
      <c r="O42" s="48"/>
    </row>
    <row r="43" customFormat="false" ht="15" hidden="false" customHeight="true" outlineLevel="0" collapsed="false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48"/>
      <c r="O43" s="48"/>
    </row>
    <row r="44" customFormat="false" ht="15" hidden="false" customHeight="true" outlineLevel="0" collapsed="false">
      <c r="A44" s="50"/>
      <c r="B44" s="428" t="s">
        <v>89</v>
      </c>
      <c r="C44" s="449" t="s">
        <v>1168</v>
      </c>
      <c r="D44" s="449"/>
      <c r="E44" s="67"/>
      <c r="F44" s="52" t="s">
        <v>407</v>
      </c>
      <c r="G44" s="300" t="s">
        <v>1169</v>
      </c>
      <c r="H44" s="300"/>
      <c r="I44" s="52"/>
      <c r="J44" s="52"/>
      <c r="K44" s="52"/>
      <c r="L44" s="50"/>
      <c r="M44" s="50"/>
      <c r="N44" s="48"/>
      <c r="O44" s="48"/>
    </row>
    <row r="45" customFormat="false" ht="15" hidden="false" customHeight="true" outlineLevel="0" collapsed="false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48"/>
      <c r="O45" s="48"/>
    </row>
    <row r="46" customFormat="false" ht="15" hidden="false" customHeight="true" outlineLevel="0" collapsed="false">
      <c r="A46" s="50"/>
      <c r="B46" s="50" t="s">
        <v>93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48"/>
      <c r="O46" s="48"/>
    </row>
    <row r="47" customFormat="false" ht="15" hidden="false" customHeight="true" outlineLevel="0" collapsed="false">
      <c r="A47" s="50"/>
      <c r="B47" s="50" t="s">
        <v>94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O47" s="48"/>
    </row>
    <row r="48" customFormat="false" ht="15" hidden="false" customHeight="true" outlineLevel="0" collapsed="false">
      <c r="A48" s="50"/>
      <c r="B48" s="50" t="s">
        <v>95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O48" s="48"/>
      <c r="P48" s="48"/>
      <c r="Q48" s="48"/>
      <c r="R48" s="48"/>
    </row>
    <row r="49" customFormat="false" ht="15" hidden="false" customHeight="true" outlineLevel="0" collapsed="false">
      <c r="A49" s="50"/>
      <c r="B49" s="50" t="s">
        <v>96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O49" s="48"/>
      <c r="P49" s="48"/>
      <c r="Q49" s="48"/>
      <c r="R49" s="48"/>
    </row>
    <row r="50" customFormat="false" ht="15" hidden="false" customHeight="true" outlineLevel="0" collapsed="false">
      <c r="A50" s="50"/>
      <c r="B50" s="50" t="s">
        <v>97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O50" s="48"/>
      <c r="P50" s="48"/>
      <c r="Q50" s="48"/>
      <c r="R50" s="48"/>
    </row>
    <row r="51" customFormat="false" ht="15" hidden="false" customHeight="true" outlineLevel="0" collapsed="false">
      <c r="A51" s="50"/>
      <c r="B51" s="50" t="s">
        <v>98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O51" s="48"/>
      <c r="P51" s="48"/>
      <c r="Q51" s="48"/>
      <c r="R51" s="48"/>
    </row>
    <row r="52" customFormat="false" ht="15" hidden="false" customHeight="true" outlineLevel="0" collapsed="false">
      <c r="A52" s="50"/>
      <c r="B52" s="50" t="s">
        <v>99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O52" s="48"/>
      <c r="P52" s="48"/>
      <c r="Q52" s="48"/>
      <c r="R52" s="48"/>
    </row>
    <row r="53" customFormat="false" ht="15" hidden="false" customHeight="true" outlineLevel="0" collapsed="false"/>
    <row r="54" customFormat="false" ht="15" hidden="false" customHeight="true" outlineLevel="0" collapsed="false"/>
  </sheetData>
  <mergeCells count="41">
    <mergeCell ref="F1:H1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P31:Q31"/>
    <mergeCell ref="B33:I33"/>
    <mergeCell ref="J33:L33"/>
    <mergeCell ref="N33:O33"/>
    <mergeCell ref="B34:I34"/>
    <mergeCell ref="J34:L34"/>
    <mergeCell ref="N34:O34"/>
    <mergeCell ref="B35:I35"/>
    <mergeCell ref="J35:L35"/>
    <mergeCell ref="N35:O35"/>
    <mergeCell ref="B36:I36"/>
    <mergeCell ref="J36:L36"/>
    <mergeCell ref="N36:O36"/>
    <mergeCell ref="B37:I37"/>
    <mergeCell ref="J37:L37"/>
    <mergeCell ref="N37:O37"/>
    <mergeCell ref="B38:I38"/>
    <mergeCell ref="J38:L38"/>
    <mergeCell ref="N38:O38"/>
    <mergeCell ref="B39:I39"/>
    <mergeCell ref="J39:L39"/>
    <mergeCell ref="N39:O39"/>
    <mergeCell ref="B40:I40"/>
    <mergeCell ref="J40:L40"/>
    <mergeCell ref="B41:I41"/>
    <mergeCell ref="J41:L41"/>
    <mergeCell ref="B42:I42"/>
    <mergeCell ref="J42:L42"/>
    <mergeCell ref="C44:D44"/>
  </mergeCells>
  <conditionalFormatting sqref="L19:M2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1:M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3:M1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3:K14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3:I14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3:H1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3:J14 G25:M25 G9:M12 G15:M17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9:K20 I18:M18 G18:H20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8:F20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6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5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9:N25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2:M24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2:K24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2:I24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2:H24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1:F24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2:J24 G21:I21 K21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K8 F25 E9:F17 E21:E25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M8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6:M26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51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23" activeCellId="0" sqref="C23"/>
    </sheetView>
  </sheetViews>
  <sheetFormatPr defaultColWidth="8.71484375" defaultRowHeight="15" zeroHeight="false" outlineLevelRow="0" outlineLevelCol="0"/>
  <cols>
    <col collapsed="false" customWidth="true" hidden="false" outlineLevel="0" max="3" min="3" style="0" width="20.42"/>
    <col collapsed="false" customWidth="true" hidden="false" outlineLevel="0" max="4" min="4" style="0" width="6.57"/>
    <col collapsed="false" customWidth="true" hidden="false" outlineLevel="0" max="15" min="15" style="0" width="11.14"/>
    <col collapsed="false" customWidth="true" hidden="false" outlineLevel="0" max="17" min="17" style="0" width="10.29"/>
    <col collapsed="false" customWidth="true" hidden="false" outlineLevel="0" max="18" min="18" style="0" width="9"/>
    <col collapsed="false" customWidth="true" hidden="false" outlineLevel="0" max="19" min="19" style="0" width="10.85"/>
  </cols>
  <sheetData>
    <row r="1" customFormat="false" ht="19.7" hidden="false" customHeight="false" outlineLevel="0" collapsed="false">
      <c r="E1" s="450" t="s">
        <v>0</v>
      </c>
      <c r="F1" s="450"/>
      <c r="G1" s="450"/>
      <c r="H1" s="450"/>
      <c r="I1" s="2" t="n">
        <f aca="false">set!B1</f>
        <v>2</v>
      </c>
      <c r="J1" s="3"/>
    </row>
    <row r="2" customFormat="false" ht="15" hidden="false" customHeight="false" outlineLevel="0" collapsed="false">
      <c r="L2" s="0" t="s">
        <v>1</v>
      </c>
      <c r="O2" s="6" t="n">
        <f aca="false">set!B4</f>
        <v>45608</v>
      </c>
      <c r="P2" s="364"/>
    </row>
    <row r="3" customFormat="false" ht="15" hidden="false" customHeight="false" outlineLevel="0" collapsed="false">
      <c r="A3" s="451" t="str">
        <f aca="false">"Успеваемость студентов за "&amp;(set!B2)&amp;" "&amp;"семестр"&amp;" "&amp;(set!B3) &amp;" "&amp; "учебного года по группе ИУК3-22Б факультета ИУК МГТУ им. Н.Э. Баумана"</f>
        <v>Успеваемость студентов за 1 семестр 24/25 учебного года по группе ИУК3-22Б факультета ИУК МГТУ им. Н.Э. Баумана</v>
      </c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417" t="s">
        <v>11</v>
      </c>
      <c r="R5" s="417" t="s">
        <v>12</v>
      </c>
    </row>
    <row r="6" customFormat="false" ht="15" hidden="false" customHeight="false" outlineLevel="0" collapsed="false">
      <c r="A6" s="8"/>
      <c r="B6" s="8"/>
      <c r="C6" s="8"/>
      <c r="D6" s="301"/>
      <c r="E6" s="339" t="s">
        <v>542</v>
      </c>
      <c r="F6" s="340" t="s">
        <v>1129</v>
      </c>
      <c r="G6" s="340" t="s">
        <v>1130</v>
      </c>
      <c r="H6" s="342" t="s">
        <v>1131</v>
      </c>
      <c r="I6" s="405" t="s">
        <v>17</v>
      </c>
      <c r="J6" s="340" t="s">
        <v>18</v>
      </c>
      <c r="K6" s="340" t="s">
        <v>144</v>
      </c>
      <c r="L6" s="340" t="s">
        <v>20</v>
      </c>
      <c r="M6" s="342" t="s">
        <v>147</v>
      </c>
      <c r="N6" s="12"/>
      <c r="O6" s="13"/>
      <c r="P6" s="13"/>
      <c r="Q6" s="417"/>
      <c r="R6" s="417"/>
    </row>
    <row r="7" customFormat="false" ht="17.9" hidden="false" customHeight="false" outlineLevel="0" collapsed="false">
      <c r="A7" s="8"/>
      <c r="B7" s="8"/>
      <c r="C7" s="8"/>
      <c r="D7" s="301"/>
      <c r="E7" s="365" t="s">
        <v>22</v>
      </c>
      <c r="F7" s="366" t="s">
        <v>23</v>
      </c>
      <c r="G7" s="366" t="s">
        <v>24</v>
      </c>
      <c r="H7" s="406" t="s">
        <v>25</v>
      </c>
      <c r="I7" s="445" t="s">
        <v>26</v>
      </c>
      <c r="J7" s="366" t="s">
        <v>27</v>
      </c>
      <c r="K7" s="366" t="s">
        <v>149</v>
      </c>
      <c r="L7" s="366" t="s">
        <v>28</v>
      </c>
      <c r="M7" s="406" t="s">
        <v>30</v>
      </c>
      <c r="N7" s="12"/>
      <c r="O7" s="13"/>
      <c r="P7" s="13"/>
      <c r="Q7" s="417"/>
      <c r="R7" s="417"/>
    </row>
    <row r="8" customFormat="false" ht="15" hidden="false" customHeight="true" outlineLevel="0" collapsed="false">
      <c r="A8" s="25" t="n">
        <v>1</v>
      </c>
      <c r="B8" s="25" t="s">
        <v>1170</v>
      </c>
      <c r="C8" s="25" t="s">
        <v>1171</v>
      </c>
      <c r="D8" s="241"/>
      <c r="E8" s="78"/>
      <c r="F8" s="79"/>
      <c r="G8" s="79"/>
      <c r="H8" s="452"/>
      <c r="I8" s="78"/>
      <c r="J8" s="79"/>
      <c r="K8" s="79"/>
      <c r="L8" s="383"/>
      <c r="M8" s="153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11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118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1172</v>
      </c>
      <c r="C9" s="37" t="s">
        <v>1173</v>
      </c>
      <c r="D9" s="241"/>
      <c r="E9" s="81"/>
      <c r="F9" s="82"/>
      <c r="G9" s="82"/>
      <c r="H9" s="125"/>
      <c r="I9" s="81"/>
      <c r="J9" s="82"/>
      <c r="K9" s="82"/>
      <c r="L9" s="84"/>
      <c r="M9" s="181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11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1174</v>
      </c>
      <c r="C10" s="37" t="s">
        <v>1175</v>
      </c>
      <c r="D10" s="241"/>
      <c r="E10" s="86"/>
      <c r="F10" s="87"/>
      <c r="G10" s="87"/>
      <c r="H10" s="88"/>
      <c r="I10" s="86"/>
      <c r="J10" s="87"/>
      <c r="K10" s="87"/>
      <c r="L10" s="117"/>
      <c r="M10" s="152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11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1176</v>
      </c>
      <c r="C11" s="37" t="s">
        <v>1177</v>
      </c>
      <c r="D11" s="241"/>
      <c r="E11" s="86"/>
      <c r="F11" s="87"/>
      <c r="G11" s="87"/>
      <c r="H11" s="88"/>
      <c r="I11" s="86"/>
      <c r="J11" s="87"/>
      <c r="K11" s="87"/>
      <c r="L11" s="117"/>
      <c r="M11" s="152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11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1178</v>
      </c>
      <c r="C12" s="37" t="s">
        <v>1179</v>
      </c>
      <c r="D12" s="241"/>
      <c r="E12" s="86"/>
      <c r="F12" s="87"/>
      <c r="G12" s="87"/>
      <c r="H12" s="88"/>
      <c r="I12" s="86"/>
      <c r="J12" s="87"/>
      <c r="K12" s="87"/>
      <c r="L12" s="117"/>
      <c r="M12" s="152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11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1180</v>
      </c>
      <c r="C13" s="37" t="s">
        <v>1181</v>
      </c>
      <c r="D13" s="241"/>
      <c r="E13" s="86"/>
      <c r="F13" s="87"/>
      <c r="G13" s="87"/>
      <c r="H13" s="88"/>
      <c r="I13" s="86"/>
      <c r="J13" s="87"/>
      <c r="K13" s="87"/>
      <c r="L13" s="117"/>
      <c r="M13" s="453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11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1182</v>
      </c>
      <c r="C14" s="37" t="s">
        <v>1183</v>
      </c>
      <c r="D14" s="241"/>
      <c r="E14" s="86"/>
      <c r="F14" s="87"/>
      <c r="G14" s="87"/>
      <c r="H14" s="88"/>
      <c r="I14" s="86"/>
      <c r="J14" s="87"/>
      <c r="K14" s="87"/>
      <c r="L14" s="117"/>
      <c r="M14" s="152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11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1184</v>
      </c>
      <c r="C15" s="37" t="s">
        <v>1185</v>
      </c>
      <c r="D15" s="241"/>
      <c r="E15" s="86"/>
      <c r="F15" s="87"/>
      <c r="G15" s="87"/>
      <c r="H15" s="88"/>
      <c r="I15" s="86"/>
      <c r="J15" s="87"/>
      <c r="K15" s="87"/>
      <c r="L15" s="117"/>
      <c r="M15" s="152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11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1186</v>
      </c>
      <c r="C16" s="37" t="s">
        <v>1187</v>
      </c>
      <c r="D16" s="241"/>
      <c r="E16" s="86"/>
      <c r="F16" s="87"/>
      <c r="G16" s="87"/>
      <c r="H16" s="88"/>
      <c r="I16" s="86"/>
      <c r="J16" s="87"/>
      <c r="K16" s="87"/>
      <c r="L16" s="117"/>
      <c r="M16" s="152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11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1188</v>
      </c>
      <c r="C17" s="37" t="s">
        <v>1189</v>
      </c>
      <c r="D17" s="241"/>
      <c r="E17" s="86"/>
      <c r="F17" s="87"/>
      <c r="G17" s="87"/>
      <c r="H17" s="88"/>
      <c r="I17" s="86"/>
      <c r="J17" s="87"/>
      <c r="K17" s="87"/>
      <c r="L17" s="117"/>
      <c r="M17" s="152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11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1190</v>
      </c>
      <c r="C18" s="37" t="s">
        <v>1191</v>
      </c>
      <c r="D18" s="241"/>
      <c r="E18" s="86"/>
      <c r="F18" s="87"/>
      <c r="G18" s="87"/>
      <c r="H18" s="88"/>
      <c r="I18" s="86"/>
      <c r="J18" s="87"/>
      <c r="K18" s="87"/>
      <c r="L18" s="117"/>
      <c r="M18" s="152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11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1192</v>
      </c>
      <c r="C19" s="37" t="s">
        <v>1193</v>
      </c>
      <c r="D19" s="241"/>
      <c r="E19" s="86"/>
      <c r="F19" s="87"/>
      <c r="G19" s="87"/>
      <c r="H19" s="88"/>
      <c r="I19" s="86"/>
      <c r="J19" s="87"/>
      <c r="K19" s="87"/>
      <c r="L19" s="117"/>
      <c r="M19" s="152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11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1194</v>
      </c>
      <c r="C20" s="37" t="s">
        <v>1195</v>
      </c>
      <c r="D20" s="241"/>
      <c r="E20" s="86"/>
      <c r="F20" s="87"/>
      <c r="G20" s="87"/>
      <c r="H20" s="88"/>
      <c r="I20" s="86"/>
      <c r="J20" s="87"/>
      <c r="K20" s="87"/>
      <c r="L20" s="117"/>
      <c r="M20" s="152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11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1196</v>
      </c>
      <c r="C21" s="37" t="s">
        <v>1197</v>
      </c>
      <c r="D21" s="241"/>
      <c r="E21" s="86"/>
      <c r="F21" s="87"/>
      <c r="G21" s="87"/>
      <c r="H21" s="88"/>
      <c r="I21" s="86"/>
      <c r="J21" s="87"/>
      <c r="K21" s="87"/>
      <c r="L21" s="117"/>
      <c r="M21" s="152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11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1198</v>
      </c>
      <c r="C22" s="37" t="s">
        <v>1199</v>
      </c>
      <c r="D22" s="241"/>
      <c r="E22" s="86"/>
      <c r="F22" s="87"/>
      <c r="G22" s="87"/>
      <c r="H22" s="88"/>
      <c r="I22" s="86"/>
      <c r="J22" s="87"/>
      <c r="K22" s="87"/>
      <c r="L22" s="117"/>
      <c r="M22" s="152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11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1200</v>
      </c>
      <c r="C23" s="37" t="s">
        <v>1201</v>
      </c>
      <c r="D23" s="241"/>
      <c r="E23" s="86"/>
      <c r="F23" s="87"/>
      <c r="G23" s="87"/>
      <c r="H23" s="88"/>
      <c r="I23" s="86"/>
      <c r="J23" s="87"/>
      <c r="K23" s="87"/>
      <c r="L23" s="117"/>
      <c r="M23" s="152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11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true" outlineLevel="0" collapsed="false">
      <c r="A24" s="0" t="s">
        <v>77</v>
      </c>
      <c r="D24" s="46"/>
      <c r="E24" s="210" t="e">
        <f aca="false">AVERAGE(E8:E23)</f>
        <v>#DIV/0!</v>
      </c>
      <c r="F24" s="210" t="e">
        <f aca="false">AVERAGE(F8:F23)</f>
        <v>#DIV/0!</v>
      </c>
      <c r="G24" s="210" t="e">
        <f aca="false">AVERAGE(G8:G23)</f>
        <v>#DIV/0!</v>
      </c>
      <c r="H24" s="210" t="e">
        <f aca="false">AVERAGE(H8:H23)</f>
        <v>#DIV/0!</v>
      </c>
      <c r="I24" s="210" t="e">
        <f aca="false">AVERAGE(I8:I23)</f>
        <v>#DIV/0!</v>
      </c>
      <c r="J24" s="210" t="e">
        <f aca="false">AVERAGE(J8:J23)</f>
        <v>#DIV/0!</v>
      </c>
      <c r="K24" s="210" t="e">
        <f aca="false">AVERAGE(K8:K23)</f>
        <v>#DIV/0!</v>
      </c>
      <c r="L24" s="210" t="e">
        <f aca="false">AVERAGE(L8:L23)</f>
        <v>#DIV/0!</v>
      </c>
      <c r="M24" s="210" t="e">
        <f aca="false">AVERAGE(M8:M23)</f>
        <v>#DIV/0!</v>
      </c>
    </row>
    <row r="25" customFormat="false" ht="15" hidden="false" customHeight="true" outlineLevel="0" collapsed="false">
      <c r="A25" s="0" t="s">
        <v>78</v>
      </c>
      <c r="E25" s="448" t="e">
        <f aca="false">(COUNTIF(E8:E23,5)+COUNTIF(E8:E23,4)+COUNTIF(E8:E23,3))/$P$31*100</f>
        <v>#DIV/0!</v>
      </c>
      <c r="F25" s="448" t="e">
        <f aca="false">(COUNTIF(F8:F23,5)+COUNTIF(F8:F23,4)+COUNTIF(F8:F23,3))/$P$31*100</f>
        <v>#DIV/0!</v>
      </c>
      <c r="G25" s="448" t="e">
        <f aca="false">(COUNTIF(G8:G23,5)+COUNTIF(G8:G23,4)+COUNTIF(G8:G23,3))/$P$31*100</f>
        <v>#DIV/0!</v>
      </c>
      <c r="H25" s="448" t="e">
        <f aca="false">(COUNTIF(H8:H23,5)+COUNTIF(H8:H23,4)+COUNTIF(H8:H23,3))/$P$31*100</f>
        <v>#DIV/0!</v>
      </c>
      <c r="I25" s="448" t="e">
        <f aca="false">(COUNTIF(I8:I23,5)+COUNTIF(I8:I23,4)+COUNTIF(I8:I23,3))/$P$31*100</f>
        <v>#DIV/0!</v>
      </c>
      <c r="J25" s="448" t="e">
        <f aca="false">(COUNTIF(J8:J23,5)+COUNTIF(J8:J23,4)+COUNTIF(J8:J23,3))/$P$31*100</f>
        <v>#DIV/0!</v>
      </c>
      <c r="K25" s="448" t="e">
        <f aca="false">(COUNTIF(K8:K23,5)+COUNTIF(K8:K23,4)+COUNTIF(K8:K23,3))/$P$31*100</f>
        <v>#DIV/0!</v>
      </c>
      <c r="L25" s="448" t="e">
        <f aca="false">(COUNTIF(L8:L23,5)+COUNTIF(L8:L23,4)+COUNTIF(L8:L23,3))/$P$31*100</f>
        <v>#DIV/0!</v>
      </c>
      <c r="M25" s="448" t="e">
        <f aca="false">(COUNTIF(M8:M23,5)+COUNTIF(M8:M23,4)+COUNTIF(M8:M23,3))/$P$31*100</f>
        <v>#DIV/0!</v>
      </c>
    </row>
    <row r="26" customFormat="false" ht="15" hidden="false" customHeight="true" outlineLevel="0" collapsed="false"/>
    <row r="27" customFormat="false" ht="15" hidden="false" customHeight="true" outlineLevel="0" collapsed="false">
      <c r="O27" s="48"/>
      <c r="P27" s="48"/>
      <c r="Q27" s="48"/>
    </row>
    <row r="28" customFormat="false" ht="15" hidden="false" customHeight="true" outlineLevel="0" collapsed="false">
      <c r="E28" s="48"/>
      <c r="F28" s="48"/>
      <c r="G28" s="48"/>
      <c r="H28" s="48"/>
      <c r="J28" s="48"/>
      <c r="K28" s="48"/>
      <c r="L28" s="48"/>
      <c r="M28" s="48"/>
      <c r="N28" s="48"/>
      <c r="O28" s="48"/>
      <c r="P28" s="48"/>
      <c r="Q28" s="48"/>
      <c r="R28" s="48"/>
    </row>
    <row r="29" customFormat="false" ht="15" hidden="false" customHeight="true" outlineLevel="0" collapsed="false">
      <c r="B29" s="50"/>
      <c r="C29" s="50" t="s">
        <v>8</v>
      </c>
      <c r="D29" s="51" t="str">
        <f aca="false">IFERROR(AVERAGE(N8:N23),"")</f>
        <v/>
      </c>
      <c r="E29" s="52" t="s">
        <v>9</v>
      </c>
      <c r="F29" s="52"/>
      <c r="G29" s="53" t="str">
        <f aca="false">IFERROR(COUNTIF(O8:O23,"Успевает")/P31*100,"")</f>
        <v/>
      </c>
      <c r="H29" s="161" t="s">
        <v>79</v>
      </c>
      <c r="I29" s="55"/>
      <c r="J29" s="454" t="str">
        <f aca="false">IFERROR(AVERAGE(P8:P23),"")</f>
        <v/>
      </c>
      <c r="M29" s="52"/>
      <c r="P29" s="183"/>
      <c r="Q29" s="183"/>
    </row>
    <row r="30" customFormat="false" ht="15" hidden="false" customHeight="true" outlineLevel="0" collapsed="false">
      <c r="B30" s="50"/>
      <c r="C30" s="50"/>
      <c r="D30" s="50"/>
      <c r="E30" s="56"/>
      <c r="F30" s="56"/>
      <c r="G30" s="56"/>
      <c r="H30" s="56"/>
      <c r="I30" s="56"/>
      <c r="J30" s="56"/>
      <c r="K30" s="56"/>
      <c r="L30" s="56"/>
      <c r="M30" s="56"/>
      <c r="P30" s="64"/>
    </row>
    <row r="31" customFormat="false" ht="15" hidden="false" customHeight="true" outlineLevel="0" collapsed="false">
      <c r="A31" s="50"/>
      <c r="B31" s="61" t="s">
        <v>81</v>
      </c>
      <c r="C31" s="61"/>
      <c r="D31" s="61"/>
      <c r="E31" s="61"/>
      <c r="F31" s="61"/>
      <c r="G31" s="61"/>
      <c r="H31" s="61"/>
      <c r="I31" s="61"/>
      <c r="J31" s="61" t="s">
        <v>82</v>
      </c>
      <c r="K31" s="61"/>
      <c r="L31" s="61"/>
      <c r="M31" s="138"/>
      <c r="N31" s="57" t="s">
        <v>80</v>
      </c>
      <c r="O31" s="57"/>
      <c r="P31" s="58" t="n">
        <f aca="false">SUM(P32,P33)</f>
        <v>0</v>
      </c>
    </row>
    <row r="32" customFormat="false" ht="15" hidden="false" customHeight="true" outlineLevel="0" collapsed="false">
      <c r="A32" s="50"/>
      <c r="B32" s="65" t="str">
        <f aca="false">$E$6</f>
        <v> Аналитическая геометрия и линейная алгебра</v>
      </c>
      <c r="C32" s="65"/>
      <c r="D32" s="65"/>
      <c r="E32" s="65"/>
      <c r="F32" s="65"/>
      <c r="G32" s="65"/>
      <c r="H32" s="65"/>
      <c r="I32" s="65"/>
      <c r="J32" s="66"/>
      <c r="K32" s="66"/>
      <c r="L32" s="66"/>
      <c r="M32" s="139"/>
      <c r="N32" s="57" t="s">
        <v>83</v>
      </c>
      <c r="O32" s="57"/>
      <c r="P32" s="58" t="n">
        <f aca="false">COUNTIF(O8:O23,"Успевает")</f>
        <v>0</v>
      </c>
    </row>
    <row r="33" customFormat="false" ht="15" hidden="false" customHeight="true" outlineLevel="0" collapsed="false">
      <c r="A33" s="50"/>
      <c r="B33" s="65" t="str">
        <f aca="false">$F$6</f>
        <v> Информатика</v>
      </c>
      <c r="C33" s="65"/>
      <c r="D33" s="65"/>
      <c r="E33" s="65"/>
      <c r="F33" s="65"/>
      <c r="G33" s="65"/>
      <c r="H33" s="65"/>
      <c r="I33" s="65"/>
      <c r="J33" s="66"/>
      <c r="K33" s="66"/>
      <c r="L33" s="66"/>
      <c r="M33" s="139"/>
      <c r="N33" s="98" t="s">
        <v>84</v>
      </c>
      <c r="O33" s="98"/>
      <c r="P33" s="58" t="n">
        <f aca="false">COUNTIF(O8:O23,"Не успевает")</f>
        <v>0</v>
      </c>
    </row>
    <row r="34" customFormat="false" ht="15" hidden="false" customHeight="true" outlineLevel="0" collapsed="false">
      <c r="A34" s="50"/>
      <c r="B34" s="65" t="str">
        <f aca="false">$G$6</f>
        <v> Математический анализ </v>
      </c>
      <c r="C34" s="65"/>
      <c r="D34" s="65"/>
      <c r="E34" s="65"/>
      <c r="F34" s="65"/>
      <c r="G34" s="65"/>
      <c r="H34" s="65"/>
      <c r="I34" s="65"/>
      <c r="J34" s="66"/>
      <c r="K34" s="66"/>
      <c r="L34" s="66"/>
      <c r="M34" s="139"/>
      <c r="N34" s="98" t="s">
        <v>85</v>
      </c>
      <c r="O34" s="98"/>
      <c r="P34" s="58" t="n">
        <f aca="false">COUNTIF(Q8:Q23,"Благодарность")</f>
        <v>0</v>
      </c>
    </row>
    <row r="35" customFormat="false" ht="15" hidden="false" customHeight="true" outlineLevel="0" collapsed="false">
      <c r="A35" s="50"/>
      <c r="B35" s="65" t="str">
        <f aca="false">$H$6</f>
        <v> Начертательная геометрия</v>
      </c>
      <c r="C35" s="65"/>
      <c r="D35" s="65"/>
      <c r="E35" s="65"/>
      <c r="F35" s="65"/>
      <c r="G35" s="65"/>
      <c r="H35" s="65"/>
      <c r="I35" s="65"/>
      <c r="J35" s="66"/>
      <c r="K35" s="66"/>
      <c r="L35" s="66"/>
      <c r="M35" s="139"/>
      <c r="N35" s="98" t="s">
        <v>86</v>
      </c>
      <c r="O35" s="98"/>
      <c r="P35" s="58" t="n">
        <f aca="false">COUNTIF(Q8:Q23,"Нормально")</f>
        <v>0</v>
      </c>
    </row>
    <row r="36" customFormat="false" ht="15" hidden="false" customHeight="true" outlineLevel="0" collapsed="false">
      <c r="A36" s="50"/>
      <c r="B36" s="65" t="str">
        <f aca="false">$I$6</f>
        <v>Инженерная графика</v>
      </c>
      <c r="C36" s="65"/>
      <c r="D36" s="65"/>
      <c r="E36" s="65"/>
      <c r="F36" s="65"/>
      <c r="G36" s="65"/>
      <c r="H36" s="65"/>
      <c r="I36" s="65"/>
      <c r="J36" s="66"/>
      <c r="K36" s="66"/>
      <c r="L36" s="66"/>
      <c r="M36" s="139"/>
      <c r="N36" s="98" t="s">
        <v>87</v>
      </c>
      <c r="O36" s="98"/>
      <c r="P36" s="58" t="n">
        <f aca="false">COUNTIF(Q8:Q23,"Предупреждение")</f>
        <v>0</v>
      </c>
    </row>
    <row r="37" customFormat="false" ht="15" hidden="false" customHeight="true" outlineLevel="0" collapsed="false">
      <c r="A37" s="50"/>
      <c r="B37" s="65" t="str">
        <f aca="false">$J$6</f>
        <v>Иностранный язык</v>
      </c>
      <c r="C37" s="65"/>
      <c r="D37" s="65"/>
      <c r="E37" s="65"/>
      <c r="F37" s="65"/>
      <c r="G37" s="65"/>
      <c r="H37" s="65"/>
      <c r="I37" s="65"/>
      <c r="J37" s="66"/>
      <c r="K37" s="66"/>
      <c r="L37" s="66"/>
      <c r="M37" s="139"/>
      <c r="N37" s="98" t="s">
        <v>88</v>
      </c>
      <c r="O37" s="98"/>
      <c r="P37" s="58" t="n">
        <f aca="false">COUNTIF(Q8:Q23,"Выговор")</f>
        <v>0</v>
      </c>
    </row>
    <row r="38" customFormat="false" ht="15" hidden="false" customHeight="true" outlineLevel="0" collapsed="false">
      <c r="A38" s="50"/>
      <c r="B38" s="65" t="str">
        <f aca="false">$K$6</f>
        <v> История России</v>
      </c>
      <c r="C38" s="65"/>
      <c r="D38" s="65"/>
      <c r="E38" s="65"/>
      <c r="F38" s="65"/>
      <c r="G38" s="65"/>
      <c r="H38" s="65"/>
      <c r="I38" s="65"/>
      <c r="J38" s="66"/>
      <c r="K38" s="66"/>
      <c r="L38" s="66"/>
      <c r="M38" s="139"/>
      <c r="N38" s="185" t="s">
        <v>12</v>
      </c>
      <c r="O38" s="380"/>
      <c r="P38" s="143" t="n">
        <f aca="false">SUM(R8:R23)</f>
        <v>0</v>
      </c>
      <c r="Q38" s="379"/>
      <c r="R38" s="67"/>
      <c r="S38" s="64"/>
    </row>
    <row r="39" customFormat="false" ht="15" hidden="false" customHeight="true" outlineLevel="0" collapsed="false">
      <c r="A39" s="50"/>
      <c r="B39" s="65" t="str">
        <f aca="false">$L$6</f>
        <v>Учебно-технологический практикум</v>
      </c>
      <c r="C39" s="65"/>
      <c r="D39" s="65"/>
      <c r="E39" s="65"/>
      <c r="F39" s="65"/>
      <c r="G39" s="65"/>
      <c r="H39" s="65"/>
      <c r="I39" s="65"/>
      <c r="J39" s="66"/>
      <c r="K39" s="66"/>
      <c r="L39" s="66"/>
      <c r="M39" s="139"/>
      <c r="N39" s="67"/>
      <c r="O39" s="48"/>
      <c r="P39" s="48"/>
      <c r="Q39" s="379"/>
      <c r="R39" s="67"/>
      <c r="S39" s="64"/>
    </row>
    <row r="40" customFormat="false" ht="15" hidden="false" customHeight="true" outlineLevel="0" collapsed="false">
      <c r="A40" s="50"/>
      <c r="B40" s="65" t="str">
        <f aca="false">$M$6</f>
        <v>Физическая культура и спорт</v>
      </c>
      <c r="C40" s="65"/>
      <c r="D40" s="65"/>
      <c r="E40" s="65"/>
      <c r="F40" s="65"/>
      <c r="G40" s="65"/>
      <c r="H40" s="65"/>
      <c r="I40" s="65"/>
      <c r="J40" s="66"/>
      <c r="K40" s="66"/>
      <c r="L40" s="66"/>
      <c r="M40" s="139"/>
      <c r="N40" s="67"/>
      <c r="O40" s="48"/>
      <c r="P40" s="48"/>
      <c r="Q40" s="48"/>
    </row>
    <row r="41" customFormat="false" ht="15" hidden="false" customHeight="true" outlineLevel="0" collapsed="false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48"/>
      <c r="O41" s="48"/>
      <c r="P41" s="48"/>
      <c r="Q41" s="48"/>
      <c r="R41" s="48"/>
    </row>
    <row r="42" customFormat="false" ht="15" hidden="false" customHeight="true" outlineLevel="0" collapsed="false">
      <c r="A42" s="50"/>
      <c r="B42" s="428" t="s">
        <v>89</v>
      </c>
      <c r="C42" s="455" t="s">
        <v>1202</v>
      </c>
      <c r="D42" s="455"/>
      <c r="E42" s="67"/>
      <c r="F42" s="52" t="s">
        <v>407</v>
      </c>
      <c r="G42" s="300" t="s">
        <v>1169</v>
      </c>
      <c r="H42" s="300"/>
      <c r="I42" s="52"/>
      <c r="J42" s="52"/>
      <c r="K42" s="52"/>
      <c r="L42" s="50"/>
      <c r="M42" s="50"/>
      <c r="N42" s="48"/>
      <c r="O42" s="48"/>
      <c r="P42" s="48"/>
      <c r="Q42" s="48"/>
      <c r="R42" s="48"/>
    </row>
    <row r="43" customFormat="false" ht="15" hidden="false" customHeight="true" outlineLevel="0" collapsed="false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48"/>
      <c r="O43" s="48"/>
      <c r="P43" s="48"/>
      <c r="Q43" s="48"/>
      <c r="R43" s="48"/>
    </row>
    <row r="44" customFormat="false" ht="15" hidden="false" customHeight="true" outlineLevel="0" collapsed="false">
      <c r="A44" s="50"/>
      <c r="B44" s="50" t="s">
        <v>93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48"/>
      <c r="O44" s="48"/>
      <c r="P44" s="48"/>
      <c r="Q44" s="48"/>
      <c r="R44" s="48"/>
    </row>
    <row r="45" customFormat="false" ht="15" hidden="false" customHeight="true" outlineLevel="0" collapsed="false">
      <c r="A45" s="50"/>
      <c r="B45" s="50" t="s">
        <v>94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48"/>
      <c r="O45" s="48"/>
      <c r="P45" s="48"/>
    </row>
    <row r="46" customFormat="false" ht="15" hidden="false" customHeight="true" outlineLevel="0" collapsed="false">
      <c r="A46" s="50"/>
      <c r="B46" s="50" t="s">
        <v>95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48"/>
      <c r="O46" s="48"/>
      <c r="P46" s="48"/>
    </row>
    <row r="47" customFormat="false" ht="15" hidden="false" customHeight="true" outlineLevel="0" collapsed="false">
      <c r="A47" s="50"/>
      <c r="B47" s="50" t="s">
        <v>96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48"/>
      <c r="O47" s="48"/>
      <c r="P47" s="48"/>
    </row>
    <row r="48" customFormat="false" ht="15" hidden="false" customHeight="true" outlineLevel="0" collapsed="false">
      <c r="A48" s="50"/>
      <c r="B48" s="50" t="s">
        <v>97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48"/>
      <c r="O48" s="48"/>
      <c r="P48" s="48"/>
    </row>
    <row r="49" customFormat="false" ht="15" hidden="false" customHeight="true" outlineLevel="0" collapsed="false">
      <c r="A49" s="50"/>
      <c r="B49" s="50" t="s">
        <v>98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48"/>
      <c r="O49" s="48"/>
      <c r="P49" s="48"/>
    </row>
    <row r="50" customFormat="false" ht="15" hidden="false" customHeight="true" outlineLevel="0" collapsed="false">
      <c r="A50" s="50"/>
      <c r="B50" s="50" t="s">
        <v>99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48"/>
      <c r="O50" s="48"/>
      <c r="P50" s="48"/>
    </row>
    <row r="51" customFormat="false" ht="15" hidden="false" customHeight="true" outlineLevel="0" collapsed="false"/>
  </sheetData>
  <mergeCells count="42">
    <mergeCell ref="E1:H1"/>
    <mergeCell ref="A3:L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P29:Q29"/>
    <mergeCell ref="B31:I31"/>
    <mergeCell ref="J31:L31"/>
    <mergeCell ref="N31:O31"/>
    <mergeCell ref="B32:I32"/>
    <mergeCell ref="J32:L32"/>
    <mergeCell ref="N32:O32"/>
    <mergeCell ref="B33:I33"/>
    <mergeCell ref="J33:L33"/>
    <mergeCell ref="N33:O33"/>
    <mergeCell ref="B34:I34"/>
    <mergeCell ref="J34:L34"/>
    <mergeCell ref="N34:O34"/>
    <mergeCell ref="B35:I35"/>
    <mergeCell ref="J35:L35"/>
    <mergeCell ref="N35:O35"/>
    <mergeCell ref="B36:I36"/>
    <mergeCell ref="J36:L36"/>
    <mergeCell ref="N36:O36"/>
    <mergeCell ref="B37:I37"/>
    <mergeCell ref="J37:L37"/>
    <mergeCell ref="N37:O37"/>
    <mergeCell ref="B38:I38"/>
    <mergeCell ref="J38:L38"/>
    <mergeCell ref="B39:I39"/>
    <mergeCell ref="J39:L39"/>
    <mergeCell ref="B40:I40"/>
    <mergeCell ref="J40:L40"/>
    <mergeCell ref="C42:D42"/>
  </mergeCells>
  <conditionalFormatting sqref="F20:F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2:F23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3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0:N2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K9 F10:F1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M9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0:E21 G20:M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4:M24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2:M23 E22:E23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:E19 G10:M19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T54"/>
  <sheetViews>
    <sheetView showFormulas="false" showGridLines="true" showRowColHeaders="true" showZeros="true" rightToLeft="false" tabSelected="false" showOutlineSymbols="true" defaultGridColor="true" view="normal" topLeftCell="A2" colorId="64" zoomScale="140" zoomScaleNormal="140" zoomScalePageLayoutView="100" workbookViewId="0">
      <selection pane="topLeft" activeCell="C20" activeCellId="0" sqref="C20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29"/>
    <col collapsed="false" customWidth="true" hidden="false" outlineLevel="0" max="2" min="2" style="0" width="9.71"/>
    <col collapsed="false" customWidth="true" hidden="false" outlineLevel="0" max="3" min="3" style="0" width="20"/>
    <col collapsed="false" customWidth="true" hidden="false" outlineLevel="0" max="5" min="5" style="0" width="10"/>
    <col collapsed="false" customWidth="true" hidden="false" outlineLevel="0" max="16" min="16" style="0" width="11"/>
    <col collapsed="false" customWidth="true" hidden="false" outlineLevel="0" max="18" min="18" style="0" width="11.71"/>
    <col collapsed="false" customWidth="true" hidden="false" outlineLevel="0" max="19" min="19" style="0" width="7.57"/>
    <col collapsed="false" customWidth="true" hidden="false" outlineLevel="0" max="20" min="20" style="0" width="3.71"/>
    <col collapsed="false" customWidth="true" hidden="false" outlineLevel="0" max="21" min="21" style="0" width="4"/>
    <col collapsed="false" customWidth="true" hidden="false" outlineLevel="0" max="22" min="22" style="0" width="5"/>
    <col collapsed="false" customWidth="true" hidden="false" outlineLevel="0" max="23" min="23" style="0" width="4.86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 t="s">
        <v>1</v>
      </c>
      <c r="M2" s="72"/>
      <c r="N2" s="72"/>
      <c r="O2" s="72"/>
      <c r="P2" s="146" t="n">
        <f aca="false">set!B4</f>
        <v>45608</v>
      </c>
      <c r="Q2" s="72"/>
      <c r="R2" s="72"/>
      <c r="S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ИУК3-31Б факультета ИУК МГТУ им. Н.Э. Баумана"</f>
        <v>Успеваемость студентов за 1 семестр 24/25 учебного года по группе ИУК3-31Б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1"/>
      <c r="O5" s="456" t="s">
        <v>8</v>
      </c>
      <c r="P5" s="457" t="s">
        <v>9</v>
      </c>
      <c r="Q5" s="457" t="s">
        <v>10</v>
      </c>
      <c r="R5" s="417" t="s">
        <v>11</v>
      </c>
      <c r="S5" s="417" t="s">
        <v>12</v>
      </c>
      <c r="T5" s="458"/>
    </row>
    <row r="6" customFormat="false" ht="130.5" hidden="false" customHeight="true" outlineLevel="0" collapsed="false">
      <c r="A6" s="8"/>
      <c r="B6" s="8"/>
      <c r="C6" s="8"/>
      <c r="D6" s="9"/>
      <c r="E6" s="339" t="s">
        <v>1203</v>
      </c>
      <c r="F6" s="340" t="s">
        <v>1204</v>
      </c>
      <c r="G6" s="340" t="s">
        <v>1205</v>
      </c>
      <c r="H6" s="342" t="s">
        <v>736</v>
      </c>
      <c r="I6" s="340" t="s">
        <v>168</v>
      </c>
      <c r="J6" s="340" t="s">
        <v>18</v>
      </c>
      <c r="K6" s="340" t="s">
        <v>1206</v>
      </c>
      <c r="L6" s="340" t="s">
        <v>170</v>
      </c>
      <c r="M6" s="340" t="s">
        <v>1207</v>
      </c>
      <c r="N6" s="342" t="s">
        <v>147</v>
      </c>
      <c r="O6" s="456"/>
      <c r="P6" s="456"/>
      <c r="Q6" s="456"/>
      <c r="R6" s="417"/>
      <c r="S6" s="417"/>
      <c r="T6" s="458"/>
    </row>
    <row r="7" customFormat="false" ht="17.9" hidden="false" customHeight="false" outlineLevel="0" collapsed="false">
      <c r="A7" s="8"/>
      <c r="B7" s="8"/>
      <c r="C7" s="8"/>
      <c r="D7" s="9"/>
      <c r="E7" s="343" t="s">
        <v>171</v>
      </c>
      <c r="F7" s="344" t="s">
        <v>298</v>
      </c>
      <c r="G7" s="344" t="s">
        <v>298</v>
      </c>
      <c r="H7" s="346" t="s">
        <v>22</v>
      </c>
      <c r="I7" s="344" t="s">
        <v>173</v>
      </c>
      <c r="J7" s="344" t="s">
        <v>27</v>
      </c>
      <c r="K7" s="344" t="s">
        <v>28</v>
      </c>
      <c r="L7" s="344" t="s">
        <v>175</v>
      </c>
      <c r="M7" s="344" t="s">
        <v>1208</v>
      </c>
      <c r="N7" s="346" t="s">
        <v>176</v>
      </c>
      <c r="O7" s="456"/>
      <c r="P7" s="456"/>
      <c r="Q7" s="456"/>
      <c r="R7" s="417"/>
      <c r="S7" s="417"/>
      <c r="T7" s="458"/>
    </row>
    <row r="8" customFormat="false" ht="15" hidden="false" customHeight="false" outlineLevel="0" collapsed="false">
      <c r="A8" s="25" t="n">
        <v>1</v>
      </c>
      <c r="B8" s="25" t="s">
        <v>1209</v>
      </c>
      <c r="C8" s="25" t="s">
        <v>1210</v>
      </c>
      <c r="D8" s="459"/>
      <c r="E8" s="460"/>
      <c r="F8" s="461"/>
      <c r="G8" s="461"/>
      <c r="H8" s="462"/>
      <c r="I8" s="463"/>
      <c r="J8" s="461"/>
      <c r="K8" s="461"/>
      <c r="L8" s="461"/>
      <c r="M8" s="461"/>
      <c r="N8" s="462"/>
      <c r="O8" s="464" t="str">
        <f aca="false">IFERROR(AVERAGE(E8:N8),"")</f>
        <v/>
      </c>
      <c r="P8" s="383" t="str">
        <f aca="false">IF(E8&lt;&gt;"",IF(COUNTIF(E8:N8,"&lt;3"),"Не успевает","Успевает"),"")</f>
        <v/>
      </c>
      <c r="Q8" s="465" t="str">
        <f aca="false">IF(D8&lt;&gt;"",(30*(set!B$5)-D8)/(30*(set!B$5))*100,"")</f>
        <v/>
      </c>
      <c r="R8" s="117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118" t="n">
        <f aca="false">COUNTIF(E8:N8,2)+COUNTIF(E8:N8,1)+COUNTIF(E8:N8,0)</f>
        <v>0</v>
      </c>
      <c r="T8" s="242"/>
    </row>
    <row r="9" customFormat="false" ht="15" hidden="false" customHeight="false" outlineLevel="0" collapsed="false">
      <c r="A9" s="37" t="n">
        <v>2</v>
      </c>
      <c r="B9" s="37" t="s">
        <v>1211</v>
      </c>
      <c r="C9" s="37" t="s">
        <v>1212</v>
      </c>
      <c r="D9" s="459"/>
      <c r="E9" s="460"/>
      <c r="F9" s="461"/>
      <c r="G9" s="461"/>
      <c r="H9" s="462"/>
      <c r="I9" s="463"/>
      <c r="J9" s="461"/>
      <c r="K9" s="461"/>
      <c r="L9" s="461"/>
      <c r="M9" s="461"/>
      <c r="N9" s="462"/>
      <c r="O9" s="422" t="str">
        <f aca="false">IFERROR(AVERAGE(E9:N9),"")</f>
        <v/>
      </c>
      <c r="P9" s="117" t="str">
        <f aca="false">IF(E9&lt;&gt;"",IF(COUNTIF(E9:N9,"&lt;3"),"Не успевает","Успевает"),"")</f>
        <v/>
      </c>
      <c r="Q9" s="250" t="str">
        <f aca="false">IF(D9&lt;&gt;"",(30*(set!B$5)-D9)/(30*(set!B$5))*100,"")</f>
        <v/>
      </c>
      <c r="R9" s="11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  <c r="T9" s="242"/>
    </row>
    <row r="10" customFormat="false" ht="15" hidden="false" customHeight="false" outlineLevel="0" collapsed="false">
      <c r="A10" s="37" t="n">
        <v>3</v>
      </c>
      <c r="B10" s="37" t="s">
        <v>1213</v>
      </c>
      <c r="C10" s="37" t="s">
        <v>1214</v>
      </c>
      <c r="D10" s="459"/>
      <c r="E10" s="460"/>
      <c r="F10" s="461"/>
      <c r="G10" s="461"/>
      <c r="H10" s="462"/>
      <c r="I10" s="463"/>
      <c r="J10" s="461"/>
      <c r="K10" s="461"/>
      <c r="L10" s="461"/>
      <c r="M10" s="461"/>
      <c r="N10" s="462"/>
      <c r="O10" s="422" t="str">
        <f aca="false">IFERROR(AVERAGE(E10:N10),"")</f>
        <v/>
      </c>
      <c r="P10" s="117" t="str">
        <f aca="false">IF(E10&lt;&gt;"",IF(COUNTIF(E10:N10,"&lt;3"),"Не успевает","Успевает"),"")</f>
        <v/>
      </c>
      <c r="Q10" s="250" t="str">
        <f aca="false">IF(D10&lt;&gt;"",(30*(set!B$5)-D10)/(30*(set!B$5))*100,"")</f>
        <v/>
      </c>
      <c r="R10" s="11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  <c r="T10" s="242"/>
    </row>
    <row r="11" customFormat="false" ht="14.25" hidden="false" customHeight="true" outlineLevel="0" collapsed="false">
      <c r="A11" s="37" t="n">
        <v>4</v>
      </c>
      <c r="B11" s="37" t="s">
        <v>1215</v>
      </c>
      <c r="C11" s="37" t="s">
        <v>1216</v>
      </c>
      <c r="D11" s="459"/>
      <c r="E11" s="460"/>
      <c r="F11" s="461"/>
      <c r="G11" s="461"/>
      <c r="H11" s="462"/>
      <c r="I11" s="463"/>
      <c r="J11" s="461"/>
      <c r="K11" s="461"/>
      <c r="L11" s="461"/>
      <c r="M11" s="461"/>
      <c r="N11" s="462"/>
      <c r="O11" s="422" t="str">
        <f aca="false">IFERROR(AVERAGE(E11:N11),"")</f>
        <v/>
      </c>
      <c r="P11" s="117" t="str">
        <f aca="false">IF(E11&lt;&gt;"",IF(COUNTIF(E11:N11,"&lt;3"),"Не успевает","Успевает"),"")</f>
        <v/>
      </c>
      <c r="Q11" s="250" t="str">
        <f aca="false">IF(D11&lt;&gt;"",(30*(set!B$5)-D11)/(30*(set!B$5))*100,"")</f>
        <v/>
      </c>
      <c r="R11" s="11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  <c r="T11" s="242"/>
    </row>
    <row r="12" customFormat="false" ht="15" hidden="false" customHeight="false" outlineLevel="0" collapsed="false">
      <c r="A12" s="37" t="n">
        <v>5</v>
      </c>
      <c r="B12" s="37" t="s">
        <v>1217</v>
      </c>
      <c r="C12" s="37" t="s">
        <v>1218</v>
      </c>
      <c r="D12" s="459"/>
      <c r="E12" s="460"/>
      <c r="F12" s="461"/>
      <c r="G12" s="461"/>
      <c r="H12" s="462"/>
      <c r="I12" s="463"/>
      <c r="J12" s="461"/>
      <c r="K12" s="461"/>
      <c r="L12" s="461"/>
      <c r="M12" s="461"/>
      <c r="N12" s="462"/>
      <c r="O12" s="422" t="str">
        <f aca="false">IFERROR(AVERAGE(E12:N12),"")</f>
        <v/>
      </c>
      <c r="P12" s="117" t="str">
        <f aca="false">IF(E12&lt;&gt;"",IF(COUNTIF(E12:N12,"&lt;3"),"Не успевает","Успевает"),"")</f>
        <v/>
      </c>
      <c r="Q12" s="250" t="str">
        <f aca="false">IF(D12&lt;&gt;"",(30*(set!B$5)-D12)/(30*(set!B$5))*100,"")</f>
        <v/>
      </c>
      <c r="R12" s="11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  <c r="T12" s="242"/>
    </row>
    <row r="13" customFormat="false" ht="15" hidden="false" customHeight="false" outlineLevel="0" collapsed="false">
      <c r="A13" s="37" t="n">
        <v>6</v>
      </c>
      <c r="B13" s="37" t="s">
        <v>1219</v>
      </c>
      <c r="C13" s="37" t="s">
        <v>1220</v>
      </c>
      <c r="D13" s="459"/>
      <c r="E13" s="460"/>
      <c r="F13" s="461"/>
      <c r="G13" s="461"/>
      <c r="H13" s="462"/>
      <c r="I13" s="463"/>
      <c r="J13" s="461"/>
      <c r="K13" s="461"/>
      <c r="L13" s="461"/>
      <c r="M13" s="461"/>
      <c r="N13" s="462"/>
      <c r="O13" s="422" t="str">
        <f aca="false">IFERROR(AVERAGE(E13:N13),"")</f>
        <v/>
      </c>
      <c r="P13" s="117" t="str">
        <f aca="false">IF(E13&lt;&gt;"",IF(COUNTIF(E13:N13,"&lt;3"),"Не успевает","Успевает"),"")</f>
        <v/>
      </c>
      <c r="Q13" s="250" t="str">
        <f aca="false">IF(D13&lt;&gt;"",(30*(set!B$5)-D13)/(30*(set!B$5))*100,"")</f>
        <v/>
      </c>
      <c r="R13" s="11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customFormat="false" ht="15.75" hidden="false" customHeight="true" outlineLevel="0" collapsed="false">
      <c r="A14" s="37" t="n">
        <v>7</v>
      </c>
      <c r="B14" s="37" t="s">
        <v>1221</v>
      </c>
      <c r="C14" s="37" t="s">
        <v>1222</v>
      </c>
      <c r="D14" s="459"/>
      <c r="E14" s="460"/>
      <c r="F14" s="461"/>
      <c r="G14" s="461"/>
      <c r="H14" s="462"/>
      <c r="I14" s="463"/>
      <c r="J14" s="461"/>
      <c r="K14" s="461"/>
      <c r="L14" s="461"/>
      <c r="M14" s="461"/>
      <c r="N14" s="462"/>
      <c r="O14" s="422" t="str">
        <f aca="false">IFERROR(AVERAGE(E14:N14),"")</f>
        <v/>
      </c>
      <c r="P14" s="117" t="str">
        <f aca="false">IF(E14&lt;&gt;"",IF(COUNTIF(E14:N14,"&lt;3"),"Не успевает","Успевает"),"")</f>
        <v/>
      </c>
      <c r="Q14" s="250" t="str">
        <f aca="false">IF(D14&lt;&gt;"",(30*(set!B$5)-D14)/(30*(set!B$5))*100,"")</f>
        <v/>
      </c>
      <c r="R14" s="117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</row>
    <row r="15" customFormat="false" ht="15.75" hidden="false" customHeight="true" outlineLevel="0" collapsed="false">
      <c r="A15" s="37" t="n">
        <v>8</v>
      </c>
      <c r="B15" s="37" t="s">
        <v>1223</v>
      </c>
      <c r="C15" s="37" t="s">
        <v>1224</v>
      </c>
      <c r="D15" s="459"/>
      <c r="E15" s="460"/>
      <c r="F15" s="461"/>
      <c r="G15" s="461"/>
      <c r="H15" s="462"/>
      <c r="I15" s="463"/>
      <c r="J15" s="461"/>
      <c r="K15" s="461"/>
      <c r="L15" s="461"/>
      <c r="M15" s="461"/>
      <c r="N15" s="462"/>
      <c r="O15" s="422" t="str">
        <f aca="false">IFERROR(AVERAGE(E15:N15),"")</f>
        <v/>
      </c>
      <c r="P15" s="117" t="str">
        <f aca="false">IF(E15&lt;&gt;"",IF(COUNTIF(E15:N15,"&lt;3"),"Не успевает","Успевает"),"")</f>
        <v/>
      </c>
      <c r="Q15" s="250" t="str">
        <f aca="false">IF(D15&lt;&gt;"",(30*(set!B$5)-D15)/(30*(set!B$5))*100,"")</f>
        <v/>
      </c>
      <c r="R15" s="117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</row>
    <row r="16" customFormat="false" ht="15.75" hidden="false" customHeight="true" outlineLevel="0" collapsed="false">
      <c r="A16" s="37" t="n">
        <v>9</v>
      </c>
      <c r="B16" s="37" t="s">
        <v>1225</v>
      </c>
      <c r="C16" s="37" t="s">
        <v>1226</v>
      </c>
      <c r="D16" s="459"/>
      <c r="E16" s="460"/>
      <c r="F16" s="461"/>
      <c r="G16" s="461"/>
      <c r="H16" s="462"/>
      <c r="I16" s="463"/>
      <c r="J16" s="461"/>
      <c r="K16" s="461"/>
      <c r="L16" s="461"/>
      <c r="M16" s="461"/>
      <c r="N16" s="462"/>
      <c r="O16" s="422" t="str">
        <f aca="false">IFERROR(AVERAGE(E16:N16),"")</f>
        <v/>
      </c>
      <c r="P16" s="117" t="str">
        <f aca="false">IF(E16&lt;&gt;"",IF(COUNTIF(E16:N16,"&lt;3"),"Не успевает","Успевает"),"")</f>
        <v/>
      </c>
      <c r="Q16" s="250" t="str">
        <f aca="false">IF(D16&lt;&gt;"",(30*(set!B$5)-D16)/(30*(set!B$5))*100,"")</f>
        <v/>
      </c>
      <c r="R16" s="117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</row>
    <row r="17" customFormat="false" ht="15.75" hidden="false" customHeight="true" outlineLevel="0" collapsed="false">
      <c r="A17" s="37" t="n">
        <v>10</v>
      </c>
      <c r="B17" s="37" t="s">
        <v>1227</v>
      </c>
      <c r="C17" s="37" t="s">
        <v>1228</v>
      </c>
      <c r="D17" s="459"/>
      <c r="E17" s="460"/>
      <c r="F17" s="461"/>
      <c r="G17" s="461"/>
      <c r="H17" s="462"/>
      <c r="I17" s="463"/>
      <c r="J17" s="461"/>
      <c r="K17" s="461"/>
      <c r="L17" s="461"/>
      <c r="M17" s="461"/>
      <c r="N17" s="462"/>
      <c r="O17" s="422" t="str">
        <f aca="false">IFERROR(AVERAGE(E17:N17),"")</f>
        <v/>
      </c>
      <c r="P17" s="117" t="str">
        <f aca="false">IF(E17&lt;&gt;"",IF(COUNTIF(E17:N17,"&lt;3"),"Не успевает","Успевает"),"")</f>
        <v/>
      </c>
      <c r="Q17" s="250" t="str">
        <f aca="false">IF(D17&lt;&gt;"",(30*(set!B$5)-D17)/(30*(set!B$5))*100,"")</f>
        <v/>
      </c>
      <c r="R17" s="117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</row>
    <row r="18" customFormat="false" ht="15.75" hidden="false" customHeight="true" outlineLevel="0" collapsed="false">
      <c r="A18" s="37" t="n">
        <v>11</v>
      </c>
      <c r="B18" s="37" t="s">
        <v>1229</v>
      </c>
      <c r="C18" s="37" t="s">
        <v>1230</v>
      </c>
      <c r="D18" s="459"/>
      <c r="E18" s="460"/>
      <c r="F18" s="461"/>
      <c r="G18" s="461"/>
      <c r="H18" s="462"/>
      <c r="I18" s="463"/>
      <c r="J18" s="461"/>
      <c r="K18" s="461"/>
      <c r="L18" s="461"/>
      <c r="M18" s="461"/>
      <c r="N18" s="462"/>
      <c r="O18" s="422" t="str">
        <f aca="false">IFERROR(AVERAGE(E18:N18),"")</f>
        <v/>
      </c>
      <c r="P18" s="117" t="str">
        <f aca="false">IF(E18&lt;&gt;"",IF(COUNTIF(E18:N18,"&lt;3"),"Не успевает","Успевает"),"")</f>
        <v/>
      </c>
      <c r="Q18" s="250" t="str">
        <f aca="false">IF(D18&lt;&gt;"",(30*(set!B$5)-D18)/(30*(set!B$5))*100,"")</f>
        <v/>
      </c>
      <c r="R18" s="117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</row>
    <row r="19" s="45" customFormat="true" ht="15.75" hidden="false" customHeight="true" outlineLevel="0" collapsed="false">
      <c r="A19" s="37" t="n">
        <v>12</v>
      </c>
      <c r="B19" s="37" t="s">
        <v>1231</v>
      </c>
      <c r="C19" s="37" t="s">
        <v>1232</v>
      </c>
      <c r="D19" s="459"/>
      <c r="E19" s="460"/>
      <c r="F19" s="461"/>
      <c r="G19" s="461"/>
      <c r="H19" s="462"/>
      <c r="I19" s="463"/>
      <c r="J19" s="461"/>
      <c r="K19" s="461"/>
      <c r="L19" s="461"/>
      <c r="M19" s="461"/>
      <c r="N19" s="462"/>
      <c r="O19" s="422" t="str">
        <f aca="false">IFERROR(AVERAGE(E19:N19),"")</f>
        <v/>
      </c>
      <c r="P19" s="117" t="str">
        <f aca="false">IF(E19&lt;&gt;"",IF(COUNTIF(E19:N19,"&lt;3"),"Не успевает","Успевает"),"")</f>
        <v/>
      </c>
      <c r="Q19" s="250" t="str">
        <f aca="false">IF(D19&lt;&gt;"",(30*(set!B$5)-D19)/(30*(set!B$5))*100,"")</f>
        <v/>
      </c>
      <c r="R19" s="117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</row>
    <row r="20" s="45" customFormat="true" ht="15.75" hidden="false" customHeight="true" outlineLevel="0" collapsed="false">
      <c r="A20" s="37" t="n">
        <v>13</v>
      </c>
      <c r="B20" s="37" t="s">
        <v>1233</v>
      </c>
      <c r="C20" s="37" t="s">
        <v>1234</v>
      </c>
      <c r="D20" s="459"/>
      <c r="E20" s="460"/>
      <c r="F20" s="461"/>
      <c r="G20" s="461"/>
      <c r="H20" s="462"/>
      <c r="I20" s="463"/>
      <c r="J20" s="461"/>
      <c r="K20" s="461"/>
      <c r="L20" s="461"/>
      <c r="M20" s="461"/>
      <c r="N20" s="462"/>
      <c r="O20" s="422" t="str">
        <f aca="false">IFERROR(AVERAGE(E20:N20),"")</f>
        <v/>
      </c>
      <c r="P20" s="117" t="str">
        <f aca="false">IF(E20&lt;&gt;"",IF(COUNTIF(E20:N20,"&lt;3"),"Не успевает","Успевает"),"")</f>
        <v/>
      </c>
      <c r="Q20" s="250" t="str">
        <f aca="false">IF(D20&lt;&gt;"",(30*(set!B$5)-D20)/(30*(set!B$5))*100,"")</f>
        <v/>
      </c>
      <c r="R20" s="117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118" t="n">
        <f aca="false">COUNTIF(E20:N20,2)+COUNTIF(E20:N20,1)+COUNTIF(E20:N20,0)</f>
        <v>0</v>
      </c>
    </row>
    <row r="21" s="45" customFormat="true" ht="15.75" hidden="false" customHeight="true" outlineLevel="0" collapsed="false">
      <c r="A21" s="37" t="n">
        <v>14</v>
      </c>
      <c r="B21" s="37" t="s">
        <v>1235</v>
      </c>
      <c r="C21" s="37" t="s">
        <v>1236</v>
      </c>
      <c r="D21" s="459"/>
      <c r="E21" s="460"/>
      <c r="F21" s="461"/>
      <c r="G21" s="461"/>
      <c r="H21" s="462"/>
      <c r="I21" s="463"/>
      <c r="J21" s="461"/>
      <c r="K21" s="461"/>
      <c r="L21" s="461"/>
      <c r="M21" s="461"/>
      <c r="N21" s="462"/>
      <c r="O21" s="422" t="str">
        <f aca="false">IFERROR(AVERAGE(E21:N21),"")</f>
        <v/>
      </c>
      <c r="P21" s="117" t="str">
        <f aca="false">IF(E21&lt;&gt;"",IF(COUNTIF(E21:N21,"&lt;3"),"Не успевает","Успевает"),"")</f>
        <v/>
      </c>
      <c r="Q21" s="250" t="str">
        <f aca="false">IF(D21&lt;&gt;"",(30*(set!B$5)-D21)/(30*(set!B$5))*100,"")</f>
        <v/>
      </c>
      <c r="R21" s="117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118" t="n">
        <f aca="false">COUNTIF(E21:N21,2)+COUNTIF(E21:N21,1)+COUNTIF(E21:N21,0)</f>
        <v>0</v>
      </c>
    </row>
    <row r="22" s="45" customFormat="true" ht="15.75" hidden="false" customHeight="true" outlineLevel="0" collapsed="false">
      <c r="A22" s="37" t="n">
        <v>15</v>
      </c>
      <c r="B22" s="37" t="s">
        <v>1237</v>
      </c>
      <c r="C22" s="37" t="s">
        <v>1238</v>
      </c>
      <c r="D22" s="459"/>
      <c r="E22" s="460"/>
      <c r="F22" s="461"/>
      <c r="G22" s="461"/>
      <c r="H22" s="462"/>
      <c r="I22" s="463"/>
      <c r="J22" s="461"/>
      <c r="K22" s="461"/>
      <c r="L22" s="461"/>
      <c r="M22" s="461"/>
      <c r="N22" s="462"/>
      <c r="O22" s="422" t="str">
        <f aca="false">IFERROR(AVERAGE(E22:N22),"")</f>
        <v/>
      </c>
      <c r="P22" s="117" t="str">
        <f aca="false">IF(E22&lt;&gt;"",IF(COUNTIF(E22:N22,"&lt;3"),"Не успевает","Успевает"),"")</f>
        <v/>
      </c>
      <c r="Q22" s="250" t="str">
        <f aca="false">IF(D22&lt;&gt;"",(30*(set!B$5)-D22)/(30*(set!B$5))*100,"")</f>
        <v/>
      </c>
      <c r="R22" s="117" t="str">
        <f aca="false" t="array" ref="R22:R22">IF(E22&lt;&gt;"",IF(O22&lt;1.85,"Выговор",IF(O22=1.85,"Выговор",IF(AND(O22&gt;1.85,O22&lt;3),"Предупреждение",IF(AND(O22&gt;3,O22&lt;4.65),"Нормально",IF(AND(O22&gt;4.65,O22&lt;5.1,E22:N22&gt;=4),"Благодарность","Нормально"))))),"")</f>
        <v/>
      </c>
      <c r="S22" s="118" t="n">
        <f aca="false">COUNTIF(E22:N22,2)+COUNTIF(E22:N22,1)+COUNTIF(E22:N22,0)</f>
        <v>0</v>
      </c>
    </row>
    <row r="23" s="45" customFormat="true" ht="15.75" hidden="false" customHeight="true" outlineLevel="0" collapsed="false">
      <c r="A23" s="37" t="n">
        <v>16</v>
      </c>
      <c r="B23" s="37" t="s">
        <v>1239</v>
      </c>
      <c r="C23" s="37" t="s">
        <v>1240</v>
      </c>
      <c r="D23" s="459"/>
      <c r="E23" s="460"/>
      <c r="F23" s="461"/>
      <c r="G23" s="461"/>
      <c r="H23" s="462"/>
      <c r="I23" s="463"/>
      <c r="J23" s="461"/>
      <c r="K23" s="461"/>
      <c r="L23" s="461"/>
      <c r="M23" s="461"/>
      <c r="N23" s="462"/>
      <c r="O23" s="422" t="str">
        <f aca="false">IFERROR(AVERAGE(E23:N23),"")</f>
        <v/>
      </c>
      <c r="P23" s="117" t="str">
        <f aca="false">IF(E23&lt;&gt;"",IF(COUNTIF(E23:N23,"&lt;3"),"Не успевает","Успевает"),"")</f>
        <v/>
      </c>
      <c r="Q23" s="250" t="str">
        <f aca="false">IF(D23&lt;&gt;"",(30*(set!B$5)-D23)/(30*(set!B$5))*100,"")</f>
        <v/>
      </c>
      <c r="R23" s="117" t="str">
        <f aca="false" t="array" ref="R23:R23">IF(E23&lt;&gt;"",IF(O23&lt;1.85,"Выговор",IF(O23=1.85,"Выговор",IF(AND(O23&gt;1.85,O23&lt;3),"Предупреждение",IF(AND(O23&gt;3,O23&lt;4.65),"Нормально",IF(AND(O23&gt;4.65,O23&lt;5.1,E23:N23&gt;=4),"Благодарность","Нормально"))))),"")</f>
        <v/>
      </c>
      <c r="S23" s="118" t="n">
        <f aca="false">COUNTIF(E23:N23,2)+COUNTIF(E23:N23,1)+COUNTIF(E23:N23,0)</f>
        <v>0</v>
      </c>
    </row>
    <row r="24" s="45" customFormat="true" ht="15.75" hidden="false" customHeight="true" outlineLevel="0" collapsed="false">
      <c r="A24" s="37" t="n">
        <v>17</v>
      </c>
      <c r="B24" s="37" t="s">
        <v>1241</v>
      </c>
      <c r="C24" s="37" t="s">
        <v>1242</v>
      </c>
      <c r="D24" s="459"/>
      <c r="E24" s="460"/>
      <c r="F24" s="461"/>
      <c r="G24" s="461"/>
      <c r="H24" s="462"/>
      <c r="I24" s="463"/>
      <c r="J24" s="461"/>
      <c r="K24" s="461"/>
      <c r="L24" s="461"/>
      <c r="M24" s="461"/>
      <c r="N24" s="462"/>
      <c r="O24" s="422" t="str">
        <f aca="false">IFERROR(AVERAGE(E24:N24),"")</f>
        <v/>
      </c>
      <c r="P24" s="117" t="str">
        <f aca="false">IF(E24&lt;&gt;"",IF(COUNTIF(E24:N24,"&lt;3"),"Не успевает","Успевает"),"")</f>
        <v/>
      </c>
      <c r="Q24" s="250" t="str">
        <f aca="false">IF(D24&lt;&gt;"",(30*(set!B$5)-D24)/(30*(set!B$5))*100,"")</f>
        <v/>
      </c>
      <c r="R24" s="117" t="str">
        <f aca="false" t="array" ref="R24:R24">IF(E24&lt;&gt;"",IF(O24&lt;1.85,"Выговор",IF(O24=1.85,"Выговор",IF(AND(O24&gt;1.85,O24&lt;3),"Предупреждение",IF(AND(O24&gt;3,O24&lt;4.65),"Нормально",IF(AND(O24&gt;4.65,O24&lt;5.1,E24:N24&gt;=4),"Благодарность","Нормально"))))),"")</f>
        <v/>
      </c>
      <c r="S24" s="118" t="n">
        <f aca="false">COUNTIF(E24:N24,2)+COUNTIF(E24:N24,1)+COUNTIF(E24:N24,0)</f>
        <v>0</v>
      </c>
    </row>
    <row r="25" s="45" customFormat="true" ht="15.75" hidden="false" customHeight="true" outlineLevel="0" collapsed="false">
      <c r="A25" s="37" t="n">
        <v>19</v>
      </c>
      <c r="B25" s="37" t="s">
        <v>1243</v>
      </c>
      <c r="C25" s="37" t="s">
        <v>1244</v>
      </c>
      <c r="D25" s="459"/>
      <c r="E25" s="460"/>
      <c r="F25" s="461"/>
      <c r="G25" s="461"/>
      <c r="H25" s="462"/>
      <c r="I25" s="463"/>
      <c r="J25" s="461"/>
      <c r="K25" s="461"/>
      <c r="L25" s="461"/>
      <c r="M25" s="461"/>
      <c r="N25" s="462"/>
      <c r="O25" s="422" t="str">
        <f aca="false">IFERROR(AVERAGE(E25:N25),"")</f>
        <v/>
      </c>
      <c r="P25" s="117" t="str">
        <f aca="false">IF(E25&lt;&gt;"",IF(COUNTIF(E25:N25,"&lt;3"),"Не успевает","Успевает"),"")</f>
        <v/>
      </c>
      <c r="Q25" s="250" t="str">
        <f aca="false">IF(D25&lt;&gt;"",(30*(set!B$5)-D25)/(30*(set!B$5))*100,"")</f>
        <v/>
      </c>
      <c r="R25" s="117" t="str">
        <f aca="false" t="array" ref="R25:R25">IF(E25&lt;&gt;"",IF(O25&lt;1.85,"Выговор",IF(O25=1.85,"Выговор",IF(AND(O25&gt;1.85,O25&lt;3),"Предупреждение",IF(AND(O25&gt;3,O25&lt;4.65),"Нормально",IF(AND(O25&gt;4.65,O25&lt;5.1,E25:N25&gt;=4),"Благодарность","Нормально"))))),"")</f>
        <v/>
      </c>
      <c r="S25" s="118" t="n">
        <f aca="false">COUNTIF(E25:N25,2)+COUNTIF(E25:N25,1)+COUNTIF(E25:N25,0)</f>
        <v>0</v>
      </c>
    </row>
    <row r="26" customFormat="false" ht="15" hidden="false" customHeight="true" outlineLevel="0" collapsed="false">
      <c r="A26" s="37" t="n">
        <v>20</v>
      </c>
      <c r="B26" s="37" t="s">
        <v>1245</v>
      </c>
      <c r="C26" s="37" t="s">
        <v>1246</v>
      </c>
      <c r="D26" s="459"/>
      <c r="E26" s="460"/>
      <c r="F26" s="461"/>
      <c r="G26" s="461"/>
      <c r="H26" s="462"/>
      <c r="I26" s="463"/>
      <c r="J26" s="461"/>
      <c r="K26" s="461"/>
      <c r="L26" s="461"/>
      <c r="M26" s="461"/>
      <c r="N26" s="462"/>
      <c r="O26" s="422" t="str">
        <f aca="false">IFERROR(AVERAGE(E26:N26),"")</f>
        <v/>
      </c>
      <c r="P26" s="117" t="str">
        <f aca="false">IF(E26&lt;&gt;"",IF(COUNTIF(E26:N26,"&lt;3"),"Не успевает","Успевает"),"")</f>
        <v/>
      </c>
      <c r="Q26" s="250" t="str">
        <f aca="false">IF(D26&lt;&gt;"",(30*(set!B$5)-D26)/(30*(set!B$5))*100,"")</f>
        <v/>
      </c>
      <c r="R26" s="117" t="str">
        <f aca="false" t="array" ref="R26:R26">IF(E26&lt;&gt;"",IF(O26&lt;1.85,"Выговор",IF(O26=1.85,"Выговор",IF(AND(O26&gt;1.85,O26&lt;3),"Предупреждение",IF(AND(O26&gt;3,O26&lt;4.65),"Нормально",IF(AND(O26&gt;4.65,O26&lt;5.1,E26:N26&gt;=4),"Благодарность","Нормально"))))),"")</f>
        <v/>
      </c>
      <c r="S26" s="118" t="n">
        <f aca="false">COUNTIF(E26:N26,2)+COUNTIF(E26:N26,1)+COUNTIF(E26:N26,0)</f>
        <v>0</v>
      </c>
    </row>
    <row r="27" customFormat="false" ht="15.75" hidden="false" customHeight="true" outlineLevel="0" collapsed="false">
      <c r="A27" s="466" t="s">
        <v>77</v>
      </c>
      <c r="B27" s="466"/>
      <c r="C27" s="466"/>
      <c r="E27" s="210" t="e">
        <f aca="false">AVERAGE(E8:E26)</f>
        <v>#DIV/0!</v>
      </c>
      <c r="F27" s="210" t="e">
        <f aca="false">AVERAGE(F8:F26)</f>
        <v>#DIV/0!</v>
      </c>
      <c r="G27" s="210" t="e">
        <f aca="false">AVERAGE(G8:G26)</f>
        <v>#DIV/0!</v>
      </c>
      <c r="H27" s="210" t="e">
        <f aca="false">AVERAGE(H8:H26)</f>
        <v>#DIV/0!</v>
      </c>
      <c r="I27" s="210" t="e">
        <f aca="false">AVERAGE(I8:I26)</f>
        <v>#DIV/0!</v>
      </c>
      <c r="J27" s="210" t="e">
        <f aca="false">AVERAGE(J8:J26)</f>
        <v>#DIV/0!</v>
      </c>
      <c r="K27" s="210" t="e">
        <f aca="false">AVERAGE(K8:K26)</f>
        <v>#DIV/0!</v>
      </c>
      <c r="L27" s="210" t="e">
        <f aca="false">AVERAGE(L8:L26)</f>
        <v>#DIV/0!</v>
      </c>
      <c r="M27" s="210" t="e">
        <f aca="false">AVERAGE(M8:M26)</f>
        <v>#DIV/0!</v>
      </c>
      <c r="N27" s="210" t="e">
        <f aca="false">AVERAGE(N8:N26)</f>
        <v>#DIV/0!</v>
      </c>
      <c r="O27" s="47"/>
    </row>
    <row r="28" customFormat="false" ht="15.75" hidden="false" customHeight="true" outlineLevel="0" collapsed="false">
      <c r="A28" s="5" t="s">
        <v>78</v>
      </c>
      <c r="B28" s="5"/>
      <c r="C28" s="5"/>
      <c r="E28" s="448" t="e">
        <f aca="false">(COUNTIF(E8:E26,5)+COUNTIF(E8:E26,4)+COUNTIF(E8:E26,3))/$Q$34*100</f>
        <v>#DIV/0!</v>
      </c>
      <c r="F28" s="448" t="e">
        <f aca="false">(COUNTIF(F8:F26,5)+COUNTIF(F8:F26,4)+COUNTIF(F8:F26,3))/$Q$34*100</f>
        <v>#DIV/0!</v>
      </c>
      <c r="G28" s="448" t="e">
        <f aca="false">(COUNTIF(G8:G26,5)+COUNTIF(G8:G26,4)+COUNTIF(G8:G26,3))/$Q$34*100</f>
        <v>#DIV/0!</v>
      </c>
      <c r="H28" s="448" t="e">
        <f aca="false">(COUNTIF(H8:H26,5)+COUNTIF(H8:H26,4)+COUNTIF(H8:H26,3))/$Q$34*100</f>
        <v>#DIV/0!</v>
      </c>
      <c r="I28" s="448" t="e">
        <f aca="false">(COUNTIF(I8:I26,5)+COUNTIF(I8:I26,4)+COUNTIF(I8:I26,3))/$Q$34*100</f>
        <v>#DIV/0!</v>
      </c>
      <c r="J28" s="448" t="e">
        <f aca="false">(COUNTIF(J8:J26,5)+COUNTIF(J8:J26,4)+COUNTIF(J8:J26,3))/$Q$34*100</f>
        <v>#DIV/0!</v>
      </c>
      <c r="K28" s="448" t="e">
        <f aca="false">(COUNTIF(K8:K26,5)+COUNTIF(K8:K26,4)+COUNTIF(K8:K26,3))/$Q$34*100</f>
        <v>#DIV/0!</v>
      </c>
      <c r="L28" s="448" t="e">
        <f aca="false">(COUNTIF(L8:L26,5)+COUNTIF(L8:L26,4)+COUNTIF(L8:L26,3))/$Q$34*100</f>
        <v>#DIV/0!</v>
      </c>
      <c r="M28" s="448" t="e">
        <f aca="false">(COUNTIF(M8:M26,5)+COUNTIF(M8:M26,4)+COUNTIF(M8:M26,3))/$Q$34*100</f>
        <v>#DIV/0!</v>
      </c>
      <c r="N28" s="448" t="e">
        <f aca="false">(COUNTIF(N8:N26,5)+COUNTIF(N8:N26,4)+COUNTIF(N8:N26,3))/$Q$34*100</f>
        <v>#DIV/0!</v>
      </c>
    </row>
    <row r="29" customFormat="false" ht="15.75" hidden="false" customHeight="true" outlineLevel="0" collapsed="false"/>
    <row r="30" customFormat="false" ht="15.75" hidden="false" customHeight="true" outlineLevel="0" collapsed="false">
      <c r="S30" s="48"/>
    </row>
    <row r="31" customFormat="false" ht="15.75" hidden="false" customHeight="true" outlineLevel="0" collapsed="false"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</row>
    <row r="32" customFormat="false" ht="15.75" hidden="false" customHeight="true" outlineLevel="0" collapsed="false">
      <c r="B32" s="197" t="s">
        <v>8</v>
      </c>
      <c r="C32" s="197"/>
      <c r="D32" s="51" t="str">
        <f aca="false">IFERROR(AVERAGE(O8:O26),"")</f>
        <v/>
      </c>
      <c r="E32" s="52" t="s">
        <v>9</v>
      </c>
      <c r="F32" s="52"/>
      <c r="G32" s="53" t="str">
        <f aca="false">IFERROR(COUNTIF(P8:P26,"Успевает")/Q34*100,"")</f>
        <v/>
      </c>
      <c r="H32" s="54" t="s">
        <v>79</v>
      </c>
      <c r="I32" s="54"/>
      <c r="J32" s="55" t="str">
        <f aca="false">IFERROR(AVERAGE(Q8:Q26),"")</f>
        <v/>
      </c>
      <c r="K32" s="52"/>
      <c r="L32" s="52"/>
      <c r="M32" s="52"/>
      <c r="N32" s="52"/>
      <c r="R32" s="183"/>
      <c r="S32" s="183"/>
    </row>
    <row r="33" customFormat="false" ht="15.75" hidden="false" customHeight="true" outlineLevel="0" collapsed="false">
      <c r="B33" s="50"/>
      <c r="C33" s="50"/>
      <c r="D33" s="50"/>
      <c r="E33" s="56"/>
      <c r="F33" s="56"/>
      <c r="G33" s="56"/>
      <c r="H33" s="56"/>
      <c r="I33" s="56"/>
      <c r="J33" s="56"/>
      <c r="K33" s="56"/>
      <c r="L33" s="56"/>
      <c r="M33" s="56"/>
      <c r="N33" s="56"/>
      <c r="R33" s="64"/>
      <c r="S33" s="64"/>
    </row>
    <row r="34" customFormat="false" ht="15.75" hidden="false" customHeight="true" outlineLevel="0" collapsed="false">
      <c r="B34" s="61" t="s">
        <v>81</v>
      </c>
      <c r="C34" s="61"/>
      <c r="D34" s="61"/>
      <c r="E34" s="61"/>
      <c r="F34" s="61"/>
      <c r="G34" s="61"/>
      <c r="H34" s="61"/>
      <c r="I34" s="61"/>
      <c r="J34" s="347" t="s">
        <v>82</v>
      </c>
      <c r="K34" s="347"/>
      <c r="L34" s="347"/>
      <c r="M34" s="96"/>
      <c r="N34" s="138"/>
      <c r="O34" s="57" t="s">
        <v>80</v>
      </c>
      <c r="P34" s="57"/>
      <c r="Q34" s="58" t="n">
        <f aca="false">SUM(Q35,Q36)</f>
        <v>0</v>
      </c>
      <c r="R34" s="99"/>
      <c r="S34" s="69"/>
    </row>
    <row r="35" customFormat="false" ht="15.75" hidden="false" customHeight="true" outlineLevel="0" collapsed="false">
      <c r="B35" s="65" t="str">
        <f aca="false">$E$6</f>
        <v> Основы конструирования приборов</v>
      </c>
      <c r="C35" s="65"/>
      <c r="D35" s="65"/>
      <c r="E35" s="65"/>
      <c r="F35" s="65"/>
      <c r="G35" s="65"/>
      <c r="H35" s="65"/>
      <c r="I35" s="65"/>
      <c r="J35" s="294"/>
      <c r="K35" s="294"/>
      <c r="L35" s="294"/>
      <c r="M35" s="97"/>
      <c r="N35" s="139"/>
      <c r="O35" s="57" t="s">
        <v>83</v>
      </c>
      <c r="P35" s="57"/>
      <c r="Q35" s="58" t="n">
        <f aca="false">COUNTIF(P8:P26,"Успевает")</f>
        <v>0</v>
      </c>
      <c r="R35" s="64"/>
      <c r="S35" s="64"/>
    </row>
    <row r="36" customFormat="false" ht="15.75" hidden="false" customHeight="true" outlineLevel="0" collapsed="false">
      <c r="B36" s="65" t="str">
        <f aca="false">$F$6</f>
        <v> Программирование и основы алгоритмизации</v>
      </c>
      <c r="C36" s="65"/>
      <c r="D36" s="65"/>
      <c r="E36" s="65"/>
      <c r="F36" s="65"/>
      <c r="G36" s="65"/>
      <c r="H36" s="65"/>
      <c r="I36" s="65"/>
      <c r="J36" s="294"/>
      <c r="K36" s="294"/>
      <c r="L36" s="294"/>
      <c r="M36" s="97"/>
      <c r="N36" s="139"/>
      <c r="O36" s="98" t="s">
        <v>84</v>
      </c>
      <c r="P36" s="98"/>
      <c r="Q36" s="58" t="n">
        <f aca="false">COUNTIF(P8:P26,"Не успевает")</f>
        <v>0</v>
      </c>
      <c r="R36" s="48"/>
      <c r="S36" s="48"/>
    </row>
    <row r="37" customFormat="false" ht="15.75" hidden="false" customHeight="true" outlineLevel="0" collapsed="false">
      <c r="B37" s="65" t="str">
        <f aca="false">$G$6</f>
        <v> Управление электрическими машинами</v>
      </c>
      <c r="C37" s="65"/>
      <c r="D37" s="65"/>
      <c r="E37" s="65"/>
      <c r="F37" s="65"/>
      <c r="G37" s="65"/>
      <c r="H37" s="65"/>
      <c r="I37" s="65"/>
      <c r="J37" s="294"/>
      <c r="K37" s="294"/>
      <c r="L37" s="294"/>
      <c r="M37" s="97"/>
      <c r="N37" s="139"/>
      <c r="O37" s="98" t="s">
        <v>85</v>
      </c>
      <c r="P37" s="98"/>
      <c r="Q37" s="58" t="n">
        <f aca="false">COUNTIF(R8:R26,"Благодарность")</f>
        <v>0</v>
      </c>
      <c r="R37" s="48"/>
      <c r="S37" s="48"/>
    </row>
    <row r="38" customFormat="false" ht="15.75" hidden="false" customHeight="true" outlineLevel="0" collapsed="false">
      <c r="B38" s="65" t="str">
        <f aca="false">$H$6</f>
        <v> Физика</v>
      </c>
      <c r="C38" s="65"/>
      <c r="D38" s="65"/>
      <c r="E38" s="65"/>
      <c r="F38" s="65"/>
      <c r="G38" s="65"/>
      <c r="H38" s="65"/>
      <c r="I38" s="65"/>
      <c r="J38" s="294"/>
      <c r="K38" s="294"/>
      <c r="L38" s="294"/>
      <c r="M38" s="97"/>
      <c r="N38" s="139"/>
      <c r="O38" s="98" t="s">
        <v>86</v>
      </c>
      <c r="P38" s="98"/>
      <c r="Q38" s="58" t="n">
        <f aca="false">COUNTIF(R8:R26,"Нормально")</f>
        <v>0</v>
      </c>
      <c r="R38" s="48"/>
      <c r="S38" s="48"/>
    </row>
    <row r="39" customFormat="false" ht="15.75" hidden="false" customHeight="true" outlineLevel="0" collapsed="false">
      <c r="B39" s="65" t="str">
        <f aca="false">$I$6</f>
        <v> Дискретная математика </v>
      </c>
      <c r="C39" s="65"/>
      <c r="D39" s="65"/>
      <c r="E39" s="65"/>
      <c r="F39" s="65"/>
      <c r="G39" s="65"/>
      <c r="H39" s="65"/>
      <c r="I39" s="65"/>
      <c r="J39" s="294"/>
      <c r="K39" s="294"/>
      <c r="L39" s="294"/>
      <c r="M39" s="97"/>
      <c r="N39" s="139"/>
      <c r="O39" s="98" t="s">
        <v>87</v>
      </c>
      <c r="P39" s="98"/>
      <c r="Q39" s="58" t="n">
        <f aca="false">COUNTIF(R8:R26,"Предупреждение")</f>
        <v>0</v>
      </c>
      <c r="R39" s="48"/>
      <c r="S39" s="48"/>
    </row>
    <row r="40" customFormat="false" ht="15.75" hidden="false" customHeight="true" outlineLevel="0" collapsed="false">
      <c r="B40" s="65" t="str">
        <f aca="false">$J$6</f>
        <v>Иностранный язык</v>
      </c>
      <c r="C40" s="65"/>
      <c r="D40" s="65"/>
      <c r="E40" s="65"/>
      <c r="F40" s="65"/>
      <c r="G40" s="65"/>
      <c r="H40" s="65"/>
      <c r="I40" s="65"/>
      <c r="J40" s="294"/>
      <c r="K40" s="294"/>
      <c r="L40" s="294"/>
      <c r="M40" s="97"/>
      <c r="N40" s="139"/>
      <c r="O40" s="98" t="s">
        <v>88</v>
      </c>
      <c r="P40" s="98"/>
      <c r="Q40" s="58" t="n">
        <f aca="false">COUNTIF(R8:R26,"Выговор")</f>
        <v>0</v>
      </c>
      <c r="R40" s="48"/>
      <c r="S40" s="48"/>
    </row>
    <row r="41" customFormat="false" ht="15.75" hidden="false" customHeight="true" outlineLevel="0" collapsed="false">
      <c r="B41" s="65" t="str">
        <f aca="false">$K$6</f>
        <v> Компьютерная графика </v>
      </c>
      <c r="C41" s="65"/>
      <c r="D41" s="65"/>
      <c r="E41" s="65"/>
      <c r="F41" s="65"/>
      <c r="G41" s="65"/>
      <c r="H41" s="65"/>
      <c r="I41" s="65"/>
      <c r="J41" s="294"/>
      <c r="K41" s="294"/>
      <c r="L41" s="294"/>
      <c r="M41" s="97"/>
      <c r="N41" s="139"/>
      <c r="O41" s="442" t="s">
        <v>12</v>
      </c>
      <c r="P41" s="380"/>
      <c r="Q41" s="143" t="n">
        <f aca="false">SUM(S8:S26)</f>
        <v>0</v>
      </c>
      <c r="R41" s="48"/>
      <c r="S41" s="48"/>
    </row>
    <row r="42" customFormat="false" ht="15.75" hidden="false" customHeight="true" outlineLevel="0" collapsed="false">
      <c r="B42" s="65" t="str">
        <f aca="false">$L$6</f>
        <v> Философия</v>
      </c>
      <c r="C42" s="65"/>
      <c r="D42" s="65"/>
      <c r="E42" s="65"/>
      <c r="F42" s="65"/>
      <c r="G42" s="65"/>
      <c r="H42" s="65"/>
      <c r="I42" s="65"/>
      <c r="J42" s="294"/>
      <c r="K42" s="294"/>
      <c r="L42" s="294"/>
      <c r="M42" s="97"/>
      <c r="N42" s="139"/>
      <c r="O42" s="67"/>
      <c r="P42" s="67"/>
      <c r="Q42" s="48"/>
      <c r="R42" s="48"/>
      <c r="S42" s="48"/>
    </row>
    <row r="43" customFormat="false" ht="15.75" hidden="false" customHeight="true" outlineLevel="0" collapsed="false">
      <c r="B43" s="65" t="str">
        <f aca="false">$M$6</f>
        <v> Язык программирования Си++ </v>
      </c>
      <c r="C43" s="65"/>
      <c r="D43" s="65"/>
      <c r="E43" s="65"/>
      <c r="F43" s="65"/>
      <c r="G43" s="65"/>
      <c r="H43" s="65"/>
      <c r="I43" s="65"/>
      <c r="J43" s="294"/>
      <c r="K43" s="294"/>
      <c r="L43" s="294"/>
      <c r="M43" s="97"/>
      <c r="N43" s="139"/>
      <c r="O43" s="67"/>
      <c r="P43" s="67"/>
      <c r="Q43" s="48"/>
      <c r="R43" s="48"/>
      <c r="S43" s="48"/>
    </row>
    <row r="44" customFormat="false" ht="15.75" hidden="false" customHeight="true" outlineLevel="0" collapsed="false">
      <c r="B44" s="65" t="str">
        <f aca="false">$N$6</f>
        <v>Физическая культура и спорт</v>
      </c>
      <c r="C44" s="65"/>
      <c r="D44" s="65"/>
      <c r="E44" s="65"/>
      <c r="F44" s="65"/>
      <c r="G44" s="65"/>
      <c r="H44" s="65"/>
      <c r="I44" s="65"/>
      <c r="J44" s="294"/>
      <c r="K44" s="294"/>
      <c r="L44" s="294"/>
      <c r="M44" s="97"/>
      <c r="N44" s="139"/>
      <c r="O44" s="67"/>
      <c r="P44" s="67"/>
      <c r="Q44" s="48"/>
      <c r="R44" s="48"/>
      <c r="S44" s="48"/>
    </row>
    <row r="45" customFormat="false" ht="15" hidden="false" customHeight="false" outlineLevel="0" collapsed="false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48"/>
      <c r="P45" s="48"/>
      <c r="Q45" s="48"/>
      <c r="R45" s="48"/>
      <c r="S45" s="48"/>
    </row>
    <row r="46" customFormat="false" ht="15.75" hidden="false" customHeight="true" outlineLevel="0" collapsed="false">
      <c r="B46" s="428" t="s">
        <v>405</v>
      </c>
      <c r="C46" s="467" t="s">
        <v>1247</v>
      </c>
      <c r="D46" s="467"/>
      <c r="E46" s="467"/>
      <c r="F46" s="52" t="s">
        <v>407</v>
      </c>
      <c r="G46" s="300" t="s">
        <v>1248</v>
      </c>
      <c r="H46" s="52"/>
      <c r="I46" s="52"/>
      <c r="J46" s="52"/>
      <c r="K46" s="52"/>
      <c r="L46" s="52"/>
      <c r="M46" s="52"/>
      <c r="N46" s="50"/>
      <c r="O46" s="48"/>
      <c r="P46" s="48"/>
      <c r="Q46" s="48"/>
      <c r="R46" s="48"/>
      <c r="S46" s="48"/>
    </row>
    <row r="47" customFormat="false" ht="15" hidden="false" customHeight="false" outlineLevel="0" collapsed="false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48"/>
      <c r="P47" s="48"/>
      <c r="Q47" s="48"/>
      <c r="R47" s="48"/>
      <c r="S47" s="48"/>
    </row>
    <row r="48" customFormat="false" ht="15" hidden="false" customHeight="false" outlineLevel="0" collapsed="false">
      <c r="B48" s="50" t="s">
        <v>93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O48" s="48"/>
      <c r="P48" s="48"/>
      <c r="Q48" s="48"/>
      <c r="R48" s="48"/>
      <c r="S48" s="48"/>
    </row>
    <row r="49" customFormat="false" ht="15" hidden="false" customHeight="false" outlineLevel="0" collapsed="false">
      <c r="B49" s="50" t="s">
        <v>94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O49" s="48"/>
      <c r="P49" s="48"/>
      <c r="Q49" s="48"/>
      <c r="R49" s="48"/>
      <c r="S49" s="48"/>
    </row>
    <row r="50" customFormat="false" ht="15" hidden="false" customHeight="false" outlineLevel="0" collapsed="false">
      <c r="B50" s="50" t="s">
        <v>95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O50" s="48"/>
      <c r="P50" s="48"/>
      <c r="Q50" s="48"/>
      <c r="R50" s="48"/>
      <c r="S50" s="48"/>
    </row>
    <row r="51" customFormat="false" ht="15" hidden="false" customHeight="false" outlineLevel="0" collapsed="false">
      <c r="B51" s="50" t="s">
        <v>96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O51" s="48"/>
      <c r="P51" s="48"/>
      <c r="Q51" s="48"/>
      <c r="R51" s="48"/>
      <c r="S51" s="48"/>
    </row>
    <row r="52" customFormat="false" ht="15" hidden="false" customHeight="false" outlineLevel="0" collapsed="false">
      <c r="B52" s="50" t="s">
        <v>97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O52" s="48"/>
      <c r="P52" s="48"/>
      <c r="Q52" s="48"/>
      <c r="R52" s="48"/>
      <c r="S52" s="48"/>
    </row>
    <row r="53" customFormat="false" ht="15" hidden="false" customHeight="false" outlineLevel="0" collapsed="false">
      <c r="B53" s="50" t="s">
        <v>98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O53" s="48"/>
      <c r="P53" s="48"/>
      <c r="Q53" s="48"/>
      <c r="R53" s="48"/>
      <c r="S53" s="48"/>
    </row>
    <row r="54" customFormat="false" ht="15" hidden="false" customHeight="false" outlineLevel="0" collapsed="false">
      <c r="B54" s="50" t="s">
        <v>99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O54" s="48"/>
      <c r="P54" s="48"/>
      <c r="Q54" s="48"/>
      <c r="R54" s="48"/>
      <c r="S54" s="48"/>
    </row>
  </sheetData>
  <mergeCells count="48">
    <mergeCell ref="E1:H1"/>
    <mergeCell ref="A3:S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A27:C27"/>
    <mergeCell ref="A28:C28"/>
    <mergeCell ref="B32:C32"/>
    <mergeCell ref="H32:I32"/>
    <mergeCell ref="R32:S32"/>
    <mergeCell ref="B34:I34"/>
    <mergeCell ref="J34:L34"/>
    <mergeCell ref="O34:P34"/>
    <mergeCell ref="B35:I35"/>
    <mergeCell ref="J35:L35"/>
    <mergeCell ref="O35:P35"/>
    <mergeCell ref="B36:I36"/>
    <mergeCell ref="J36:L36"/>
    <mergeCell ref="O36:P36"/>
    <mergeCell ref="B37:I37"/>
    <mergeCell ref="J37:L37"/>
    <mergeCell ref="O37:P37"/>
    <mergeCell ref="B38:I38"/>
    <mergeCell ref="J38:L38"/>
    <mergeCell ref="O38:P38"/>
    <mergeCell ref="B39:I39"/>
    <mergeCell ref="J39:L39"/>
    <mergeCell ref="O39:P39"/>
    <mergeCell ref="B40:I40"/>
    <mergeCell ref="J40:L40"/>
    <mergeCell ref="O40:P40"/>
    <mergeCell ref="B41:I41"/>
    <mergeCell ref="J41:L41"/>
    <mergeCell ref="B42:I42"/>
    <mergeCell ref="J42:L42"/>
    <mergeCell ref="B43:I43"/>
    <mergeCell ref="J43:L43"/>
    <mergeCell ref="B44:I44"/>
    <mergeCell ref="J44:L44"/>
    <mergeCell ref="C46:E46"/>
  </mergeCells>
  <conditionalFormatting sqref="L21:L2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1:K2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1:J25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1:I2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9:E25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2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2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2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2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 O27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4:L18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4:K18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4:J18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4:I18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18 E26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2:N12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7:N27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:N27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4:N18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N18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N12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N11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6:N26 F8:N18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6:N26 E8:N18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1:N25">
    <cfRule type="colorScale" priority="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N25">
    <cfRule type="colorScale" priority="2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9:N25">
    <cfRule type="colorScale" priority="2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9:N25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26">
    <cfRule type="colorScale" priority="3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55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A18" activeCellId="0" sqref="A18"/>
    </sheetView>
  </sheetViews>
  <sheetFormatPr defaultColWidth="8.71484375" defaultRowHeight="15" zeroHeight="false" outlineLevelRow="0" outlineLevelCol="0"/>
  <cols>
    <col collapsed="false" customWidth="true" hidden="false" outlineLevel="0" max="3" min="3" style="0" width="18"/>
    <col collapsed="false" customWidth="true" hidden="false" outlineLevel="0" max="4" min="4" style="0" width="10.14"/>
    <col collapsed="false" customWidth="true" hidden="false" outlineLevel="0" max="16" min="16" style="0" width="11.29"/>
    <col collapsed="false" customWidth="true" hidden="false" outlineLevel="0" max="18" min="18" style="0" width="10.71"/>
  </cols>
  <sheetData>
    <row r="1" customFormat="false" ht="19.7" hidden="false" customHeight="false" outlineLevel="0" collapsed="false">
      <c r="D1" s="216" t="s">
        <v>0</v>
      </c>
      <c r="E1" s="216"/>
      <c r="F1" s="216"/>
      <c r="G1" s="216"/>
      <c r="H1" s="216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 t="s">
        <v>1</v>
      </c>
      <c r="M2" s="72"/>
      <c r="N2" s="72"/>
      <c r="O2" s="72"/>
      <c r="P2" s="146" t="n">
        <f aca="false">set!B4</f>
        <v>45608</v>
      </c>
      <c r="Q2" s="72"/>
      <c r="R2" s="72"/>
      <c r="S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ИУК3-32Б факультета ИУК МГТУ им. Н.Э. Баумана"</f>
        <v>Успеваемость студентов за 1 семестр 24/25 учебного года по группе ИУК3-32Б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customFormat="false" ht="15" hidden="false" customHeight="false" outlineLevel="0" collapsed="false">
      <c r="B4" s="7"/>
      <c r="C4" s="7"/>
    </row>
    <row r="5" customFormat="false" ht="15.7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1"/>
      <c r="O5" s="468" t="s">
        <v>8</v>
      </c>
      <c r="P5" s="469" t="s">
        <v>9</v>
      </c>
      <c r="Q5" s="469" t="s">
        <v>10</v>
      </c>
      <c r="R5" s="417" t="s">
        <v>11</v>
      </c>
      <c r="S5" s="417" t="s">
        <v>12</v>
      </c>
    </row>
    <row r="6" customFormat="false" ht="127.5" hidden="false" customHeight="true" outlineLevel="0" collapsed="false">
      <c r="A6" s="8"/>
      <c r="B6" s="8"/>
      <c r="C6" s="8"/>
      <c r="D6" s="9"/>
      <c r="E6" s="339" t="s">
        <v>1203</v>
      </c>
      <c r="F6" s="340" t="s">
        <v>1204</v>
      </c>
      <c r="G6" s="340" t="s">
        <v>1205</v>
      </c>
      <c r="H6" s="342" t="s">
        <v>736</v>
      </c>
      <c r="I6" s="340" t="s">
        <v>168</v>
      </c>
      <c r="J6" s="340" t="s">
        <v>18</v>
      </c>
      <c r="K6" s="340" t="s">
        <v>1206</v>
      </c>
      <c r="L6" s="340" t="s">
        <v>170</v>
      </c>
      <c r="M6" s="340" t="s">
        <v>1207</v>
      </c>
      <c r="N6" s="342" t="s">
        <v>147</v>
      </c>
      <c r="O6" s="468"/>
      <c r="P6" s="468"/>
      <c r="Q6" s="468"/>
      <c r="R6" s="417"/>
      <c r="S6" s="417"/>
    </row>
    <row r="7" customFormat="false" ht="17.9" hidden="false" customHeight="false" outlineLevel="0" collapsed="false">
      <c r="A7" s="8"/>
      <c r="B7" s="8"/>
      <c r="C7" s="8"/>
      <c r="D7" s="9"/>
      <c r="E7" s="343" t="s">
        <v>171</v>
      </c>
      <c r="F7" s="344" t="s">
        <v>298</v>
      </c>
      <c r="G7" s="344" t="s">
        <v>298</v>
      </c>
      <c r="H7" s="346" t="s">
        <v>22</v>
      </c>
      <c r="I7" s="344" t="s">
        <v>173</v>
      </c>
      <c r="J7" s="344" t="s">
        <v>27</v>
      </c>
      <c r="K7" s="344" t="s">
        <v>28</v>
      </c>
      <c r="L7" s="344" t="s">
        <v>175</v>
      </c>
      <c r="M7" s="344" t="s">
        <v>1208</v>
      </c>
      <c r="N7" s="346" t="s">
        <v>176</v>
      </c>
      <c r="O7" s="468"/>
      <c r="P7" s="468"/>
      <c r="Q7" s="468"/>
      <c r="R7" s="417"/>
      <c r="S7" s="417"/>
    </row>
    <row r="8" customFormat="false" ht="15" hidden="false" customHeight="true" outlineLevel="0" collapsed="false">
      <c r="A8" s="77" t="n">
        <v>1</v>
      </c>
      <c r="B8" s="25" t="s">
        <v>1249</v>
      </c>
      <c r="C8" s="25" t="s">
        <v>1250</v>
      </c>
      <c r="D8" s="470"/>
      <c r="E8" s="180"/>
      <c r="F8" s="84"/>
      <c r="G8" s="84"/>
      <c r="H8" s="181"/>
      <c r="I8" s="471"/>
      <c r="J8" s="84"/>
      <c r="K8" s="84"/>
      <c r="L8" s="84"/>
      <c r="M8" s="84"/>
      <c r="N8" s="153"/>
      <c r="O8" s="154" t="str">
        <f aca="false">IFERROR(AVERAGE(E8:N8),"")</f>
        <v/>
      </c>
      <c r="P8" s="117" t="str">
        <f aca="false">IF(E8&lt;&gt;"",IF(COUNTIF(E8:N8,"&lt;3"),"Не успевает","Успевает"),"")</f>
        <v/>
      </c>
      <c r="Q8" s="250" t="str">
        <f aca="false">IF(D8&lt;&gt;"",(30*(set!B$5)-D8)/(30*(set!B$5))*100,"")</f>
        <v/>
      </c>
      <c r="R8" s="117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118" t="n">
        <f aca="false">COUNTIF(E8:N8,2)+COUNTIF(E8:N8,1)+COUNTIF(E8:N8,0)</f>
        <v>0</v>
      </c>
    </row>
    <row r="9" s="45" customFormat="true" ht="15" hidden="false" customHeight="true" outlineLevel="0" collapsed="false">
      <c r="A9" s="77" t="n">
        <v>2</v>
      </c>
      <c r="B9" s="37" t="s">
        <v>1251</v>
      </c>
      <c r="C9" s="37" t="s">
        <v>1252</v>
      </c>
      <c r="D9" s="470"/>
      <c r="E9" s="180"/>
      <c r="F9" s="84"/>
      <c r="G9" s="84"/>
      <c r="H9" s="181"/>
      <c r="I9" s="471"/>
      <c r="J9" s="84"/>
      <c r="K9" s="84"/>
      <c r="L9" s="84"/>
      <c r="M9" s="84"/>
      <c r="N9" s="181"/>
      <c r="O9" s="154" t="str">
        <f aca="false">IFERROR(AVERAGE(E9:N9),"")</f>
        <v/>
      </c>
      <c r="P9" s="117" t="str">
        <f aca="false">IF(E9&lt;&gt;"",IF(COUNTIF(E9:N9,"&lt;3"),"Не успевает","Успевает"),"")</f>
        <v/>
      </c>
      <c r="Q9" s="250" t="str">
        <f aca="false">IF(D9&lt;&gt;"",(30*(set!B$5)-D9)/(30*(set!B$5))*100,"")</f>
        <v/>
      </c>
      <c r="R9" s="11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77" t="n">
        <v>3</v>
      </c>
      <c r="B10" s="37" t="s">
        <v>1253</v>
      </c>
      <c r="C10" s="37" t="s">
        <v>1252</v>
      </c>
      <c r="D10" s="470"/>
      <c r="E10" s="150"/>
      <c r="F10" s="117"/>
      <c r="G10" s="117"/>
      <c r="H10" s="152"/>
      <c r="I10" s="472"/>
      <c r="J10" s="117"/>
      <c r="K10" s="117"/>
      <c r="L10" s="117"/>
      <c r="M10" s="117"/>
      <c r="N10" s="152"/>
      <c r="O10" s="154" t="str">
        <f aca="false">IFERROR(AVERAGE(E10:N10),"")</f>
        <v/>
      </c>
      <c r="P10" s="117" t="str">
        <f aca="false">IF(E10&lt;&gt;"",IF(COUNTIF(E10:N10,"&lt;3"),"Не успевает","Успевает"),"")</f>
        <v/>
      </c>
      <c r="Q10" s="250" t="str">
        <f aca="false">IF(D10&lt;&gt;"",(30*(set!B$5)-D10)/(30*(set!B$5))*100,"")</f>
        <v/>
      </c>
      <c r="R10" s="11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customFormat="false" ht="15" hidden="false" customHeight="true" outlineLevel="0" collapsed="false">
      <c r="A11" s="77" t="n">
        <v>4</v>
      </c>
      <c r="B11" s="37" t="s">
        <v>1254</v>
      </c>
      <c r="C11" s="37" t="s">
        <v>1255</v>
      </c>
      <c r="D11" s="470"/>
      <c r="E11" s="150"/>
      <c r="F11" s="117"/>
      <c r="G11" s="117"/>
      <c r="H11" s="152"/>
      <c r="I11" s="472"/>
      <c r="J11" s="117"/>
      <c r="K11" s="117"/>
      <c r="L11" s="117"/>
      <c r="M11" s="117"/>
      <c r="N11" s="152"/>
      <c r="O11" s="154" t="str">
        <f aca="false">IFERROR(AVERAGE(E11:N11),"")</f>
        <v/>
      </c>
      <c r="P11" s="117" t="str">
        <f aca="false">IF(E11&lt;&gt;"",IF(COUNTIF(E11:N11,"&lt;3"),"Не успевает","Успевает"),"")</f>
        <v/>
      </c>
      <c r="Q11" s="250" t="str">
        <f aca="false">IF(D11&lt;&gt;"",(30*(set!B$5)-D11)/(30*(set!B$5))*100,"")</f>
        <v/>
      </c>
      <c r="R11" s="11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customFormat="false" ht="15" hidden="false" customHeight="true" outlineLevel="0" collapsed="false">
      <c r="A12" s="77" t="n">
        <v>5</v>
      </c>
      <c r="B12" s="37" t="s">
        <v>1256</v>
      </c>
      <c r="C12" s="37" t="s">
        <v>1257</v>
      </c>
      <c r="D12" s="470"/>
      <c r="E12" s="150"/>
      <c r="F12" s="117"/>
      <c r="G12" s="117"/>
      <c r="H12" s="152"/>
      <c r="I12" s="472"/>
      <c r="J12" s="117"/>
      <c r="K12" s="117"/>
      <c r="L12" s="117"/>
      <c r="M12" s="117"/>
      <c r="N12" s="152"/>
      <c r="O12" s="154" t="str">
        <f aca="false">IFERROR(AVERAGE(E12:N12),"")</f>
        <v/>
      </c>
      <c r="P12" s="117" t="str">
        <f aca="false">IF(E12&lt;&gt;"",IF(COUNTIF(E12:N12,"&lt;3"),"Не успевает","Успевает"),"")</f>
        <v/>
      </c>
      <c r="Q12" s="250" t="str">
        <f aca="false">IF(D12&lt;&gt;"",(30*(set!B$5)-D12)/(30*(set!B$5))*100,"")</f>
        <v/>
      </c>
      <c r="R12" s="11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</row>
    <row r="13" customFormat="false" ht="15" hidden="false" customHeight="true" outlineLevel="0" collapsed="false">
      <c r="A13" s="77" t="n">
        <v>6</v>
      </c>
      <c r="B13" s="37" t="s">
        <v>1258</v>
      </c>
      <c r="C13" s="37" t="s">
        <v>1259</v>
      </c>
      <c r="D13" s="470"/>
      <c r="E13" s="150"/>
      <c r="F13" s="117"/>
      <c r="G13" s="117"/>
      <c r="H13" s="152"/>
      <c r="I13" s="472"/>
      <c r="J13" s="117"/>
      <c r="K13" s="117"/>
      <c r="L13" s="117"/>
      <c r="M13" s="117"/>
      <c r="N13" s="152"/>
      <c r="O13" s="154" t="str">
        <f aca="false">IFERROR(AVERAGE(E13:N13),"")</f>
        <v/>
      </c>
      <c r="P13" s="117" t="str">
        <f aca="false">IF(E13&lt;&gt;"",IF(COUNTIF(E13:N13,"&lt;3"),"Не успевает","Успевает"),"")</f>
        <v/>
      </c>
      <c r="Q13" s="250" t="str">
        <f aca="false">IF(D13&lt;&gt;"",(30*(set!B$5)-D13)/(30*(set!B$5))*100,"")</f>
        <v/>
      </c>
      <c r="R13" s="11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customFormat="false" ht="15" hidden="false" customHeight="true" outlineLevel="0" collapsed="false">
      <c r="A14" s="77" t="n">
        <v>7</v>
      </c>
      <c r="B14" s="37" t="s">
        <v>1260</v>
      </c>
      <c r="C14" s="37" t="s">
        <v>1261</v>
      </c>
      <c r="D14" s="470"/>
      <c r="E14" s="150"/>
      <c r="F14" s="117"/>
      <c r="G14" s="117"/>
      <c r="H14" s="152"/>
      <c r="I14" s="472"/>
      <c r="J14" s="117"/>
      <c r="K14" s="117"/>
      <c r="L14" s="117"/>
      <c r="M14" s="117"/>
      <c r="N14" s="152"/>
      <c r="O14" s="154" t="str">
        <f aca="false">IFERROR(AVERAGE(E14:N14),"")</f>
        <v/>
      </c>
      <c r="P14" s="117" t="str">
        <f aca="false">IF(E14&lt;&gt;"",IF(COUNTIF(E14:N14,"&lt;3"),"Не успевает","Успевает"),"")</f>
        <v/>
      </c>
      <c r="Q14" s="250" t="str">
        <f aca="false">IF(D14&lt;&gt;"",(30*(set!B$5)-D14)/(30*(set!B$5))*100,"")</f>
        <v/>
      </c>
      <c r="R14" s="117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</row>
    <row r="15" customFormat="false" ht="15" hidden="false" customHeight="true" outlineLevel="0" collapsed="false">
      <c r="A15" s="77" t="n">
        <v>8</v>
      </c>
      <c r="B15" s="37" t="s">
        <v>1262</v>
      </c>
      <c r="C15" s="37" t="s">
        <v>1263</v>
      </c>
      <c r="D15" s="470"/>
      <c r="E15" s="150"/>
      <c r="F15" s="117"/>
      <c r="G15" s="117"/>
      <c r="H15" s="152"/>
      <c r="I15" s="472"/>
      <c r="J15" s="117"/>
      <c r="K15" s="117"/>
      <c r="L15" s="117"/>
      <c r="M15" s="117"/>
      <c r="N15" s="152"/>
      <c r="O15" s="154" t="str">
        <f aca="false">IFERROR(AVERAGE(E15:N15),"")</f>
        <v/>
      </c>
      <c r="P15" s="117" t="str">
        <f aca="false">IF(E15&lt;&gt;"",IF(COUNTIF(E15:N15,"&lt;3"),"Не успевает","Успевает"),"")</f>
        <v/>
      </c>
      <c r="Q15" s="250" t="str">
        <f aca="false">IF(D15&lt;&gt;"",(30*(set!B$5)-D15)/(30*(set!B$5))*100,"")</f>
        <v/>
      </c>
      <c r="R15" s="117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</row>
    <row r="16" customFormat="false" ht="15" hidden="false" customHeight="true" outlineLevel="0" collapsed="false">
      <c r="A16" s="77" t="n">
        <v>9</v>
      </c>
      <c r="B16" s="37" t="s">
        <v>1264</v>
      </c>
      <c r="C16" s="37" t="s">
        <v>1265</v>
      </c>
      <c r="D16" s="470"/>
      <c r="E16" s="150"/>
      <c r="F16" s="117"/>
      <c r="G16" s="117"/>
      <c r="H16" s="152"/>
      <c r="I16" s="472"/>
      <c r="J16" s="117"/>
      <c r="K16" s="117"/>
      <c r="L16" s="117"/>
      <c r="M16" s="117"/>
      <c r="N16" s="152"/>
      <c r="O16" s="154" t="str">
        <f aca="false">IFERROR(AVERAGE(E16:N16),"")</f>
        <v/>
      </c>
      <c r="P16" s="117" t="str">
        <f aca="false">IF(E16&lt;&gt;"",IF(COUNTIF(E16:N16,"&lt;3"),"Не успевает","Успевает"),"")</f>
        <v/>
      </c>
      <c r="Q16" s="250" t="str">
        <f aca="false">IF(D16&lt;&gt;"",(30*(set!B$5)-D16)/(30*(set!B$5))*100,"")</f>
        <v/>
      </c>
      <c r="R16" s="117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</row>
    <row r="17" customFormat="false" ht="15" hidden="false" customHeight="true" outlineLevel="0" collapsed="false">
      <c r="A17" s="77" t="n">
        <v>10</v>
      </c>
      <c r="B17" s="37" t="s">
        <v>1266</v>
      </c>
      <c r="C17" s="37" t="s">
        <v>1267</v>
      </c>
      <c r="D17" s="470"/>
      <c r="E17" s="150"/>
      <c r="F17" s="117"/>
      <c r="G17" s="117"/>
      <c r="H17" s="152"/>
      <c r="I17" s="472"/>
      <c r="J17" s="117"/>
      <c r="K17" s="117"/>
      <c r="L17" s="117"/>
      <c r="M17" s="117"/>
      <c r="N17" s="152"/>
      <c r="O17" s="154" t="str">
        <f aca="false">IFERROR(AVERAGE(E17:N17),"")</f>
        <v/>
      </c>
      <c r="P17" s="117" t="str">
        <f aca="false">IF(E17&lt;&gt;"",IF(COUNTIF(E17:N17,"&lt;3"),"Не успевает","Успевает"),"")</f>
        <v/>
      </c>
      <c r="Q17" s="250" t="str">
        <f aca="false">IF(D17&lt;&gt;"",(30*(set!B$5)-D17)/(30*(set!B$5))*100,"")</f>
        <v/>
      </c>
      <c r="R17" s="117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</row>
    <row r="18" customFormat="false" ht="15" hidden="false" customHeight="true" outlineLevel="0" collapsed="false">
      <c r="A18" s="77" t="n">
        <v>11</v>
      </c>
      <c r="B18" s="37" t="s">
        <v>1268</v>
      </c>
      <c r="C18" s="37" t="s">
        <v>1269</v>
      </c>
      <c r="D18" s="470"/>
      <c r="E18" s="150"/>
      <c r="F18" s="117"/>
      <c r="G18" s="117"/>
      <c r="H18" s="152"/>
      <c r="I18" s="472"/>
      <c r="J18" s="117"/>
      <c r="K18" s="117"/>
      <c r="L18" s="117"/>
      <c r="M18" s="117"/>
      <c r="N18" s="152"/>
      <c r="O18" s="154" t="str">
        <f aca="false">IFERROR(AVERAGE(E18:N18),"")</f>
        <v/>
      </c>
      <c r="P18" s="117" t="str">
        <f aca="false">IF(E18&lt;&gt;"",IF(COUNTIF(E18:N18,"&lt;3"),"Не успевает","Успевает"),"")</f>
        <v/>
      </c>
      <c r="Q18" s="250" t="str">
        <f aca="false">IF(D18&lt;&gt;"",(30*(set!B$5)-D18)/(30*(set!B$5))*100,"")</f>
        <v/>
      </c>
      <c r="R18" s="117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</row>
    <row r="19" customFormat="false" ht="15" hidden="false" customHeight="true" outlineLevel="0" collapsed="false">
      <c r="A19" s="77" t="n">
        <v>12</v>
      </c>
      <c r="B19" s="37" t="s">
        <v>1270</v>
      </c>
      <c r="C19" s="37" t="s">
        <v>1271</v>
      </c>
      <c r="D19" s="470"/>
      <c r="E19" s="150"/>
      <c r="F19" s="117"/>
      <c r="G19" s="117"/>
      <c r="H19" s="152"/>
      <c r="I19" s="472"/>
      <c r="J19" s="117"/>
      <c r="K19" s="117"/>
      <c r="L19" s="117"/>
      <c r="M19" s="117"/>
      <c r="N19" s="152"/>
      <c r="O19" s="154" t="str">
        <f aca="false">IFERROR(AVERAGE(E19:N19),"")</f>
        <v/>
      </c>
      <c r="P19" s="117" t="str">
        <f aca="false">IF(E19&lt;&gt;"",IF(COUNTIF(E19:N19,"&lt;3"),"Не успевает","Успевает"),"")</f>
        <v/>
      </c>
      <c r="Q19" s="250" t="str">
        <f aca="false">IF(D19&lt;&gt;"",(30*(set!B$5)-D19)/(30*(set!B$5))*100,"")</f>
        <v/>
      </c>
      <c r="R19" s="117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</row>
    <row r="20" customFormat="false" ht="15" hidden="false" customHeight="true" outlineLevel="0" collapsed="false">
      <c r="A20" s="77" t="n">
        <v>13</v>
      </c>
      <c r="B20" s="37" t="s">
        <v>1272</v>
      </c>
      <c r="C20" s="37" t="s">
        <v>1273</v>
      </c>
      <c r="D20" s="470"/>
      <c r="E20" s="150"/>
      <c r="F20" s="117"/>
      <c r="G20" s="117"/>
      <c r="H20" s="152"/>
      <c r="I20" s="472"/>
      <c r="J20" s="117"/>
      <c r="K20" s="117"/>
      <c r="L20" s="117"/>
      <c r="M20" s="117"/>
      <c r="N20" s="152"/>
      <c r="O20" s="154" t="str">
        <f aca="false">IFERROR(AVERAGE(E20:N20),"")</f>
        <v/>
      </c>
      <c r="P20" s="117" t="str">
        <f aca="false">IF(E20&lt;&gt;"",IF(COUNTIF(E20:N20,"&lt;3"),"Не успевает","Успевает"),"")</f>
        <v/>
      </c>
      <c r="Q20" s="250" t="str">
        <f aca="false">IF(D20&lt;&gt;"",(30*(set!B$5)-D20)/(30*(set!B$5))*100,"")</f>
        <v/>
      </c>
      <c r="R20" s="117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118" t="n">
        <f aca="false">COUNTIF(E20:N20,2)+COUNTIF(E20:N20,1)+COUNTIF(E20:N20,0)</f>
        <v>0</v>
      </c>
    </row>
    <row r="21" s="45" customFormat="true" ht="15" hidden="false" customHeight="true" outlineLevel="0" collapsed="false">
      <c r="A21" s="77" t="n">
        <v>14</v>
      </c>
      <c r="B21" s="37" t="s">
        <v>1274</v>
      </c>
      <c r="C21" s="37" t="s">
        <v>1275</v>
      </c>
      <c r="D21" s="470"/>
      <c r="E21" s="150"/>
      <c r="F21" s="117"/>
      <c r="G21" s="117"/>
      <c r="H21" s="152"/>
      <c r="I21" s="472"/>
      <c r="J21" s="117"/>
      <c r="K21" s="117"/>
      <c r="L21" s="117"/>
      <c r="M21" s="117"/>
      <c r="N21" s="152"/>
      <c r="O21" s="154" t="str">
        <f aca="false">IFERROR(AVERAGE(E21:N21),"")</f>
        <v/>
      </c>
      <c r="P21" s="117" t="str">
        <f aca="false">IF(E21&lt;&gt;"",IF(COUNTIF(E21:N21,"&lt;3"),"Не успевает","Успевает"),"")</f>
        <v/>
      </c>
      <c r="Q21" s="250" t="str">
        <f aca="false">IF(D21&lt;&gt;"",(30*(set!B$5)-D21)/(30*(set!B$5))*100,"")</f>
        <v/>
      </c>
      <c r="R21" s="117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118" t="n">
        <f aca="false">COUNTIF(E21:N21,2)+COUNTIF(E21:N21,1)+COUNTIF(E21:N21,0)</f>
        <v>0</v>
      </c>
    </row>
    <row r="22" s="45" customFormat="true" ht="15" hidden="false" customHeight="true" outlineLevel="0" collapsed="false">
      <c r="A22" s="77" t="n">
        <v>15</v>
      </c>
      <c r="B22" s="37" t="s">
        <v>1276</v>
      </c>
      <c r="C22" s="37" t="s">
        <v>1277</v>
      </c>
      <c r="D22" s="470"/>
      <c r="E22" s="150"/>
      <c r="F22" s="117"/>
      <c r="G22" s="117"/>
      <c r="H22" s="152"/>
      <c r="I22" s="472"/>
      <c r="J22" s="117"/>
      <c r="K22" s="117"/>
      <c r="L22" s="117"/>
      <c r="M22" s="117"/>
      <c r="N22" s="152"/>
      <c r="O22" s="154" t="str">
        <f aca="false">IFERROR(AVERAGE(E22:N22),"")</f>
        <v/>
      </c>
      <c r="P22" s="117" t="str">
        <f aca="false">IF(E22&lt;&gt;"",IF(COUNTIF(E22:N22,"&lt;3"),"Не успевает","Успевает"),"")</f>
        <v/>
      </c>
      <c r="Q22" s="250" t="str">
        <f aca="false">IF(D22&lt;&gt;"",(30*(set!B$5)-D22)/(30*(set!B$5))*100,"")</f>
        <v/>
      </c>
      <c r="R22" s="117" t="str">
        <f aca="false" t="array" ref="R22:R22">IF(E22&lt;&gt;"",IF(O22&lt;1.85,"Выговор",IF(O22=1.85,"Выговор",IF(AND(O22&gt;1.85,O22&lt;3),"Предупреждение",IF(AND(O22&gt;3,O22&lt;4.65),"Нормально",IF(AND(O22&gt;4.65,O22&lt;5.1,E22:N22&gt;=4),"Благодарность","Нормально"))))),"")</f>
        <v/>
      </c>
      <c r="S22" s="118" t="n">
        <f aca="false">COUNTIF(E22:N22,2)+COUNTIF(E22:N22,1)+COUNTIF(E22:N22,0)</f>
        <v>0</v>
      </c>
    </row>
    <row r="23" s="45" customFormat="true" ht="15" hidden="false" customHeight="true" outlineLevel="0" collapsed="false">
      <c r="A23" s="77" t="n">
        <v>16</v>
      </c>
      <c r="B23" s="37" t="s">
        <v>1278</v>
      </c>
      <c r="C23" s="37" t="s">
        <v>1279</v>
      </c>
      <c r="D23" s="470"/>
      <c r="E23" s="150"/>
      <c r="F23" s="117"/>
      <c r="G23" s="117"/>
      <c r="H23" s="152"/>
      <c r="I23" s="472"/>
      <c r="J23" s="117"/>
      <c r="K23" s="117"/>
      <c r="L23" s="117"/>
      <c r="M23" s="117"/>
      <c r="N23" s="152"/>
      <c r="O23" s="154" t="str">
        <f aca="false">IFERROR(AVERAGE(E23:N23),"")</f>
        <v/>
      </c>
      <c r="P23" s="117" t="str">
        <f aca="false">IF(E23&lt;&gt;"",IF(COUNTIF(E23:N23,"&lt;3"),"Не успевает","Успевает"),"")</f>
        <v/>
      </c>
      <c r="Q23" s="250" t="str">
        <f aca="false">IF(D23&lt;&gt;"",(30*(set!B$5)-D23)/(30*(set!B$5))*100,"")</f>
        <v/>
      </c>
      <c r="R23" s="117" t="str">
        <f aca="false" t="array" ref="R23:R23">IF(E23&lt;&gt;"",IF(O23&lt;1.85,"Выговор",IF(O23=1.85,"Выговор",IF(AND(O23&gt;1.85,O23&lt;3),"Предупреждение",IF(AND(O23&gt;3,O23&lt;4.65),"Нормально",IF(AND(O23&gt;4.65,O23&lt;5.1,E23:N23&gt;=4),"Благодарность","Нормально"))))),"")</f>
        <v/>
      </c>
      <c r="S23" s="118" t="n">
        <f aca="false">COUNTIF(E23:N23,2)+COUNTIF(E23:N23,1)+COUNTIF(E23:N23,0)</f>
        <v>0</v>
      </c>
    </row>
    <row r="24" s="45" customFormat="true" ht="15" hidden="false" customHeight="true" outlineLevel="0" collapsed="false">
      <c r="A24" s="77" t="n">
        <v>17</v>
      </c>
      <c r="B24" s="37" t="s">
        <v>1280</v>
      </c>
      <c r="C24" s="37" t="s">
        <v>1281</v>
      </c>
      <c r="D24" s="470"/>
      <c r="E24" s="150"/>
      <c r="F24" s="117"/>
      <c r="G24" s="117"/>
      <c r="H24" s="152"/>
      <c r="I24" s="472"/>
      <c r="J24" s="117"/>
      <c r="K24" s="117"/>
      <c r="L24" s="117"/>
      <c r="M24" s="117"/>
      <c r="N24" s="152"/>
      <c r="O24" s="154" t="str">
        <f aca="false">IFERROR(AVERAGE(E24:N24),"")</f>
        <v/>
      </c>
      <c r="P24" s="117" t="str">
        <f aca="false">IF(E24&lt;&gt;"",IF(COUNTIF(E24:N24,"&lt;3"),"Не успевает","Успевает"),"")</f>
        <v/>
      </c>
      <c r="Q24" s="250" t="str">
        <f aca="false">IF(D24&lt;&gt;"",(30*(set!B$5)-D24)/(30*(set!B$5))*100,"")</f>
        <v/>
      </c>
      <c r="R24" s="117" t="str">
        <f aca="false" t="array" ref="R24:R24">IF(E24&lt;&gt;"",IF(O24&lt;1.85,"Выговор",IF(O24=1.85,"Выговор",IF(AND(O24&gt;1.85,O24&lt;3),"Предупреждение",IF(AND(O24&gt;3,O24&lt;4.65),"Нормально",IF(AND(O24&gt;4.65,O24&lt;5.1,E24:N24&gt;=4),"Благодарность","Нормально"))))),"")</f>
        <v/>
      </c>
      <c r="S24" s="118" t="n">
        <f aca="false">COUNTIF(E24:N24,2)+COUNTIF(E24:N24,1)+COUNTIF(E24:N24,0)</f>
        <v>0</v>
      </c>
    </row>
    <row r="25" s="45" customFormat="true" ht="15" hidden="false" customHeight="true" outlineLevel="0" collapsed="false">
      <c r="A25" s="77" t="n">
        <v>18</v>
      </c>
      <c r="B25" s="37" t="s">
        <v>1282</v>
      </c>
      <c r="C25" s="37" t="s">
        <v>1283</v>
      </c>
      <c r="D25" s="470"/>
      <c r="E25" s="150"/>
      <c r="F25" s="117"/>
      <c r="G25" s="117"/>
      <c r="H25" s="152"/>
      <c r="I25" s="472"/>
      <c r="J25" s="117"/>
      <c r="K25" s="117"/>
      <c r="L25" s="117"/>
      <c r="M25" s="117"/>
      <c r="N25" s="152"/>
      <c r="O25" s="154" t="str">
        <f aca="false">IFERROR(AVERAGE(E25:N25),"")</f>
        <v/>
      </c>
      <c r="P25" s="117" t="str">
        <f aca="false">IF(E25&lt;&gt;"",IF(COUNTIF(E25:N25,"&lt;3"),"Не успевает","Успевает"),"")</f>
        <v/>
      </c>
      <c r="Q25" s="250" t="str">
        <f aca="false">IF(D25&lt;&gt;"",(30*(set!B$5)-D25)/(30*(set!B$5))*100,"")</f>
        <v/>
      </c>
      <c r="R25" s="117" t="str">
        <f aca="false" t="array" ref="R25:R25">IF(E25&lt;&gt;"",IF(O25&lt;1.85,"Выговор",IF(O25=1.85,"Выговор",IF(AND(O25&gt;1.85,O25&lt;3),"Предупреждение",IF(AND(O25&gt;3,O25&lt;4.65),"Нормально",IF(AND(O25&gt;4.65,O25&lt;5.1,E25:N25&gt;=4),"Благодарность","Нормально"))))),"")</f>
        <v/>
      </c>
      <c r="S25" s="118" t="n">
        <f aca="false">COUNTIF(E25:N25,2)+COUNTIF(E25:N25,1)+COUNTIF(E25:N25,0)</f>
        <v>0</v>
      </c>
    </row>
    <row r="26" customFormat="false" ht="15" hidden="false" customHeight="true" outlineLevel="0" collapsed="false">
      <c r="A26" s="77" t="n">
        <v>19</v>
      </c>
      <c r="B26" s="37" t="s">
        <v>1284</v>
      </c>
      <c r="C26" s="37" t="s">
        <v>1285</v>
      </c>
      <c r="D26" s="470"/>
      <c r="E26" s="150"/>
      <c r="F26" s="117"/>
      <c r="G26" s="117"/>
      <c r="H26" s="152"/>
      <c r="I26" s="472"/>
      <c r="J26" s="117"/>
      <c r="K26" s="117"/>
      <c r="L26" s="117"/>
      <c r="M26" s="117"/>
      <c r="N26" s="152"/>
      <c r="O26" s="154" t="str">
        <f aca="false">IFERROR(AVERAGE(E26:N26),"")</f>
        <v/>
      </c>
      <c r="P26" s="117" t="str">
        <f aca="false">IF(E26&lt;&gt;"",IF(COUNTIF(E26:N26,"&lt;3"),"Не успевает","Успевает"),"")</f>
        <v/>
      </c>
      <c r="Q26" s="250" t="str">
        <f aca="false">IF(D26&lt;&gt;"",(30*(set!B$5)-D26)/(30*(set!B$5))*100,"")</f>
        <v/>
      </c>
      <c r="R26" s="117" t="str">
        <f aca="false" t="array" ref="R26:R26">IF(E26&lt;&gt;"",IF(O26&lt;1.85,"Выговор",IF(O26=1.85,"Выговор",IF(AND(O26&gt;1.85,O26&lt;3),"Предупреждение",IF(AND(O26&gt;3,O26&lt;4.65),"Нормально",IF(AND(O26&gt;4.65,O26&lt;5.1,E26:N26&gt;=4),"Благодарность","Нормально"))))),"")</f>
        <v/>
      </c>
      <c r="S26" s="118" t="n">
        <f aca="false">COUNTIF(E26:N26,2)+COUNTIF(E26:N26,1)+COUNTIF(E26:N26,0)</f>
        <v>0</v>
      </c>
    </row>
    <row r="27" customFormat="false" ht="15" hidden="false" customHeight="true" outlineLevel="0" collapsed="false">
      <c r="A27" s="466" t="s">
        <v>77</v>
      </c>
      <c r="B27" s="466"/>
      <c r="C27" s="466"/>
      <c r="E27" s="210" t="e">
        <f aca="false">AVERAGE(E8:E26)</f>
        <v>#DIV/0!</v>
      </c>
      <c r="F27" s="210" t="e">
        <f aca="false">AVERAGE(F8:F26)</f>
        <v>#DIV/0!</v>
      </c>
      <c r="G27" s="210" t="e">
        <f aca="false">AVERAGE(G8:G26)</f>
        <v>#DIV/0!</v>
      </c>
      <c r="H27" s="210" t="e">
        <f aca="false">AVERAGE(H8:H26)</f>
        <v>#DIV/0!</v>
      </c>
      <c r="I27" s="210" t="e">
        <f aca="false">AVERAGE(I8:I26)</f>
        <v>#DIV/0!</v>
      </c>
      <c r="J27" s="210" t="e">
        <f aca="false">AVERAGE(J8:J26)</f>
        <v>#DIV/0!</v>
      </c>
      <c r="K27" s="210" t="e">
        <f aca="false">AVERAGE(K8:K26)</f>
        <v>#DIV/0!</v>
      </c>
      <c r="L27" s="210" t="e">
        <f aca="false">AVERAGE(L8:L26)</f>
        <v>#DIV/0!</v>
      </c>
      <c r="M27" s="210" t="e">
        <f aca="false">AVERAGE(M8:M26)</f>
        <v>#DIV/0!</v>
      </c>
      <c r="N27" s="210" t="e">
        <f aca="false">AVERAGE(N8:N26)</f>
        <v>#DIV/0!</v>
      </c>
      <c r="O27" s="47"/>
    </row>
    <row r="28" customFormat="false" ht="15" hidden="false" customHeight="true" outlineLevel="0" collapsed="false">
      <c r="A28" s="5" t="s">
        <v>78</v>
      </c>
      <c r="B28" s="5"/>
      <c r="C28" s="5"/>
      <c r="E28" s="454" t="e">
        <f aca="false">(COUNTIF(E8:E26,5)+COUNTIF(E8:E26,4)+COUNTIF(E8:E26,3))/$Q$34*100</f>
        <v>#DIV/0!</v>
      </c>
      <c r="F28" s="454" t="e">
        <f aca="false">(COUNTIF(F8:F26,5)+COUNTIF(F8:F26,4)+COUNTIF(F8:F26,3))/$Q$34*100</f>
        <v>#DIV/0!</v>
      </c>
      <c r="G28" s="454" t="e">
        <f aca="false">(COUNTIF(G8:G26,5)+COUNTIF(G8:G26,4)+COUNTIF(G8:G26,3))/$Q$34*100</f>
        <v>#DIV/0!</v>
      </c>
      <c r="H28" s="454" t="e">
        <f aca="false">(COUNTIF(H8:H26,5)+COUNTIF(H8:H26,4)+COUNTIF(H8:H26,3))/$Q$34*100</f>
        <v>#DIV/0!</v>
      </c>
      <c r="I28" s="454" t="e">
        <f aca="false">(COUNTIF(I8:I26,5)+COUNTIF(I8:I26,4)+COUNTIF(I8:I26,3))/$Q$34*100</f>
        <v>#DIV/0!</v>
      </c>
      <c r="J28" s="454" t="e">
        <f aca="false">(COUNTIF(J8:J26,5)+COUNTIF(J8:J26,4)+COUNTIF(J8:J26,3))/$Q$34*100</f>
        <v>#DIV/0!</v>
      </c>
      <c r="K28" s="454" t="e">
        <f aca="false">(COUNTIF(K8:K26,5)+COUNTIF(K8:K26,4)+COUNTIF(K8:K26,3))/$Q$34*100</f>
        <v>#DIV/0!</v>
      </c>
      <c r="L28" s="454" t="e">
        <f aca="false">(COUNTIF(L8:L26,5)+COUNTIF(L8:L26,4)+COUNTIF(L8:L26,3))/$Q$34*100</f>
        <v>#DIV/0!</v>
      </c>
      <c r="M28" s="454" t="e">
        <f aca="false">(COUNTIF(M8:M26,5)+COUNTIF(M8:M26,4)+COUNTIF(M8:M26,3))/$Q$34*100</f>
        <v>#DIV/0!</v>
      </c>
      <c r="N28" s="454" t="e">
        <f aca="false">(COUNTIF(N8:N26,5)+COUNTIF(N8:N26,4)+COUNTIF(N8:N26,3))/$Q$34*100</f>
        <v>#DIV/0!</v>
      </c>
    </row>
    <row r="29" customFormat="false" ht="15" hidden="false" customHeight="true" outlineLevel="0" collapsed="false"/>
    <row r="30" customFormat="false" ht="15" hidden="false" customHeight="true" outlineLevel="0" collapsed="false">
      <c r="S30" s="48"/>
    </row>
    <row r="31" customFormat="false" ht="15" hidden="false" customHeight="true" outlineLevel="0" collapsed="false"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</row>
    <row r="32" customFormat="false" ht="15" hidden="false" customHeight="true" outlineLevel="0" collapsed="false">
      <c r="B32" s="197" t="s">
        <v>8</v>
      </c>
      <c r="C32" s="197"/>
      <c r="D32" s="51" t="str">
        <f aca="false">IFERROR(AVERAGE(O8:O26),"")</f>
        <v/>
      </c>
      <c r="E32" s="52" t="s">
        <v>9</v>
      </c>
      <c r="F32" s="52"/>
      <c r="G32" s="53" t="str">
        <f aca="false">IFERROR(COUNTIF(P8:P26,"Успевает")/Q34*100,"")</f>
        <v/>
      </c>
      <c r="H32" s="54" t="s">
        <v>79</v>
      </c>
      <c r="I32" s="54"/>
      <c r="J32" s="55" t="str">
        <f aca="false">IFERROR(AVERAGE(Q8:Q26),"")</f>
        <v/>
      </c>
      <c r="K32" s="52"/>
      <c r="L32" s="52"/>
      <c r="M32" s="52"/>
      <c r="N32" s="52"/>
      <c r="R32" s="183"/>
      <c r="S32" s="183"/>
    </row>
    <row r="33" customFormat="false" ht="15" hidden="false" customHeight="true" outlineLevel="0" collapsed="false">
      <c r="B33" s="50"/>
      <c r="C33" s="50"/>
      <c r="D33" s="50"/>
      <c r="E33" s="56"/>
      <c r="F33" s="56"/>
      <c r="G33" s="56"/>
      <c r="H33" s="56"/>
      <c r="I33" s="56"/>
      <c r="J33" s="56"/>
      <c r="K33" s="56"/>
      <c r="L33" s="56"/>
      <c r="M33" s="56"/>
      <c r="N33" s="56"/>
      <c r="R33" s="64"/>
      <c r="S33" s="64"/>
    </row>
    <row r="34" customFormat="false" ht="15" hidden="false" customHeight="true" outlineLevel="0" collapsed="false">
      <c r="B34" s="61" t="s">
        <v>81</v>
      </c>
      <c r="C34" s="61"/>
      <c r="D34" s="61"/>
      <c r="E34" s="61"/>
      <c r="F34" s="61"/>
      <c r="G34" s="61"/>
      <c r="H34" s="61"/>
      <c r="I34" s="61"/>
      <c r="J34" s="347" t="s">
        <v>82</v>
      </c>
      <c r="K34" s="347"/>
      <c r="L34" s="347"/>
      <c r="M34" s="96"/>
      <c r="N34" s="138"/>
      <c r="O34" s="57" t="s">
        <v>80</v>
      </c>
      <c r="P34" s="57"/>
      <c r="Q34" s="58" t="n">
        <f aca="false">SUM(Q35,Q36)</f>
        <v>0</v>
      </c>
      <c r="R34" s="99"/>
      <c r="S34" s="69"/>
    </row>
    <row r="35" customFormat="false" ht="15" hidden="false" customHeight="true" outlineLevel="0" collapsed="false">
      <c r="B35" s="65" t="str">
        <f aca="false">$E$6</f>
        <v> Основы конструирования приборов</v>
      </c>
      <c r="C35" s="65"/>
      <c r="D35" s="65"/>
      <c r="E35" s="65"/>
      <c r="F35" s="65"/>
      <c r="G35" s="65"/>
      <c r="H35" s="65"/>
      <c r="I35" s="65"/>
      <c r="J35" s="322"/>
      <c r="K35" s="322"/>
      <c r="L35" s="322"/>
      <c r="M35" s="97"/>
      <c r="N35" s="139"/>
      <c r="O35" s="57" t="s">
        <v>83</v>
      </c>
      <c r="P35" s="57"/>
      <c r="Q35" s="58" t="n">
        <f aca="false">COUNTIF(P8:P26,"Успевает")</f>
        <v>0</v>
      </c>
      <c r="R35" s="64"/>
      <c r="S35" s="64"/>
    </row>
    <row r="36" customFormat="false" ht="15" hidden="false" customHeight="true" outlineLevel="0" collapsed="false">
      <c r="B36" s="65" t="str">
        <f aca="false">$F$6</f>
        <v> Программирование и основы алгоритмизации</v>
      </c>
      <c r="C36" s="65"/>
      <c r="D36" s="65"/>
      <c r="E36" s="65"/>
      <c r="F36" s="65"/>
      <c r="G36" s="65"/>
      <c r="H36" s="65"/>
      <c r="I36" s="65"/>
      <c r="J36" s="322"/>
      <c r="K36" s="322"/>
      <c r="L36" s="322"/>
      <c r="M36" s="97"/>
      <c r="N36" s="139"/>
      <c r="O36" s="98" t="s">
        <v>84</v>
      </c>
      <c r="P36" s="98"/>
      <c r="Q36" s="58" t="n">
        <f aca="false">COUNTIF(P8:P26,"Не успевает")</f>
        <v>0</v>
      </c>
      <c r="R36" s="48"/>
      <c r="S36" s="48"/>
    </row>
    <row r="37" customFormat="false" ht="15" hidden="false" customHeight="true" outlineLevel="0" collapsed="false">
      <c r="B37" s="65" t="str">
        <f aca="false">$G$6</f>
        <v> Управление электрическими машинами</v>
      </c>
      <c r="C37" s="65"/>
      <c r="D37" s="65"/>
      <c r="E37" s="65"/>
      <c r="F37" s="65"/>
      <c r="G37" s="65"/>
      <c r="H37" s="65"/>
      <c r="I37" s="65"/>
      <c r="J37" s="322"/>
      <c r="K37" s="322"/>
      <c r="L37" s="322"/>
      <c r="M37" s="97"/>
      <c r="N37" s="139"/>
      <c r="O37" s="98" t="s">
        <v>85</v>
      </c>
      <c r="P37" s="98"/>
      <c r="Q37" s="58" t="n">
        <f aca="false">COUNTIF(R8:R26,"Благодарность")</f>
        <v>0</v>
      </c>
      <c r="R37" s="48"/>
      <c r="S37" s="48"/>
    </row>
    <row r="38" customFormat="false" ht="15" hidden="false" customHeight="true" outlineLevel="0" collapsed="false">
      <c r="B38" s="65" t="str">
        <f aca="false">$H$6</f>
        <v> Физика</v>
      </c>
      <c r="C38" s="65"/>
      <c r="D38" s="65"/>
      <c r="E38" s="65"/>
      <c r="F38" s="65"/>
      <c r="G38" s="65"/>
      <c r="H38" s="65"/>
      <c r="I38" s="65"/>
      <c r="J38" s="322"/>
      <c r="K38" s="322"/>
      <c r="L38" s="322"/>
      <c r="M38" s="97"/>
      <c r="N38" s="139"/>
      <c r="O38" s="98" t="s">
        <v>86</v>
      </c>
      <c r="P38" s="98"/>
      <c r="Q38" s="58" t="n">
        <f aca="false">COUNTIF(R8:R26,"Нормально")</f>
        <v>0</v>
      </c>
      <c r="R38" s="48"/>
      <c r="S38" s="48"/>
    </row>
    <row r="39" customFormat="false" ht="15" hidden="false" customHeight="true" outlineLevel="0" collapsed="false">
      <c r="B39" s="65" t="str">
        <f aca="false">$I$6</f>
        <v> Дискретная математика </v>
      </c>
      <c r="C39" s="65"/>
      <c r="D39" s="65"/>
      <c r="E39" s="65"/>
      <c r="F39" s="65"/>
      <c r="G39" s="65"/>
      <c r="H39" s="65"/>
      <c r="I39" s="65"/>
      <c r="J39" s="322"/>
      <c r="K39" s="322"/>
      <c r="L39" s="322"/>
      <c r="M39" s="97"/>
      <c r="N39" s="139"/>
      <c r="O39" s="98" t="s">
        <v>87</v>
      </c>
      <c r="P39" s="98"/>
      <c r="Q39" s="58" t="n">
        <f aca="false">COUNTIF(R8:R26,"Предупреждение")</f>
        <v>0</v>
      </c>
      <c r="R39" s="48"/>
      <c r="S39" s="48"/>
    </row>
    <row r="40" customFormat="false" ht="15" hidden="false" customHeight="true" outlineLevel="0" collapsed="false">
      <c r="B40" s="65" t="str">
        <f aca="false">$J$6</f>
        <v>Иностранный язык</v>
      </c>
      <c r="C40" s="65"/>
      <c r="D40" s="65"/>
      <c r="E40" s="65"/>
      <c r="F40" s="65"/>
      <c r="G40" s="65"/>
      <c r="H40" s="65"/>
      <c r="I40" s="65"/>
      <c r="J40" s="322"/>
      <c r="K40" s="322"/>
      <c r="L40" s="322"/>
      <c r="M40" s="97"/>
      <c r="N40" s="139"/>
      <c r="O40" s="98" t="s">
        <v>88</v>
      </c>
      <c r="P40" s="98"/>
      <c r="Q40" s="58" t="n">
        <f aca="false">COUNTIF(R8:R26,"Выговор")</f>
        <v>0</v>
      </c>
      <c r="R40" s="48"/>
      <c r="S40" s="48"/>
    </row>
    <row r="41" customFormat="false" ht="15" hidden="false" customHeight="true" outlineLevel="0" collapsed="false">
      <c r="B41" s="65" t="str">
        <f aca="false">$K$6</f>
        <v> Компьютерная графика </v>
      </c>
      <c r="C41" s="65"/>
      <c r="D41" s="65"/>
      <c r="E41" s="65"/>
      <c r="F41" s="65"/>
      <c r="G41" s="65"/>
      <c r="H41" s="65"/>
      <c r="I41" s="65"/>
      <c r="J41" s="322"/>
      <c r="K41" s="322"/>
      <c r="L41" s="322"/>
      <c r="M41" s="97"/>
      <c r="N41" s="139"/>
      <c r="O41" s="185" t="s">
        <v>12</v>
      </c>
      <c r="P41" s="186"/>
      <c r="Q41" s="143" t="n">
        <f aca="false">SUM(S8:S26)</f>
        <v>0</v>
      </c>
      <c r="R41" s="48"/>
      <c r="S41" s="48"/>
    </row>
    <row r="42" customFormat="false" ht="15" hidden="false" customHeight="true" outlineLevel="0" collapsed="false">
      <c r="B42" s="65" t="str">
        <f aca="false">$L$6</f>
        <v> Философия</v>
      </c>
      <c r="C42" s="65"/>
      <c r="D42" s="65"/>
      <c r="E42" s="65"/>
      <c r="F42" s="65"/>
      <c r="G42" s="65"/>
      <c r="H42" s="65"/>
      <c r="I42" s="65"/>
      <c r="J42" s="322"/>
      <c r="K42" s="322"/>
      <c r="L42" s="322"/>
      <c r="M42" s="97"/>
      <c r="N42" s="139"/>
      <c r="O42" s="67"/>
      <c r="P42" s="67"/>
      <c r="Q42" s="48"/>
      <c r="R42" s="48"/>
      <c r="S42" s="48"/>
    </row>
    <row r="43" customFormat="false" ht="15" hidden="false" customHeight="true" outlineLevel="0" collapsed="false">
      <c r="B43" s="65" t="str">
        <f aca="false">$M$6</f>
        <v> Язык программирования Си++ </v>
      </c>
      <c r="C43" s="65"/>
      <c r="D43" s="65"/>
      <c r="E43" s="65"/>
      <c r="F43" s="65"/>
      <c r="G43" s="65"/>
      <c r="H43" s="65"/>
      <c r="I43" s="65"/>
      <c r="J43" s="322"/>
      <c r="K43" s="322"/>
      <c r="L43" s="322"/>
      <c r="M43" s="97"/>
      <c r="N43" s="139"/>
      <c r="O43" s="67"/>
      <c r="P43" s="67"/>
      <c r="Q43" s="48"/>
      <c r="R43" s="48"/>
      <c r="S43" s="48"/>
    </row>
    <row r="44" customFormat="false" ht="15" hidden="false" customHeight="true" outlineLevel="0" collapsed="false">
      <c r="B44" s="65" t="str">
        <f aca="false">$N$6</f>
        <v>Физическая культура и спорт</v>
      </c>
      <c r="C44" s="65"/>
      <c r="D44" s="65"/>
      <c r="E44" s="65"/>
      <c r="F44" s="65"/>
      <c r="G44" s="65"/>
      <c r="H44" s="65"/>
      <c r="I44" s="65"/>
      <c r="J44" s="322"/>
      <c r="K44" s="322"/>
      <c r="L44" s="322"/>
      <c r="M44" s="97"/>
      <c r="N44" s="139"/>
      <c r="O44" s="67"/>
      <c r="P44" s="67"/>
      <c r="Q44" s="48"/>
      <c r="R44" s="48"/>
      <c r="S44" s="48"/>
    </row>
    <row r="45" customFormat="false" ht="15" hidden="false" customHeight="true" outlineLevel="0" collapsed="false"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R45" s="48"/>
      <c r="S45" s="48"/>
    </row>
    <row r="46" customFormat="false" ht="15" hidden="false" customHeight="true" outlineLevel="0" collapsed="false">
      <c r="B46" s="428" t="s">
        <v>405</v>
      </c>
      <c r="C46" s="327" t="s">
        <v>1286</v>
      </c>
      <c r="D46" s="327"/>
      <c r="E46" s="327"/>
      <c r="F46" s="52" t="s">
        <v>407</v>
      </c>
      <c r="G46" s="300" t="s">
        <v>1248</v>
      </c>
      <c r="H46" s="52"/>
      <c r="I46" s="52"/>
      <c r="J46" s="52"/>
      <c r="K46" s="52"/>
      <c r="L46" s="52"/>
      <c r="M46" s="52"/>
      <c r="N46" s="52"/>
      <c r="R46" s="48"/>
      <c r="S46" s="48"/>
    </row>
    <row r="47" customFormat="false" ht="15" hidden="false" customHeight="true" outlineLevel="0" collapsed="false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R47" s="48"/>
      <c r="S47" s="48"/>
    </row>
    <row r="48" customFormat="false" ht="15" hidden="false" customHeight="true" outlineLevel="0" collapsed="false">
      <c r="B48" s="50" t="s">
        <v>93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R48" s="48"/>
      <c r="S48" s="48"/>
    </row>
    <row r="49" customFormat="false" ht="15" hidden="false" customHeight="true" outlineLevel="0" collapsed="false">
      <c r="B49" s="50" t="s">
        <v>94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R49" s="48"/>
      <c r="S49" s="48"/>
    </row>
    <row r="50" customFormat="false" ht="15" hidden="false" customHeight="true" outlineLevel="0" collapsed="false">
      <c r="B50" s="50" t="s">
        <v>95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R50" s="48"/>
      <c r="S50" s="48"/>
    </row>
    <row r="51" customFormat="false" ht="15" hidden="false" customHeight="true" outlineLevel="0" collapsed="false">
      <c r="B51" s="50" t="s">
        <v>96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R51" s="48"/>
      <c r="S51" s="48"/>
    </row>
    <row r="52" customFormat="false" ht="15" hidden="false" customHeight="true" outlineLevel="0" collapsed="false">
      <c r="B52" s="50" t="s">
        <v>97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48"/>
      <c r="P52" s="48"/>
      <c r="Q52" s="48"/>
      <c r="R52" s="48"/>
      <c r="S52" s="48"/>
    </row>
    <row r="53" customFormat="false" ht="15" hidden="false" customHeight="true" outlineLevel="0" collapsed="false">
      <c r="B53" s="50" t="s">
        <v>98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48"/>
      <c r="P53" s="48"/>
      <c r="Q53" s="48"/>
      <c r="R53" s="48"/>
      <c r="S53" s="48"/>
    </row>
    <row r="54" customFormat="false" ht="15" hidden="false" customHeight="true" outlineLevel="0" collapsed="false">
      <c r="B54" s="50" t="s">
        <v>99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48"/>
      <c r="P54" s="48"/>
      <c r="Q54" s="48"/>
      <c r="R54" s="48"/>
      <c r="S54" s="48"/>
    </row>
    <row r="55" customFormat="false" ht="15" hidden="false" customHeight="true" outlineLevel="0" collapsed="false"/>
  </sheetData>
  <mergeCells count="48">
    <mergeCell ref="D1:H1"/>
    <mergeCell ref="A3:S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A27:C27"/>
    <mergeCell ref="A28:C28"/>
    <mergeCell ref="B32:C32"/>
    <mergeCell ref="H32:I32"/>
    <mergeCell ref="R32:S32"/>
    <mergeCell ref="B34:I34"/>
    <mergeCell ref="J34:L34"/>
    <mergeCell ref="O34:P34"/>
    <mergeCell ref="B35:I35"/>
    <mergeCell ref="J35:L35"/>
    <mergeCell ref="O35:P35"/>
    <mergeCell ref="B36:I36"/>
    <mergeCell ref="J36:L36"/>
    <mergeCell ref="O36:P36"/>
    <mergeCell ref="B37:I37"/>
    <mergeCell ref="J37:L37"/>
    <mergeCell ref="O37:P37"/>
    <mergeCell ref="B38:I38"/>
    <mergeCell ref="J38:L38"/>
    <mergeCell ref="O38:P38"/>
    <mergeCell ref="B39:I39"/>
    <mergeCell ref="J39:L39"/>
    <mergeCell ref="O39:P39"/>
    <mergeCell ref="B40:I40"/>
    <mergeCell ref="J40:L40"/>
    <mergeCell ref="O40:P40"/>
    <mergeCell ref="B41:I41"/>
    <mergeCell ref="J41:L41"/>
    <mergeCell ref="B42:I42"/>
    <mergeCell ref="J42:L42"/>
    <mergeCell ref="B43:I43"/>
    <mergeCell ref="J43:L43"/>
    <mergeCell ref="B44:I44"/>
    <mergeCell ref="J44:L44"/>
    <mergeCell ref="C46:E46"/>
  </mergeCells>
  <conditionalFormatting sqref="E9:K9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9:N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1:I25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E2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 O27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10:O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K8 I26 I10:I20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:E20 E26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:H11 J10:N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N8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7:N27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:N27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6:N26 F10:H20 J10:N20 F26:H26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6:N26 E10:H20 J10:N20 E26:H26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1:H25 J21:N25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H25 J21:N25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26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0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L41" activeCellId="0" sqref="L41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4.42"/>
    <col collapsed="false" customWidth="true" hidden="false" outlineLevel="0" max="3" min="3" style="0" width="19.86"/>
    <col collapsed="false" customWidth="true" hidden="false" outlineLevel="0" max="5" min="5" style="0" width="10"/>
    <col collapsed="false" customWidth="true" hidden="false" outlineLevel="0" max="15" min="15" style="0" width="11.29"/>
    <col collapsed="false" customWidth="true" hidden="false" outlineLevel="0" max="17" min="17" style="0" width="10.71"/>
    <col collapsed="false" customWidth="true" hidden="false" outlineLevel="0" max="18" min="18" style="0" width="7.42"/>
    <col collapsed="false" customWidth="true" hidden="false" outlineLevel="0" max="20" min="20" style="0" width="4.71"/>
    <col collapsed="false" customWidth="true" hidden="false" outlineLevel="0" max="21" min="21" style="0" width="4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146" t="n">
        <f aca="false">set!B4</f>
        <v>45608</v>
      </c>
      <c r="P2" s="72"/>
      <c r="R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ИУК3-51Б факультета ИУК МГТУ им. Н.Э. Баумана"</f>
        <v>Успеваемость студентов за 1 семестр 24/25 учебного года по группе ИУК3-51Б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417" t="s">
        <v>11</v>
      </c>
      <c r="R5" s="417" t="s">
        <v>12</v>
      </c>
    </row>
    <row r="6" customFormat="false" ht="120" hidden="false" customHeight="true" outlineLevel="0" collapsed="false">
      <c r="A6" s="8"/>
      <c r="B6" s="8"/>
      <c r="C6" s="8"/>
      <c r="D6" s="9"/>
      <c r="E6" s="339" t="s">
        <v>1287</v>
      </c>
      <c r="F6" s="340" t="s">
        <v>1288</v>
      </c>
      <c r="G6" s="340" t="s">
        <v>1289</v>
      </c>
      <c r="H6" s="341" t="s">
        <v>291</v>
      </c>
      <c r="I6" s="339" t="s">
        <v>1290</v>
      </c>
      <c r="J6" s="340" t="s">
        <v>143</v>
      </c>
      <c r="K6" s="340" t="s">
        <v>295</v>
      </c>
      <c r="L6" s="340" t="s">
        <v>296</v>
      </c>
      <c r="M6" s="342" t="s">
        <v>147</v>
      </c>
      <c r="N6" s="12"/>
      <c r="O6" s="13"/>
      <c r="P6" s="13"/>
      <c r="Q6" s="417"/>
      <c r="R6" s="417"/>
    </row>
    <row r="7" customFormat="false" ht="17.9" hidden="false" customHeight="false" outlineLevel="0" collapsed="false">
      <c r="A7" s="8"/>
      <c r="B7" s="8"/>
      <c r="C7" s="8"/>
      <c r="D7" s="9"/>
      <c r="E7" s="344" t="s">
        <v>298</v>
      </c>
      <c r="F7" s="344" t="s">
        <v>298</v>
      </c>
      <c r="G7" s="344" t="s">
        <v>298</v>
      </c>
      <c r="H7" s="345" t="s">
        <v>299</v>
      </c>
      <c r="I7" s="343" t="s">
        <v>1208</v>
      </c>
      <c r="J7" s="344" t="s">
        <v>1291</v>
      </c>
      <c r="K7" s="344" t="s">
        <v>175</v>
      </c>
      <c r="L7" s="344" t="s">
        <v>300</v>
      </c>
      <c r="M7" s="346" t="s">
        <v>176</v>
      </c>
      <c r="N7" s="12"/>
      <c r="O7" s="13"/>
      <c r="P7" s="13"/>
      <c r="Q7" s="417"/>
      <c r="R7" s="417"/>
    </row>
    <row r="8" customFormat="false" ht="15" hidden="false" customHeight="true" outlineLevel="0" collapsed="false">
      <c r="A8" s="25" t="n">
        <v>1</v>
      </c>
      <c r="B8" s="25" t="s">
        <v>1292</v>
      </c>
      <c r="C8" s="25" t="s">
        <v>1293</v>
      </c>
      <c r="D8" s="473"/>
      <c r="E8" s="474"/>
      <c r="F8" s="475"/>
      <c r="G8" s="475"/>
      <c r="H8" s="476"/>
      <c r="I8" s="474"/>
      <c r="J8" s="475"/>
      <c r="K8" s="475"/>
      <c r="L8" s="475"/>
      <c r="M8" s="477"/>
      <c r="N8" s="33" t="str">
        <f aca="false">IFERROR(AVERAGE(F8:M8),"")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11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118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1294</v>
      </c>
      <c r="C9" s="37" t="s">
        <v>1295</v>
      </c>
      <c r="D9" s="473"/>
      <c r="E9" s="474"/>
      <c r="F9" s="475"/>
      <c r="G9" s="475"/>
      <c r="H9" s="476"/>
      <c r="I9" s="474"/>
      <c r="J9" s="475"/>
      <c r="K9" s="475"/>
      <c r="L9" s="475"/>
      <c r="M9" s="477"/>
      <c r="N9" s="33" t="str">
        <f aca="false">IFERROR(AVERAGE(F9:M9),"")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11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1296</v>
      </c>
      <c r="C10" s="37" t="s">
        <v>1297</v>
      </c>
      <c r="D10" s="473"/>
      <c r="E10" s="474"/>
      <c r="F10" s="475"/>
      <c r="G10" s="475"/>
      <c r="H10" s="476"/>
      <c r="I10" s="474"/>
      <c r="J10" s="475"/>
      <c r="K10" s="475"/>
      <c r="L10" s="475"/>
      <c r="M10" s="477"/>
      <c r="N10" s="33" t="str">
        <f aca="false">IFERROR(AVERAGE(F10:M10),"")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11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5</v>
      </c>
      <c r="B11" s="37" t="s">
        <v>1298</v>
      </c>
      <c r="C11" s="37" t="s">
        <v>1299</v>
      </c>
      <c r="D11" s="473"/>
      <c r="E11" s="474"/>
      <c r="F11" s="475"/>
      <c r="G11" s="475"/>
      <c r="H11" s="476"/>
      <c r="I11" s="474"/>
      <c r="J11" s="475"/>
      <c r="K11" s="475"/>
      <c r="L11" s="475"/>
      <c r="M11" s="477"/>
      <c r="N11" s="33" t="str">
        <f aca="false">IFERROR(AVERAGE(F11:M11),"")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11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6</v>
      </c>
      <c r="B12" s="37" t="s">
        <v>1300</v>
      </c>
      <c r="C12" s="37" t="s">
        <v>1301</v>
      </c>
      <c r="D12" s="473"/>
      <c r="E12" s="474"/>
      <c r="F12" s="475"/>
      <c r="G12" s="475"/>
      <c r="H12" s="476"/>
      <c r="I12" s="474"/>
      <c r="J12" s="475"/>
      <c r="K12" s="475"/>
      <c r="L12" s="475"/>
      <c r="M12" s="478"/>
      <c r="N12" s="33" t="str">
        <f aca="false">IFERROR(AVERAGE(F12:M12),"")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11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s="45" customFormat="true" ht="15" hidden="false" customHeight="true" outlineLevel="0" collapsed="false">
      <c r="A13" s="37" t="n">
        <v>7</v>
      </c>
      <c r="B13" s="37" t="s">
        <v>1302</v>
      </c>
      <c r="C13" s="37" t="s">
        <v>1303</v>
      </c>
      <c r="D13" s="473"/>
      <c r="E13" s="474"/>
      <c r="F13" s="475"/>
      <c r="G13" s="475"/>
      <c r="H13" s="476"/>
      <c r="I13" s="474"/>
      <c r="J13" s="475"/>
      <c r="K13" s="475"/>
      <c r="L13" s="475"/>
      <c r="M13" s="477"/>
      <c r="N13" s="33" t="str">
        <f aca="false">IFERROR(AVERAGE(F13:M13),"")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11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8</v>
      </c>
      <c r="B14" s="37" t="s">
        <v>1304</v>
      </c>
      <c r="C14" s="37" t="s">
        <v>1305</v>
      </c>
      <c r="D14" s="473"/>
      <c r="E14" s="474"/>
      <c r="F14" s="475"/>
      <c r="G14" s="475"/>
      <c r="H14" s="476"/>
      <c r="I14" s="474"/>
      <c r="J14" s="475"/>
      <c r="K14" s="475"/>
      <c r="L14" s="475"/>
      <c r="M14" s="477"/>
      <c r="N14" s="33" t="str">
        <f aca="false">IFERROR(AVERAGE(F14:M14),"")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11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s="45" customFormat="true" ht="15" hidden="false" customHeight="true" outlineLevel="0" collapsed="false">
      <c r="A15" s="37" t="n">
        <v>9</v>
      </c>
      <c r="B15" s="37" t="s">
        <v>1306</v>
      </c>
      <c r="C15" s="37" t="s">
        <v>1307</v>
      </c>
      <c r="D15" s="473"/>
      <c r="E15" s="474"/>
      <c r="F15" s="475"/>
      <c r="G15" s="475"/>
      <c r="H15" s="476"/>
      <c r="I15" s="474"/>
      <c r="J15" s="475"/>
      <c r="K15" s="475"/>
      <c r="L15" s="475"/>
      <c r="M15" s="477"/>
      <c r="N15" s="33" t="str">
        <f aca="false">IFERROR(AVERAGE(F15:M15),"")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11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s="45" customFormat="true" ht="15" hidden="false" customHeight="true" outlineLevel="0" collapsed="false">
      <c r="A16" s="37" t="n">
        <v>11</v>
      </c>
      <c r="B16" s="37" t="s">
        <v>1308</v>
      </c>
      <c r="C16" s="37" t="s">
        <v>1309</v>
      </c>
      <c r="D16" s="473"/>
      <c r="E16" s="474"/>
      <c r="F16" s="475"/>
      <c r="G16" s="475"/>
      <c r="H16" s="476"/>
      <c r="I16" s="474"/>
      <c r="J16" s="475"/>
      <c r="K16" s="475"/>
      <c r="L16" s="475"/>
      <c r="M16" s="477"/>
      <c r="N16" s="33" t="str">
        <f aca="false">IFERROR(AVERAGE(F16:M16),"")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11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s="45" customFormat="true" ht="15" hidden="false" customHeight="true" outlineLevel="0" collapsed="false">
      <c r="A17" s="37" t="n">
        <v>12</v>
      </c>
      <c r="B17" s="37" t="s">
        <v>1310</v>
      </c>
      <c r="C17" s="37" t="s">
        <v>1311</v>
      </c>
      <c r="D17" s="473"/>
      <c r="E17" s="474"/>
      <c r="F17" s="475"/>
      <c r="G17" s="475"/>
      <c r="H17" s="476"/>
      <c r="I17" s="474"/>
      <c r="J17" s="475"/>
      <c r="K17" s="475"/>
      <c r="L17" s="475"/>
      <c r="M17" s="477"/>
      <c r="N17" s="33" t="str">
        <f aca="false">IFERROR(AVERAGE(F17:M17),"")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11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s="45" customFormat="true" ht="15" hidden="false" customHeight="true" outlineLevel="0" collapsed="false">
      <c r="A18" s="37" t="n">
        <v>13</v>
      </c>
      <c r="B18" s="37" t="s">
        <v>1312</v>
      </c>
      <c r="C18" s="37" t="s">
        <v>1313</v>
      </c>
      <c r="D18" s="473"/>
      <c r="E18" s="474"/>
      <c r="F18" s="475"/>
      <c r="G18" s="475"/>
      <c r="H18" s="476"/>
      <c r="I18" s="474"/>
      <c r="J18" s="475"/>
      <c r="K18" s="475"/>
      <c r="L18" s="475"/>
      <c r="M18" s="478"/>
      <c r="N18" s="33" t="str">
        <f aca="false">IFERROR(AVERAGE(F18:M18),"")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11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0" t="s">
        <v>77</v>
      </c>
      <c r="D19" s="209"/>
      <c r="E19" s="210" t="e">
        <f aca="false">AVERAGE(E8:E18)</f>
        <v>#DIV/0!</v>
      </c>
      <c r="F19" s="210" t="e">
        <f aca="false">AVERAGE(F8:F18)</f>
        <v>#DIV/0!</v>
      </c>
      <c r="G19" s="210" t="e">
        <f aca="false">AVERAGE(G8:G18)</f>
        <v>#DIV/0!</v>
      </c>
      <c r="H19" s="210" t="e">
        <f aca="false">AVERAGE(H8:H18)</f>
        <v>#DIV/0!</v>
      </c>
      <c r="I19" s="210" t="e">
        <f aca="false">AVERAGE(I8:I18)</f>
        <v>#DIV/0!</v>
      </c>
      <c r="J19" s="210" t="e">
        <f aca="false">AVERAGE(J8:J18)</f>
        <v>#DIV/0!</v>
      </c>
      <c r="K19" s="210" t="e">
        <f aca="false">AVERAGE(K8:K18)</f>
        <v>#DIV/0!</v>
      </c>
      <c r="L19" s="210" t="e">
        <f aca="false">AVERAGE(L8:L18)</f>
        <v>#DIV/0!</v>
      </c>
      <c r="M19" s="210" t="e">
        <f aca="false">AVERAGE(M8:M18)</f>
        <v>#DIV/0!</v>
      </c>
      <c r="Q19" s="357"/>
      <c r="R19" s="242"/>
      <c r="S19" s="242"/>
    </row>
    <row r="20" customFormat="false" ht="15" hidden="false" customHeight="true" outlineLevel="0" collapsed="false">
      <c r="A20" s="0" t="s">
        <v>78</v>
      </c>
      <c r="E20" s="448" t="e">
        <f aca="false">(COUNTIF(E8:E18,5)+COUNTIF(E8:E18,4)+COUNTIF(E8:E18,3))/$P$26*100</f>
        <v>#DIV/0!</v>
      </c>
      <c r="F20" s="448" t="e">
        <f aca="false">(COUNTIF(F8:F18,5)+COUNTIF(F8:F18,4)+COUNTIF(F8:F18,3))/$P$26*100</f>
        <v>#DIV/0!</v>
      </c>
      <c r="G20" s="448" t="e">
        <f aca="false">(COUNTIF(G8:G18,5)+COUNTIF(G8:G18,4)+COUNTIF(G8:G18,3))/$P$26*100</f>
        <v>#DIV/0!</v>
      </c>
      <c r="H20" s="448" t="e">
        <f aca="false">(COUNTIF(H8:H18,5)+COUNTIF(H8:H18,4)+COUNTIF(H8:H18,3))/$P$26*100</f>
        <v>#DIV/0!</v>
      </c>
      <c r="I20" s="448" t="e">
        <f aca="false">(COUNTIF(I8:I18,5)+COUNTIF(I8:I18,4)+COUNTIF(I8:I18,3))/$P$26*100</f>
        <v>#DIV/0!</v>
      </c>
      <c r="J20" s="448" t="e">
        <f aca="false">(COUNTIF(J8:J18,5)+COUNTIF(J8:J18,4)+COUNTIF(J8:J18,3))/$P$26*100</f>
        <v>#DIV/0!</v>
      </c>
      <c r="K20" s="448" t="e">
        <f aca="false">(COUNTIF(K8:K18,5)+COUNTIF(K8:K18,4)+COUNTIF(K8:K18,3))/$P$26*100</f>
        <v>#DIV/0!</v>
      </c>
      <c r="L20" s="448" t="e">
        <f aca="false">(COUNTIF(L8:L18,5)+COUNTIF(L8:L18,4)+COUNTIF(L8:L18,3))/$P$26*100</f>
        <v>#DIV/0!</v>
      </c>
      <c r="M20" s="448" t="e">
        <f aca="false">(COUNTIF(M8:M18,5)+COUNTIF(M8:M18,4)+COUNTIF(M8:M18,3))/$P$26*100</f>
        <v>#DIV/0!</v>
      </c>
      <c r="R20" s="423"/>
      <c r="S20" s="242"/>
      <c r="T20" s="242"/>
    </row>
    <row r="21" customFormat="false" ht="15" hidden="false" customHeight="true" outlineLevel="0" collapsed="false">
      <c r="T21" s="242"/>
      <c r="U21" s="242"/>
    </row>
    <row r="22" customFormat="false" ht="15" hidden="false" customHeight="true" outlineLevel="0" collapsed="false">
      <c r="O22" s="48"/>
      <c r="P22" s="48"/>
      <c r="Q22" s="48"/>
      <c r="T22" s="242"/>
      <c r="U22" s="242"/>
    </row>
    <row r="23" customFormat="false" ht="15" hidden="false" customHeight="true" outlineLevel="0" collapsed="false"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T23" s="242"/>
      <c r="U23" s="242"/>
    </row>
    <row r="24" customFormat="false" ht="15" hidden="false" customHeight="true" outlineLevel="0" collapsed="false">
      <c r="B24" s="50"/>
      <c r="C24" s="50" t="s">
        <v>8</v>
      </c>
      <c r="D24" s="51" t="str">
        <f aca="false">IFERROR(AVERAGE(N8:N18),"")</f>
        <v/>
      </c>
      <c r="E24" s="52" t="s">
        <v>9</v>
      </c>
      <c r="F24" s="52"/>
      <c r="G24" s="53" t="str">
        <f aca="false">IFERROR(COUNTIF(O8:O18,"Успевает")/P26*100,"")</f>
        <v/>
      </c>
      <c r="H24" s="54" t="s">
        <v>79</v>
      </c>
      <c r="I24" s="54"/>
      <c r="J24" s="55" t="str">
        <f aca="false">IFERROR(AVERAGE(P8:P18),"")</f>
        <v/>
      </c>
      <c r="K24" s="52"/>
      <c r="L24" s="52"/>
      <c r="M24" s="52"/>
      <c r="Q24" s="183"/>
      <c r="R24" s="183"/>
      <c r="T24" s="242"/>
      <c r="U24" s="242"/>
    </row>
    <row r="25" customFormat="false" ht="15" hidden="false" customHeight="true" outlineLevel="0" collapsed="false">
      <c r="B25" s="50"/>
      <c r="C25" s="50"/>
      <c r="D25" s="50"/>
      <c r="E25" s="56"/>
      <c r="F25" s="56"/>
      <c r="G25" s="56"/>
      <c r="H25" s="56"/>
      <c r="I25" s="56"/>
      <c r="J25" s="56"/>
      <c r="K25" s="56"/>
      <c r="L25" s="56"/>
      <c r="M25" s="56"/>
      <c r="Q25" s="64"/>
      <c r="R25" s="64"/>
      <c r="T25" s="242"/>
      <c r="U25" s="242"/>
    </row>
    <row r="26" customFormat="false" ht="15" hidden="false" customHeight="true" outlineLevel="0" collapsed="false">
      <c r="A26" s="50"/>
      <c r="B26" s="61" t="s">
        <v>81</v>
      </c>
      <c r="C26" s="61"/>
      <c r="D26" s="61"/>
      <c r="E26" s="61"/>
      <c r="F26" s="61"/>
      <c r="G26" s="61"/>
      <c r="H26" s="61"/>
      <c r="I26" s="61"/>
      <c r="J26" s="61"/>
      <c r="K26" s="61" t="s">
        <v>82</v>
      </c>
      <c r="L26" s="61"/>
      <c r="M26" s="61"/>
      <c r="N26" s="57" t="s">
        <v>80</v>
      </c>
      <c r="O26" s="57"/>
      <c r="P26" s="58" t="n">
        <f aca="false">SUM(P27,P28)</f>
        <v>0</v>
      </c>
      <c r="Q26" s="99"/>
      <c r="R26" s="69"/>
    </row>
    <row r="27" customFormat="false" ht="15" hidden="false" customHeight="true" outlineLevel="0" collapsed="false">
      <c r="A27" s="50"/>
      <c r="B27" s="65" t="str">
        <f aca="false">$E$6</f>
        <v> Логическое проектирование цифровых систем управления</v>
      </c>
      <c r="C27" s="65"/>
      <c r="D27" s="65"/>
      <c r="E27" s="65"/>
      <c r="F27" s="65"/>
      <c r="G27" s="65"/>
      <c r="H27" s="65"/>
      <c r="I27" s="65"/>
      <c r="J27" s="65"/>
      <c r="K27" s="66"/>
      <c r="L27" s="66"/>
      <c r="M27" s="66"/>
      <c r="N27" s="57" t="s">
        <v>83</v>
      </c>
      <c r="O27" s="57"/>
      <c r="P27" s="58" t="n">
        <f aca="false">COUNTIF(O8:O18,"Успевает")</f>
        <v>0</v>
      </c>
      <c r="Q27" s="64"/>
      <c r="R27" s="64"/>
    </row>
    <row r="28" customFormat="false" ht="15" hidden="false" customHeight="true" outlineLevel="0" collapsed="false">
      <c r="A28" s="50"/>
      <c r="B28" s="65" t="str">
        <f aca="false">$F$6</f>
        <v> Общая теория автоматического управленияя</v>
      </c>
      <c r="C28" s="65"/>
      <c r="D28" s="65"/>
      <c r="E28" s="65"/>
      <c r="F28" s="65"/>
      <c r="G28" s="65"/>
      <c r="H28" s="65"/>
      <c r="I28" s="65"/>
      <c r="J28" s="65"/>
      <c r="K28" s="66"/>
      <c r="L28" s="66"/>
      <c r="M28" s="66"/>
      <c r="N28" s="98" t="s">
        <v>84</v>
      </c>
      <c r="O28" s="98"/>
      <c r="P28" s="58" t="n">
        <f aca="false">COUNTIF(O8:O18,"Не успевает")</f>
        <v>0</v>
      </c>
      <c r="Q28" s="48"/>
      <c r="R28" s="48"/>
    </row>
    <row r="29" customFormat="false" ht="15" hidden="false" customHeight="true" outlineLevel="0" collapsed="false">
      <c r="A29" s="50"/>
      <c r="B29" s="65" t="str">
        <f aca="false">$G$6</f>
        <v> Программная реализация алгоритмов управления</v>
      </c>
      <c r="C29" s="65"/>
      <c r="D29" s="65"/>
      <c r="E29" s="65"/>
      <c r="F29" s="65"/>
      <c r="G29" s="65"/>
      <c r="H29" s="65"/>
      <c r="I29" s="65"/>
      <c r="J29" s="65"/>
      <c r="K29" s="66"/>
      <c r="L29" s="66"/>
      <c r="M29" s="66"/>
      <c r="N29" s="98" t="s">
        <v>85</v>
      </c>
      <c r="O29" s="98"/>
      <c r="P29" s="58" t="n">
        <f aca="false">COUNTIF(Q8:Q18,"Благодарность")</f>
        <v>0</v>
      </c>
      <c r="Q29" s="48"/>
      <c r="R29" s="48"/>
    </row>
    <row r="30" customFormat="false" ht="15" hidden="false" customHeight="true" outlineLevel="0" collapsed="false">
      <c r="A30" s="50"/>
      <c r="B30" s="65" t="str">
        <f aca="false">$H$6</f>
        <v> Сети и телекоммуникации</v>
      </c>
      <c r="C30" s="65"/>
      <c r="D30" s="65"/>
      <c r="E30" s="65"/>
      <c r="F30" s="65"/>
      <c r="G30" s="65"/>
      <c r="H30" s="65"/>
      <c r="I30" s="65"/>
      <c r="J30" s="65"/>
      <c r="K30" s="66"/>
      <c r="L30" s="66"/>
      <c r="M30" s="66"/>
      <c r="N30" s="98" t="s">
        <v>86</v>
      </c>
      <c r="O30" s="98"/>
      <c r="P30" s="58" t="n">
        <f aca="false">COUNTIF(Q8:Q18,"Нормально")</f>
        <v>0</v>
      </c>
      <c r="Q30" s="48"/>
      <c r="R30" s="48"/>
    </row>
    <row r="31" customFormat="false" ht="15" hidden="false" customHeight="true" outlineLevel="0" collapsed="false">
      <c r="A31" s="50"/>
      <c r="B31" s="65" t="str">
        <f aca="false">$I$6</f>
        <v> Вычислительные методы теории управления (к.п.)</v>
      </c>
      <c r="C31" s="65"/>
      <c r="D31" s="65"/>
      <c r="E31" s="65"/>
      <c r="F31" s="65"/>
      <c r="G31" s="65"/>
      <c r="H31" s="65"/>
      <c r="I31" s="65"/>
      <c r="J31" s="65"/>
      <c r="K31" s="66"/>
      <c r="L31" s="66"/>
      <c r="M31" s="66"/>
      <c r="N31" s="98" t="s">
        <v>87</v>
      </c>
      <c r="O31" s="98"/>
      <c r="P31" s="58" t="n">
        <f aca="false">COUNTIF(Q8:Q18,"Предупреждение")</f>
        <v>0</v>
      </c>
      <c r="Q31" s="48"/>
      <c r="R31" s="48"/>
    </row>
    <row r="32" customFormat="false" ht="15" hidden="false" customHeight="true" outlineLevel="0" collapsed="false">
      <c r="A32" s="50"/>
      <c r="B32" s="65" t="str">
        <f aca="false">$J$6</f>
        <v> Иностранный язык</v>
      </c>
      <c r="C32" s="65"/>
      <c r="D32" s="65"/>
      <c r="E32" s="65"/>
      <c r="F32" s="65"/>
      <c r="G32" s="65"/>
      <c r="H32" s="65"/>
      <c r="I32" s="65"/>
      <c r="J32" s="65"/>
      <c r="K32" s="66"/>
      <c r="L32" s="66"/>
      <c r="M32" s="66"/>
      <c r="N32" s="98" t="s">
        <v>88</v>
      </c>
      <c r="O32" s="98"/>
      <c r="P32" s="58" t="n">
        <f aca="false">COUNTIF(Q8:Q18,"Выговор")</f>
        <v>0</v>
      </c>
      <c r="Q32" s="48"/>
      <c r="R32" s="48"/>
    </row>
    <row r="33" customFormat="false" ht="15" hidden="false" customHeight="true" outlineLevel="0" collapsed="false">
      <c r="A33" s="50"/>
      <c r="B33" s="65" t="str">
        <f aca="false">$K$6</f>
        <v> Социология</v>
      </c>
      <c r="C33" s="65"/>
      <c r="D33" s="65"/>
      <c r="E33" s="65"/>
      <c r="F33" s="65"/>
      <c r="G33" s="65"/>
      <c r="H33" s="65"/>
      <c r="I33" s="65"/>
      <c r="J33" s="65"/>
      <c r="K33" s="66"/>
      <c r="L33" s="66"/>
      <c r="M33" s="66"/>
      <c r="N33" s="442" t="s">
        <v>12</v>
      </c>
      <c r="O33" s="380"/>
      <c r="P33" s="143" t="n">
        <f aca="false">SUM(R8:R18)</f>
        <v>0</v>
      </c>
      <c r="Q33" s="48"/>
      <c r="R33" s="48"/>
    </row>
    <row r="34" customFormat="false" ht="15" hidden="false" customHeight="true" outlineLevel="0" collapsed="false">
      <c r="A34" s="50"/>
      <c r="B34" s="65" t="str">
        <f aca="false">$L$6</f>
        <v> Экология</v>
      </c>
      <c r="C34" s="65"/>
      <c r="D34" s="65"/>
      <c r="E34" s="65"/>
      <c r="F34" s="65"/>
      <c r="G34" s="65"/>
      <c r="H34" s="65"/>
      <c r="I34" s="65"/>
      <c r="J34" s="65"/>
      <c r="K34" s="66"/>
      <c r="L34" s="66"/>
      <c r="M34" s="66"/>
      <c r="N34" s="67"/>
      <c r="O34" s="67"/>
      <c r="P34" s="48"/>
      <c r="Q34" s="48"/>
      <c r="R34" s="48"/>
    </row>
    <row r="35" customFormat="false" ht="15" hidden="false" customHeight="true" outlineLevel="0" collapsed="false">
      <c r="A35" s="50"/>
      <c r="B35" s="65" t="str">
        <f aca="false">$M$6</f>
        <v>Физическая культура и спорт</v>
      </c>
      <c r="C35" s="65"/>
      <c r="D35" s="65"/>
      <c r="E35" s="65"/>
      <c r="F35" s="65"/>
      <c r="G35" s="65"/>
      <c r="H35" s="65"/>
      <c r="I35" s="65"/>
      <c r="J35" s="65"/>
      <c r="K35" s="66"/>
      <c r="L35" s="66"/>
      <c r="M35" s="66"/>
      <c r="N35" s="67"/>
      <c r="O35" s="67"/>
      <c r="P35" s="48"/>
      <c r="Q35" s="48"/>
      <c r="R35" s="48"/>
    </row>
    <row r="36" customFormat="false" ht="15" hidden="false" customHeight="true" outlineLevel="0" collapsed="false">
      <c r="A36" s="50"/>
      <c r="B36" s="67"/>
      <c r="C36" s="67"/>
      <c r="D36" s="67"/>
      <c r="E36" s="67"/>
      <c r="F36" s="67"/>
      <c r="G36" s="67"/>
      <c r="H36" s="67"/>
      <c r="I36" s="67"/>
      <c r="J36" s="67"/>
      <c r="K36" s="50"/>
      <c r="L36" s="50"/>
      <c r="M36" s="50"/>
      <c r="N36" s="48"/>
      <c r="O36" s="48"/>
      <c r="P36" s="48"/>
      <c r="Q36" s="48"/>
      <c r="R36" s="48"/>
    </row>
    <row r="37" customFormat="false" ht="15" hidden="false" customHeight="true" outlineLevel="0" collapsed="false">
      <c r="A37" s="50"/>
      <c r="B37" s="428" t="s">
        <v>405</v>
      </c>
      <c r="C37" s="467" t="s">
        <v>1314</v>
      </c>
      <c r="D37" s="467"/>
      <c r="E37" s="67"/>
      <c r="F37" s="52" t="s">
        <v>407</v>
      </c>
      <c r="G37" s="381" t="s">
        <v>1315</v>
      </c>
      <c r="H37" s="52"/>
      <c r="I37" s="52"/>
      <c r="J37" s="52"/>
      <c r="K37" s="52"/>
      <c r="L37" s="50"/>
      <c r="M37" s="50"/>
      <c r="N37" s="48"/>
      <c r="O37" s="48"/>
      <c r="P37" s="48"/>
      <c r="Q37" s="48"/>
      <c r="R37" s="48"/>
    </row>
    <row r="38" customFormat="false" ht="15" hidden="false" customHeight="true" outlineLevel="0" collapsed="false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48"/>
      <c r="O38" s="48"/>
      <c r="P38" s="48"/>
      <c r="Q38" s="48"/>
      <c r="R38" s="48"/>
    </row>
    <row r="39" customFormat="false" ht="15" hidden="false" customHeight="true" outlineLevel="0" collapsed="false">
      <c r="A39" s="50"/>
      <c r="B39" s="50" t="s">
        <v>93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48"/>
      <c r="O39" s="48"/>
      <c r="P39" s="48"/>
      <c r="Q39" s="48"/>
      <c r="R39" s="48"/>
    </row>
    <row r="40" customFormat="false" ht="15" hidden="false" customHeight="true" outlineLevel="0" collapsed="false">
      <c r="A40" s="50"/>
      <c r="B40" s="50" t="s">
        <v>94</v>
      </c>
      <c r="C40" s="50"/>
      <c r="D40" s="50"/>
      <c r="E40" s="50"/>
      <c r="F40" s="50"/>
      <c r="G40" s="50"/>
      <c r="H40" s="50"/>
      <c r="L40" s="50"/>
      <c r="M40" s="50"/>
      <c r="N40" s="48"/>
      <c r="O40" s="48"/>
      <c r="P40" s="48"/>
      <c r="Q40" s="48"/>
      <c r="R40" s="48"/>
    </row>
    <row r="41" customFormat="false" ht="15" hidden="false" customHeight="true" outlineLevel="0" collapsed="false">
      <c r="A41" s="50"/>
      <c r="B41" s="50" t="s">
        <v>95</v>
      </c>
      <c r="C41" s="50"/>
      <c r="D41" s="50"/>
      <c r="E41" s="50"/>
      <c r="F41" s="50"/>
      <c r="G41" s="50"/>
      <c r="H41" s="50"/>
      <c r="L41" s="50"/>
      <c r="M41" s="50"/>
      <c r="N41" s="48"/>
      <c r="O41" s="48"/>
      <c r="P41" s="48"/>
      <c r="Q41" s="48"/>
      <c r="R41" s="48"/>
    </row>
    <row r="42" customFormat="false" ht="15" hidden="false" customHeight="true" outlineLevel="0" collapsed="false">
      <c r="A42" s="50"/>
      <c r="B42" s="50" t="s">
        <v>96</v>
      </c>
      <c r="C42" s="50"/>
      <c r="D42" s="50"/>
      <c r="E42" s="50"/>
      <c r="F42" s="50"/>
      <c r="G42" s="50"/>
      <c r="H42" s="50"/>
      <c r="L42" s="50"/>
      <c r="M42" s="50"/>
      <c r="N42" s="48"/>
      <c r="O42" s="48"/>
      <c r="P42" s="48"/>
      <c r="Q42" s="48"/>
      <c r="R42" s="48"/>
    </row>
    <row r="43" customFormat="false" ht="15" hidden="false" customHeight="true" outlineLevel="0" collapsed="false">
      <c r="A43" s="50"/>
      <c r="B43" s="50" t="s">
        <v>97</v>
      </c>
      <c r="C43" s="50"/>
      <c r="D43" s="50"/>
      <c r="E43" s="50"/>
      <c r="F43" s="50"/>
      <c r="G43" s="50"/>
      <c r="H43" s="50"/>
      <c r="L43" s="50"/>
      <c r="M43" s="50"/>
      <c r="N43" s="48"/>
      <c r="O43" s="48"/>
      <c r="P43" s="48"/>
      <c r="Q43" s="48"/>
      <c r="R43" s="48"/>
    </row>
    <row r="44" customFormat="false" ht="15" hidden="false" customHeight="true" outlineLevel="0" collapsed="false">
      <c r="A44" s="50"/>
      <c r="B44" s="50" t="s">
        <v>98</v>
      </c>
      <c r="C44" s="50"/>
      <c r="D44" s="50"/>
      <c r="E44" s="50"/>
      <c r="F44" s="50"/>
      <c r="G44" s="50"/>
      <c r="H44" s="50"/>
      <c r="L44" s="50"/>
      <c r="M44" s="50"/>
      <c r="N44" s="48"/>
      <c r="O44" s="48"/>
      <c r="P44" s="48"/>
      <c r="Q44" s="48"/>
      <c r="R44" s="48"/>
    </row>
    <row r="45" customFormat="false" ht="15" hidden="false" customHeight="true" outlineLevel="0" collapsed="false">
      <c r="A45" s="50"/>
      <c r="B45" s="50" t="s">
        <v>99</v>
      </c>
      <c r="C45" s="50"/>
      <c r="D45" s="50"/>
      <c r="E45" s="50"/>
      <c r="F45" s="50"/>
      <c r="G45" s="50"/>
      <c r="H45" s="50"/>
      <c r="L45" s="50"/>
      <c r="M45" s="50"/>
      <c r="N45" s="48"/>
      <c r="O45" s="48"/>
      <c r="P45" s="48"/>
      <c r="Q45" s="48"/>
      <c r="R45" s="48"/>
    </row>
    <row r="46" customFormat="false" ht="15" hidden="false" customHeight="true" outlineLevel="0" collapsed="false"/>
    <row r="47" customFormat="false" ht="1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</sheetData>
  <mergeCells count="44">
    <mergeCell ref="E1:H1"/>
    <mergeCell ref="L2:N2"/>
    <mergeCell ref="A3:Q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24:I24"/>
    <mergeCell ref="Q24:R24"/>
    <mergeCell ref="B26:J26"/>
    <mergeCell ref="K26:M26"/>
    <mergeCell ref="N26:O26"/>
    <mergeCell ref="B27:J27"/>
    <mergeCell ref="K27:M27"/>
    <mergeCell ref="N27:O27"/>
    <mergeCell ref="B28:J28"/>
    <mergeCell ref="K28:M28"/>
    <mergeCell ref="N28:O28"/>
    <mergeCell ref="B29:J29"/>
    <mergeCell ref="K29:M29"/>
    <mergeCell ref="N29:O29"/>
    <mergeCell ref="B30:J30"/>
    <mergeCell ref="K30:M30"/>
    <mergeCell ref="N30:O30"/>
    <mergeCell ref="B31:J31"/>
    <mergeCell ref="K31:M31"/>
    <mergeCell ref="N31:O31"/>
    <mergeCell ref="B32:J32"/>
    <mergeCell ref="K32:M32"/>
    <mergeCell ref="N32:O32"/>
    <mergeCell ref="B33:J33"/>
    <mergeCell ref="K33:M33"/>
    <mergeCell ref="B34:J34"/>
    <mergeCell ref="K34:M34"/>
    <mergeCell ref="B35:J35"/>
    <mergeCell ref="K35:M35"/>
    <mergeCell ref="C37:D37"/>
  </mergeCells>
  <conditionalFormatting sqref="M1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3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K12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3:K13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8:K18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9:M19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4:M17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4:L18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K17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L12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K11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18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55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9" activeCellId="0" sqref="C19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4.42"/>
    <col collapsed="false" customWidth="true" hidden="false" outlineLevel="0" max="3" min="3" style="0" width="19.86"/>
    <col collapsed="false" customWidth="true" hidden="false" outlineLevel="0" max="5" min="5" style="0" width="10"/>
    <col collapsed="false" customWidth="true" hidden="false" outlineLevel="0" max="14" min="14" style="0" width="10.42"/>
    <col collapsed="false" customWidth="true" hidden="false" outlineLevel="0" max="15" min="15" style="0" width="7.86"/>
    <col collapsed="false" customWidth="true" hidden="false" outlineLevel="0" max="16" min="16" style="0" width="8.29"/>
    <col collapsed="false" customWidth="true" hidden="false" outlineLevel="0" max="17" min="17" style="0" width="14.42"/>
    <col collapsed="false" customWidth="true" hidden="false" outlineLevel="0" max="18" min="18" style="0" width="7.15"/>
    <col collapsed="false" customWidth="true" hidden="false" outlineLevel="0" max="19" min="19" style="0" width="6.14"/>
    <col collapsed="false" customWidth="true" hidden="false" outlineLevel="0" max="20" min="20" style="0" width="4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M2" s="5"/>
      <c r="N2" s="479" t="s">
        <v>1</v>
      </c>
      <c r="O2" s="479"/>
      <c r="P2" s="45"/>
      <c r="Q2" s="146" t="n">
        <f aca="false">set!B4</f>
        <v>45608</v>
      </c>
    </row>
    <row r="3" customFormat="false" ht="15" hidden="false" customHeight="false" outlineLevel="0" collapsed="false">
      <c r="A3" s="451" t="str">
        <f aca="false">"Успеваемость студентов за "&amp;(set!B2)&amp;" "&amp;"семестр"&amp;" "&amp;(set!B3) &amp;" "&amp; "учебного года по группе ИУК3-52Б факультета ИУК МГТУ им. Н.Э. Баумана"</f>
        <v>Успеваемость студентов за 1 семестр 24/25 учебного года по группе ИУК3-52Б факультета ИУК МГТУ им. Н.Э. Баумана</v>
      </c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456" t="s">
        <v>8</v>
      </c>
      <c r="O5" s="457" t="s">
        <v>9</v>
      </c>
      <c r="P5" s="457" t="s">
        <v>10</v>
      </c>
      <c r="Q5" s="430" t="s">
        <v>11</v>
      </c>
      <c r="R5" s="430" t="s">
        <v>12</v>
      </c>
    </row>
    <row r="6" customFormat="false" ht="15" hidden="false" customHeight="false" outlineLevel="0" collapsed="false">
      <c r="A6" s="8"/>
      <c r="B6" s="8"/>
      <c r="C6" s="8"/>
      <c r="D6" s="9"/>
      <c r="E6" s="339" t="s">
        <v>1287</v>
      </c>
      <c r="F6" s="340" t="s">
        <v>1288</v>
      </c>
      <c r="G6" s="340" t="s">
        <v>1289</v>
      </c>
      <c r="H6" s="341" t="s">
        <v>291</v>
      </c>
      <c r="I6" s="339" t="s">
        <v>1290</v>
      </c>
      <c r="J6" s="340" t="s">
        <v>143</v>
      </c>
      <c r="K6" s="340" t="s">
        <v>295</v>
      </c>
      <c r="L6" s="340" t="s">
        <v>296</v>
      </c>
      <c r="M6" s="342" t="s">
        <v>147</v>
      </c>
      <c r="N6" s="456"/>
      <c r="O6" s="457"/>
      <c r="P6" s="457"/>
      <c r="Q6" s="430"/>
      <c r="R6" s="430"/>
    </row>
    <row r="7" customFormat="false" ht="17.9" hidden="false" customHeight="false" outlineLevel="0" collapsed="false">
      <c r="A7" s="8"/>
      <c r="B7" s="8"/>
      <c r="C7" s="8"/>
      <c r="D7" s="9"/>
      <c r="E7" s="343" t="s">
        <v>298</v>
      </c>
      <c r="F7" s="344" t="s">
        <v>298</v>
      </c>
      <c r="G7" s="344" t="s">
        <v>298</v>
      </c>
      <c r="H7" s="345" t="s">
        <v>299</v>
      </c>
      <c r="I7" s="343" t="s">
        <v>1208</v>
      </c>
      <c r="J7" s="344" t="s">
        <v>1291</v>
      </c>
      <c r="K7" s="344" t="s">
        <v>175</v>
      </c>
      <c r="L7" s="344" t="s">
        <v>300</v>
      </c>
      <c r="M7" s="346" t="s">
        <v>176</v>
      </c>
      <c r="N7" s="456"/>
      <c r="O7" s="457"/>
      <c r="P7" s="457"/>
      <c r="Q7" s="430"/>
      <c r="R7" s="430"/>
    </row>
    <row r="8" customFormat="false" ht="15" hidden="false" customHeight="true" outlineLevel="0" collapsed="false">
      <c r="A8" s="25" t="n">
        <v>1</v>
      </c>
      <c r="B8" s="25" t="s">
        <v>1316</v>
      </c>
      <c r="C8" s="25" t="s">
        <v>1317</v>
      </c>
      <c r="D8" s="473"/>
      <c r="E8" s="480"/>
      <c r="F8" s="481"/>
      <c r="G8" s="481"/>
      <c r="H8" s="482"/>
      <c r="I8" s="480"/>
      <c r="J8" s="481"/>
      <c r="K8" s="481"/>
      <c r="L8" s="481"/>
      <c r="M8" s="483"/>
      <c r="N8" s="484" t="str">
        <f aca="false">IFERROR(AVERAGE(F8:M8),"")</f>
        <v/>
      </c>
      <c r="O8" s="383" t="str">
        <f aca="false">IF(E8&lt;&gt;"",IF(COUNTIF(E8:M8,"&lt;3"),"Не успевает","Успевает"),"")</f>
        <v/>
      </c>
      <c r="P8" s="465" t="str">
        <f aca="false">IF(D8&lt;&gt;"",(30*(set!B$5)-D8)/(30*(set!B$5))*100,"")</f>
        <v/>
      </c>
      <c r="Q8" s="383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485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1318</v>
      </c>
      <c r="C9" s="37" t="s">
        <v>1319</v>
      </c>
      <c r="D9" s="473"/>
      <c r="E9" s="486"/>
      <c r="F9" s="487"/>
      <c r="G9" s="487"/>
      <c r="H9" s="488"/>
      <c r="I9" s="486"/>
      <c r="J9" s="487"/>
      <c r="K9" s="487"/>
      <c r="L9" s="487"/>
      <c r="M9" s="489"/>
      <c r="N9" s="33" t="str">
        <f aca="false">IFERROR(AVERAGE(F9:M9),"")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11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1320</v>
      </c>
      <c r="C10" s="37" t="s">
        <v>1321</v>
      </c>
      <c r="D10" s="473"/>
      <c r="E10" s="486"/>
      <c r="F10" s="487"/>
      <c r="G10" s="487"/>
      <c r="H10" s="488"/>
      <c r="I10" s="486"/>
      <c r="J10" s="487"/>
      <c r="K10" s="487"/>
      <c r="L10" s="487"/>
      <c r="M10" s="489"/>
      <c r="N10" s="33" t="str">
        <f aca="false">IFERROR(AVERAGE(F10:M10),"")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11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1322</v>
      </c>
      <c r="C11" s="37" t="s">
        <v>1323</v>
      </c>
      <c r="D11" s="473"/>
      <c r="E11" s="486"/>
      <c r="F11" s="487"/>
      <c r="G11" s="487"/>
      <c r="H11" s="488"/>
      <c r="I11" s="486"/>
      <c r="J11" s="487"/>
      <c r="K11" s="487"/>
      <c r="L11" s="487"/>
      <c r="M11" s="489"/>
      <c r="N11" s="33" t="str">
        <f aca="false">IFERROR(AVERAGE(F11:M11),"")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11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1324</v>
      </c>
      <c r="C12" s="37" t="s">
        <v>1325</v>
      </c>
      <c r="D12" s="473"/>
      <c r="E12" s="486"/>
      <c r="F12" s="487"/>
      <c r="G12" s="487"/>
      <c r="H12" s="488"/>
      <c r="I12" s="486"/>
      <c r="J12" s="487"/>
      <c r="K12" s="487"/>
      <c r="L12" s="487"/>
      <c r="M12" s="489"/>
      <c r="N12" s="33" t="str">
        <f aca="false">IFERROR(AVERAGE(F12:M12),"")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11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s="45" customFormat="true" ht="15" hidden="false" customHeight="true" outlineLevel="0" collapsed="false">
      <c r="A13" s="37" t="n">
        <v>6</v>
      </c>
      <c r="B13" s="37" t="s">
        <v>1326</v>
      </c>
      <c r="C13" s="37" t="s">
        <v>1327</v>
      </c>
      <c r="D13" s="473"/>
      <c r="E13" s="486"/>
      <c r="F13" s="487"/>
      <c r="G13" s="487"/>
      <c r="H13" s="488"/>
      <c r="I13" s="486"/>
      <c r="J13" s="487"/>
      <c r="K13" s="487"/>
      <c r="L13" s="487"/>
      <c r="M13" s="489"/>
      <c r="N13" s="33" t="str">
        <f aca="false">IFERROR(AVERAGE(F13:M13),"")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11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1328</v>
      </c>
      <c r="C14" s="37" t="s">
        <v>1329</v>
      </c>
      <c r="D14" s="473"/>
      <c r="E14" s="486"/>
      <c r="F14" s="487"/>
      <c r="G14" s="487"/>
      <c r="H14" s="488"/>
      <c r="I14" s="486"/>
      <c r="J14" s="487"/>
      <c r="K14" s="487"/>
      <c r="L14" s="487"/>
      <c r="M14" s="489"/>
      <c r="N14" s="33" t="str">
        <f aca="false">IFERROR(AVERAGE(F14:M14),"")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11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1330</v>
      </c>
      <c r="C15" s="37" t="s">
        <v>1331</v>
      </c>
      <c r="D15" s="473"/>
      <c r="E15" s="486"/>
      <c r="F15" s="487"/>
      <c r="G15" s="487"/>
      <c r="H15" s="488"/>
      <c r="I15" s="486"/>
      <c r="J15" s="487"/>
      <c r="K15" s="487"/>
      <c r="L15" s="487"/>
      <c r="M15" s="489"/>
      <c r="N15" s="33" t="str">
        <f aca="false">IFERROR(AVERAGE(F15:M15),"")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11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s="45" customFormat="true" ht="15" hidden="false" customHeight="true" outlineLevel="0" collapsed="false">
      <c r="A16" s="37" t="n">
        <v>9</v>
      </c>
      <c r="B16" s="37" t="s">
        <v>1332</v>
      </c>
      <c r="C16" s="37" t="s">
        <v>1333</v>
      </c>
      <c r="D16" s="473"/>
      <c r="E16" s="486"/>
      <c r="F16" s="487"/>
      <c r="G16" s="487"/>
      <c r="H16" s="488"/>
      <c r="I16" s="486"/>
      <c r="J16" s="487"/>
      <c r="K16" s="487"/>
      <c r="L16" s="487"/>
      <c r="M16" s="489"/>
      <c r="N16" s="33" t="str">
        <f aca="false">IFERROR(AVERAGE(F16:M16),"")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11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s="45" customFormat="true" ht="15" hidden="false" customHeight="true" outlineLevel="0" collapsed="false">
      <c r="A17" s="37" t="n">
        <v>10</v>
      </c>
      <c r="B17" s="37" t="s">
        <v>1334</v>
      </c>
      <c r="C17" s="37" t="s">
        <v>1335</v>
      </c>
      <c r="D17" s="473"/>
      <c r="E17" s="486"/>
      <c r="F17" s="487"/>
      <c r="G17" s="487"/>
      <c r="H17" s="488"/>
      <c r="I17" s="486"/>
      <c r="J17" s="487"/>
      <c r="K17" s="487"/>
      <c r="L17" s="487"/>
      <c r="M17" s="489"/>
      <c r="N17" s="33" t="str">
        <f aca="false">IFERROR(AVERAGE(F17:M17),"")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11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s="45" customFormat="true" ht="15" hidden="false" customHeight="true" outlineLevel="0" collapsed="false">
      <c r="A18" s="37" t="n">
        <v>11</v>
      </c>
      <c r="B18" s="37" t="s">
        <v>1336</v>
      </c>
      <c r="C18" s="37" t="s">
        <v>1337</v>
      </c>
      <c r="D18" s="473"/>
      <c r="E18" s="486"/>
      <c r="F18" s="487"/>
      <c r="G18" s="487"/>
      <c r="H18" s="488"/>
      <c r="I18" s="486"/>
      <c r="J18" s="487"/>
      <c r="K18" s="487"/>
      <c r="L18" s="487"/>
      <c r="M18" s="489"/>
      <c r="N18" s="33" t="str">
        <f aca="false">IFERROR(AVERAGE(F18:M18),"")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11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s="45" customFormat="true" ht="15" hidden="false" customHeight="true" outlineLevel="0" collapsed="false">
      <c r="A19" s="37" t="n">
        <v>12</v>
      </c>
      <c r="B19" s="37" t="s">
        <v>1338</v>
      </c>
      <c r="C19" s="37" t="s">
        <v>1339</v>
      </c>
      <c r="D19" s="473"/>
      <c r="E19" s="486"/>
      <c r="F19" s="487"/>
      <c r="G19" s="487"/>
      <c r="H19" s="488"/>
      <c r="I19" s="486"/>
      <c r="J19" s="487"/>
      <c r="K19" s="487"/>
      <c r="L19" s="487"/>
      <c r="M19" s="489"/>
      <c r="N19" s="33" t="str">
        <f aca="false">IFERROR(AVERAGE(F19:M19),"")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11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s="45" customFormat="true" ht="15" hidden="false" customHeight="true" outlineLevel="0" collapsed="false">
      <c r="A20" s="37" t="n">
        <v>13</v>
      </c>
      <c r="B20" s="37" t="s">
        <v>1340</v>
      </c>
      <c r="C20" s="37" t="s">
        <v>1341</v>
      </c>
      <c r="D20" s="473"/>
      <c r="E20" s="486"/>
      <c r="F20" s="487"/>
      <c r="G20" s="487"/>
      <c r="H20" s="488"/>
      <c r="I20" s="486"/>
      <c r="J20" s="487"/>
      <c r="K20" s="487"/>
      <c r="L20" s="487"/>
      <c r="M20" s="489"/>
      <c r="N20" s="33" t="str">
        <f aca="false">IFERROR(AVERAGE(F20:M20),"")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11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s="45" customFormat="true" ht="15" hidden="false" customHeight="true" outlineLevel="0" collapsed="false">
      <c r="A21" s="37" t="n">
        <v>14</v>
      </c>
      <c r="B21" s="37" t="s">
        <v>1342</v>
      </c>
      <c r="C21" s="37" t="s">
        <v>1343</v>
      </c>
      <c r="D21" s="473"/>
      <c r="E21" s="486"/>
      <c r="F21" s="487"/>
      <c r="G21" s="487"/>
      <c r="H21" s="488"/>
      <c r="I21" s="486"/>
      <c r="J21" s="487"/>
      <c r="K21" s="487"/>
      <c r="L21" s="487"/>
      <c r="M21" s="489"/>
      <c r="N21" s="33" t="str">
        <f aca="false">IFERROR(AVERAGE(F21:M21),"")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11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1344</v>
      </c>
      <c r="C22" s="37" t="s">
        <v>1345</v>
      </c>
      <c r="D22" s="473"/>
      <c r="E22" s="486"/>
      <c r="F22" s="487"/>
      <c r="G22" s="487"/>
      <c r="H22" s="488"/>
      <c r="I22" s="486"/>
      <c r="J22" s="487"/>
      <c r="K22" s="487"/>
      <c r="L22" s="487"/>
      <c r="M22" s="489"/>
      <c r="N22" s="33" t="str">
        <f aca="false">IFERROR(AVERAGE(F22:M22),"")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11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0" t="s">
        <v>77</v>
      </c>
      <c r="D23" s="209"/>
      <c r="E23" s="210" t="e">
        <f aca="false">AVERAGE(E8:E22)</f>
        <v>#DIV/0!</v>
      </c>
      <c r="F23" s="210" t="e">
        <f aca="false">AVERAGE(F8:F22)</f>
        <v>#DIV/0!</v>
      </c>
      <c r="G23" s="210" t="e">
        <f aca="false">AVERAGE(G8:G22)</f>
        <v>#DIV/0!</v>
      </c>
      <c r="H23" s="210" t="e">
        <f aca="false">AVERAGE(H8:H22)</f>
        <v>#DIV/0!</v>
      </c>
      <c r="I23" s="210" t="e">
        <f aca="false">AVERAGE(I8:I22)</f>
        <v>#DIV/0!</v>
      </c>
      <c r="J23" s="210" t="e">
        <f aca="false">AVERAGE(J8:J22)</f>
        <v>#DIV/0!</v>
      </c>
      <c r="K23" s="210" t="e">
        <f aca="false">AVERAGE(K8:K22)</f>
        <v>#DIV/0!</v>
      </c>
      <c r="L23" s="210" t="e">
        <f aca="false">AVERAGE(L8:L22)</f>
        <v>#DIV/0!</v>
      </c>
      <c r="M23" s="210" t="e">
        <f aca="false">AVERAGE(M8:M22)</f>
        <v>#DIV/0!</v>
      </c>
      <c r="Q23" s="357"/>
      <c r="R23" s="242"/>
      <c r="S23" s="242"/>
    </row>
    <row r="24" customFormat="false" ht="15" hidden="false" customHeight="true" outlineLevel="0" collapsed="false">
      <c r="A24" s="0" t="s">
        <v>78</v>
      </c>
      <c r="E24" s="448" t="e">
        <f aca="false">(COUNTIF(E8:E22,5)+COUNTIF(E8:E22,4)+COUNTIF(E8:E22,3))/$P$30*100</f>
        <v>#DIV/0!</v>
      </c>
      <c r="F24" s="448" t="e">
        <f aca="false">(COUNTIF(F8:F22,5)+COUNTIF(F8:F22,4)+COUNTIF(F8:F22,3))/$P$30*100</f>
        <v>#DIV/0!</v>
      </c>
      <c r="G24" s="448" t="e">
        <f aca="false">(COUNTIF(G8:G22,5)+COUNTIF(G8:G22,4)+COUNTIF(G8:G22,3))/$P$30*100</f>
        <v>#DIV/0!</v>
      </c>
      <c r="H24" s="448" t="e">
        <f aca="false">(COUNTIF(H8:H22,5)+COUNTIF(H8:H22,4)+COUNTIF(H8:H22,3))/$P$30*100</f>
        <v>#DIV/0!</v>
      </c>
      <c r="I24" s="448" t="e">
        <f aca="false">(COUNTIF(I8:I22,5)+COUNTIF(I8:I22,4)+COUNTIF(I8:I22,3))/$P$30*100</f>
        <v>#DIV/0!</v>
      </c>
      <c r="J24" s="448" t="e">
        <f aca="false">(COUNTIF(J8:J22,5)+COUNTIF(J8:J22,4)+COUNTIF(J8:J22,3))/$P$30*100</f>
        <v>#DIV/0!</v>
      </c>
      <c r="K24" s="448" t="e">
        <f aca="false">(COUNTIF(K8:K22,5)+COUNTIF(K8:K22,4)+COUNTIF(K8:K22,3))/$P$30*100</f>
        <v>#DIV/0!</v>
      </c>
      <c r="L24" s="448" t="e">
        <f aca="false">(COUNTIF(L8:L22,5)+COUNTIF(L8:L22,4)+COUNTIF(L8:L22,3))/$P$30*100</f>
        <v>#DIV/0!</v>
      </c>
      <c r="M24" s="448" t="e">
        <f aca="false">(COUNTIF(M8:M22,5)+COUNTIF(M8:M22,4)+COUNTIF(M8:M22,3))/$P$30*100</f>
        <v>#DIV/0!</v>
      </c>
      <c r="R24" s="423"/>
      <c r="S24" s="242"/>
      <c r="T24" s="242"/>
    </row>
    <row r="25" customFormat="false" ht="15" hidden="false" customHeight="true" outlineLevel="0" collapsed="false">
      <c r="S25" s="242"/>
      <c r="T25" s="242"/>
    </row>
    <row r="26" customFormat="false" ht="15" hidden="false" customHeight="true" outlineLevel="0" collapsed="false">
      <c r="O26" s="48"/>
      <c r="P26" s="48"/>
      <c r="S26" s="242"/>
      <c r="T26" s="242"/>
    </row>
    <row r="27" customFormat="false" ht="15" hidden="false" customHeight="true" outlineLevel="0" collapsed="false"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S27" s="242"/>
      <c r="T27" s="242"/>
    </row>
    <row r="28" customFormat="false" ht="15" hidden="false" customHeight="true" outlineLevel="0" collapsed="false">
      <c r="B28" s="50"/>
      <c r="C28" s="50" t="s">
        <v>8</v>
      </c>
      <c r="D28" s="51" t="str">
        <f aca="false">IFERROR(AVERAGE(N8:N22),"")</f>
        <v/>
      </c>
      <c r="E28" s="52" t="s">
        <v>9</v>
      </c>
      <c r="F28" s="52"/>
      <c r="G28" s="53" t="str">
        <f aca="false">IFERROR(COUNTIF(O8:O22,"Успевает")/P30*100,"")</f>
        <v/>
      </c>
      <c r="H28" s="54" t="s">
        <v>79</v>
      </c>
      <c r="I28" s="54"/>
      <c r="J28" s="55" t="str">
        <f aca="false">IFERROR(AVERAGE(P8:P22),"")</f>
        <v/>
      </c>
      <c r="K28" s="52"/>
      <c r="L28" s="52"/>
      <c r="M28" s="52"/>
      <c r="P28" s="183"/>
      <c r="Q28" s="183"/>
      <c r="S28" s="242"/>
      <c r="T28" s="242"/>
    </row>
    <row r="29" customFormat="false" ht="15" hidden="false" customHeight="true" outlineLevel="0" collapsed="false">
      <c r="B29" s="50"/>
      <c r="C29" s="50"/>
      <c r="D29" s="50"/>
      <c r="E29" s="56"/>
      <c r="F29" s="56"/>
      <c r="G29" s="56"/>
      <c r="H29" s="56"/>
      <c r="I29" s="56"/>
      <c r="J29" s="56"/>
      <c r="K29" s="56"/>
      <c r="L29" s="56"/>
      <c r="M29" s="56"/>
      <c r="P29" s="64"/>
      <c r="Q29" s="64"/>
      <c r="S29" s="242"/>
      <c r="T29" s="242"/>
    </row>
    <row r="30" customFormat="false" ht="15" hidden="false" customHeight="true" outlineLevel="0" collapsed="false">
      <c r="A30" s="50"/>
      <c r="B30" s="61" t="s">
        <v>81</v>
      </c>
      <c r="C30" s="61"/>
      <c r="D30" s="61"/>
      <c r="E30" s="61"/>
      <c r="F30" s="61"/>
      <c r="G30" s="61"/>
      <c r="H30" s="61"/>
      <c r="I30" s="61"/>
      <c r="J30" s="61"/>
      <c r="K30" s="61" t="s">
        <v>82</v>
      </c>
      <c r="L30" s="61"/>
      <c r="M30" s="61"/>
      <c r="N30" s="490" t="s">
        <v>80</v>
      </c>
      <c r="O30" s="490"/>
      <c r="P30" s="58" t="n">
        <f aca="false">SUM(P31,P32)</f>
        <v>0</v>
      </c>
    </row>
    <row r="31" customFormat="false" ht="15" hidden="false" customHeight="true" outlineLevel="0" collapsed="false">
      <c r="A31" s="50"/>
      <c r="B31" s="65" t="str">
        <f aca="false">$E$6</f>
        <v> Логическое проектирование цифровых систем управления</v>
      </c>
      <c r="C31" s="65"/>
      <c r="D31" s="65"/>
      <c r="E31" s="65"/>
      <c r="F31" s="65"/>
      <c r="G31" s="65"/>
      <c r="H31" s="65"/>
      <c r="I31" s="65"/>
      <c r="J31" s="65"/>
      <c r="K31" s="66"/>
      <c r="L31" s="66"/>
      <c r="M31" s="66"/>
      <c r="N31" s="490" t="s">
        <v>83</v>
      </c>
      <c r="O31" s="490"/>
      <c r="P31" s="58" t="n">
        <f aca="false">COUNTIF(O8:O22,"Успевает")</f>
        <v>0</v>
      </c>
    </row>
    <row r="32" customFormat="false" ht="15" hidden="false" customHeight="true" outlineLevel="0" collapsed="false">
      <c r="A32" s="50"/>
      <c r="B32" s="65" t="str">
        <f aca="false">$F$6</f>
        <v> Общая теория автоматического управленияя</v>
      </c>
      <c r="C32" s="65"/>
      <c r="D32" s="65"/>
      <c r="E32" s="65"/>
      <c r="F32" s="65"/>
      <c r="G32" s="65"/>
      <c r="H32" s="65"/>
      <c r="I32" s="65"/>
      <c r="J32" s="65"/>
      <c r="K32" s="66"/>
      <c r="L32" s="66"/>
      <c r="M32" s="66"/>
      <c r="N32" s="491" t="s">
        <v>84</v>
      </c>
      <c r="O32" s="491"/>
      <c r="P32" s="58" t="n">
        <f aca="false">COUNTIF(O8:O22,"Не успевает")</f>
        <v>0</v>
      </c>
    </row>
    <row r="33" customFormat="false" ht="15" hidden="false" customHeight="true" outlineLevel="0" collapsed="false">
      <c r="A33" s="50"/>
      <c r="B33" s="65" t="str">
        <f aca="false">$G$6</f>
        <v> Программная реализация алгоритмов управления</v>
      </c>
      <c r="C33" s="65"/>
      <c r="D33" s="65"/>
      <c r="E33" s="65"/>
      <c r="F33" s="65"/>
      <c r="G33" s="65"/>
      <c r="H33" s="65"/>
      <c r="I33" s="65"/>
      <c r="J33" s="65"/>
      <c r="K33" s="66"/>
      <c r="L33" s="66"/>
      <c r="M33" s="66"/>
      <c r="N33" s="491" t="s">
        <v>85</v>
      </c>
      <c r="O33" s="491"/>
      <c r="P33" s="58" t="n">
        <f aca="false">COUNTIF(Q8:Q22,"Благодарность")</f>
        <v>0</v>
      </c>
    </row>
    <row r="34" customFormat="false" ht="15" hidden="false" customHeight="true" outlineLevel="0" collapsed="false">
      <c r="A34" s="50"/>
      <c r="B34" s="65" t="str">
        <f aca="false">$H$6</f>
        <v> Сети и телекоммуникации</v>
      </c>
      <c r="C34" s="65"/>
      <c r="D34" s="65"/>
      <c r="E34" s="65"/>
      <c r="F34" s="65"/>
      <c r="G34" s="65"/>
      <c r="H34" s="65"/>
      <c r="I34" s="65"/>
      <c r="J34" s="65"/>
      <c r="K34" s="66"/>
      <c r="L34" s="66"/>
      <c r="M34" s="66"/>
      <c r="N34" s="491" t="s">
        <v>86</v>
      </c>
      <c r="O34" s="491"/>
      <c r="P34" s="58" t="n">
        <f aca="false">COUNTIF(Q8:Q22,"Нормально")</f>
        <v>0</v>
      </c>
    </row>
    <row r="35" customFormat="false" ht="15" hidden="false" customHeight="true" outlineLevel="0" collapsed="false">
      <c r="A35" s="50"/>
      <c r="B35" s="65" t="str">
        <f aca="false">$I$6</f>
        <v> Вычислительные методы теории управления (к.п.)</v>
      </c>
      <c r="C35" s="65"/>
      <c r="D35" s="65"/>
      <c r="E35" s="65"/>
      <c r="F35" s="65"/>
      <c r="G35" s="65"/>
      <c r="H35" s="65"/>
      <c r="I35" s="65"/>
      <c r="J35" s="65"/>
      <c r="K35" s="66"/>
      <c r="L35" s="66"/>
      <c r="M35" s="66"/>
      <c r="N35" s="491" t="s">
        <v>87</v>
      </c>
      <c r="O35" s="491"/>
      <c r="P35" s="58" t="n">
        <f aca="false">COUNTIF(Q8:Q22,"Предупреждение")</f>
        <v>0</v>
      </c>
    </row>
    <row r="36" customFormat="false" ht="15" hidden="false" customHeight="true" outlineLevel="0" collapsed="false">
      <c r="A36" s="50"/>
      <c r="B36" s="65" t="str">
        <f aca="false">$J$6</f>
        <v> Иностранный язык</v>
      </c>
      <c r="C36" s="65"/>
      <c r="D36" s="65"/>
      <c r="E36" s="65"/>
      <c r="F36" s="65"/>
      <c r="G36" s="65"/>
      <c r="H36" s="65"/>
      <c r="I36" s="65"/>
      <c r="J36" s="65"/>
      <c r="K36" s="66"/>
      <c r="L36" s="66"/>
      <c r="M36" s="66"/>
      <c r="N36" s="491" t="s">
        <v>88</v>
      </c>
      <c r="O36" s="491"/>
      <c r="P36" s="58" t="n">
        <f aca="false">COUNTIF(Q8:Q22,"Выговор")</f>
        <v>0</v>
      </c>
    </row>
    <row r="37" customFormat="false" ht="15" hidden="false" customHeight="true" outlineLevel="0" collapsed="false">
      <c r="A37" s="50"/>
      <c r="B37" s="65" t="str">
        <f aca="false">$K$6</f>
        <v> Социология</v>
      </c>
      <c r="C37" s="65"/>
      <c r="D37" s="65"/>
      <c r="E37" s="65"/>
      <c r="F37" s="65"/>
      <c r="G37" s="65"/>
      <c r="H37" s="65"/>
      <c r="I37" s="65"/>
      <c r="J37" s="65"/>
      <c r="K37" s="66"/>
      <c r="L37" s="66"/>
      <c r="M37" s="66"/>
      <c r="N37" s="492" t="s">
        <v>1346</v>
      </c>
      <c r="O37" s="492"/>
      <c r="P37" s="143" t="n">
        <f aca="false">SUM(R8:R22)</f>
        <v>0</v>
      </c>
    </row>
    <row r="38" customFormat="false" ht="15" hidden="false" customHeight="true" outlineLevel="0" collapsed="false">
      <c r="A38" s="50"/>
      <c r="B38" s="65" t="str">
        <f aca="false">$L$6</f>
        <v> Экология</v>
      </c>
      <c r="C38" s="65"/>
      <c r="D38" s="65"/>
      <c r="E38" s="65"/>
      <c r="F38" s="65"/>
      <c r="G38" s="65"/>
      <c r="H38" s="65"/>
      <c r="I38" s="65"/>
      <c r="J38" s="65"/>
      <c r="K38" s="66"/>
      <c r="L38" s="66"/>
      <c r="M38" s="66"/>
      <c r="N38" s="67"/>
      <c r="O38" s="48"/>
      <c r="P38" s="48"/>
      <c r="Q38" s="48"/>
    </row>
    <row r="39" customFormat="false" ht="15" hidden="false" customHeight="true" outlineLevel="0" collapsed="false">
      <c r="A39" s="50"/>
      <c r="B39" s="65" t="str">
        <f aca="false">$M$6</f>
        <v>Физическая культура и спорт</v>
      </c>
      <c r="C39" s="65"/>
      <c r="D39" s="65"/>
      <c r="E39" s="65"/>
      <c r="F39" s="65"/>
      <c r="G39" s="65"/>
      <c r="H39" s="65"/>
      <c r="I39" s="65"/>
      <c r="J39" s="65"/>
      <c r="K39" s="66"/>
      <c r="L39" s="66"/>
      <c r="M39" s="66"/>
      <c r="N39" s="67"/>
      <c r="O39" s="48"/>
      <c r="P39" s="48"/>
      <c r="Q39" s="48"/>
    </row>
    <row r="40" customFormat="false" ht="15" hidden="false" customHeight="true" outlineLevel="0" collapsed="false">
      <c r="A40" s="50"/>
      <c r="B40" s="139"/>
      <c r="C40" s="139"/>
      <c r="D40" s="139"/>
      <c r="E40" s="139"/>
      <c r="F40" s="139"/>
      <c r="G40" s="139"/>
      <c r="H40" s="139"/>
      <c r="I40" s="139"/>
      <c r="J40" s="139"/>
      <c r="K40" s="139"/>
      <c r="L40" s="139"/>
      <c r="M40" s="139"/>
      <c r="N40" s="67"/>
      <c r="O40" s="48"/>
      <c r="P40" s="48"/>
      <c r="Q40" s="48"/>
    </row>
    <row r="41" customFormat="false" ht="15" hidden="false" customHeight="true" outlineLevel="0" collapsed="false">
      <c r="A41" s="50"/>
      <c r="B41" s="67"/>
      <c r="C41" s="67"/>
      <c r="D41" s="67"/>
      <c r="E41" s="67"/>
      <c r="F41" s="67"/>
      <c r="G41" s="67"/>
      <c r="H41" s="67"/>
      <c r="I41" s="67"/>
      <c r="J41" s="67"/>
      <c r="K41" s="50"/>
      <c r="L41" s="50"/>
      <c r="M41" s="50"/>
      <c r="N41" s="48"/>
      <c r="O41" s="48"/>
      <c r="P41" s="48"/>
      <c r="Q41" s="48"/>
    </row>
    <row r="42" customFormat="false" ht="15" hidden="false" customHeight="true" outlineLevel="0" collapsed="false">
      <c r="A42" s="50"/>
      <c r="B42" s="428" t="s">
        <v>405</v>
      </c>
      <c r="C42" s="467" t="s">
        <v>1347</v>
      </c>
      <c r="D42" s="467"/>
      <c r="E42" s="67"/>
      <c r="F42" s="52" t="s">
        <v>407</v>
      </c>
      <c r="G42" s="381" t="s">
        <v>1315</v>
      </c>
      <c r="H42" s="52"/>
      <c r="I42" s="52"/>
      <c r="J42" s="52"/>
      <c r="K42" s="52"/>
      <c r="L42" s="52"/>
      <c r="M42" s="52"/>
      <c r="N42" s="48"/>
      <c r="O42" s="48"/>
      <c r="P42" s="48"/>
      <c r="Q42" s="48"/>
    </row>
    <row r="43" customFormat="false" ht="15" hidden="false" customHeight="true" outlineLevel="0" collapsed="false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48"/>
      <c r="O43" s="48"/>
      <c r="P43" s="48"/>
      <c r="Q43" s="48"/>
    </row>
    <row r="44" customFormat="false" ht="15" hidden="false" customHeight="true" outlineLevel="0" collapsed="false">
      <c r="A44" s="50"/>
      <c r="B44" s="50" t="s">
        <v>93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48"/>
      <c r="O44" s="48"/>
      <c r="P44" s="48"/>
      <c r="Q44" s="48"/>
    </row>
    <row r="45" customFormat="false" ht="15" hidden="false" customHeight="true" outlineLevel="0" collapsed="false">
      <c r="A45" s="50"/>
      <c r="B45" s="50" t="s">
        <v>94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48"/>
      <c r="O45" s="48"/>
      <c r="P45" s="48"/>
      <c r="Q45" s="48"/>
    </row>
    <row r="46" customFormat="false" ht="15" hidden="false" customHeight="true" outlineLevel="0" collapsed="false">
      <c r="A46" s="50"/>
      <c r="B46" s="50" t="s">
        <v>95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48"/>
      <c r="O46" s="48"/>
      <c r="P46" s="48"/>
      <c r="Q46" s="48"/>
    </row>
    <row r="47" customFormat="false" ht="15" hidden="false" customHeight="true" outlineLevel="0" collapsed="false">
      <c r="A47" s="50"/>
      <c r="B47" s="50" t="s">
        <v>96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48"/>
      <c r="O47" s="48"/>
      <c r="P47" s="48"/>
      <c r="Q47" s="48"/>
    </row>
    <row r="48" customFormat="false" ht="15" hidden="false" customHeight="true" outlineLevel="0" collapsed="false">
      <c r="A48" s="50"/>
      <c r="B48" s="50" t="s">
        <v>97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48"/>
      <c r="O48" s="48"/>
      <c r="P48" s="48"/>
      <c r="Q48" s="48"/>
    </row>
    <row r="49" customFormat="false" ht="15" hidden="false" customHeight="true" outlineLevel="0" collapsed="false">
      <c r="A49" s="50"/>
      <c r="B49" s="50" t="s">
        <v>98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48"/>
      <c r="O49" s="48"/>
      <c r="P49" s="48"/>
      <c r="Q49" s="48"/>
    </row>
    <row r="50" customFormat="false" ht="15" hidden="false" customHeight="true" outlineLevel="0" collapsed="false">
      <c r="A50" s="50"/>
      <c r="B50" s="50" t="s">
        <v>99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48"/>
      <c r="O50" s="48"/>
      <c r="P50" s="48"/>
      <c r="Q50" s="48"/>
    </row>
    <row r="51" customFormat="false" ht="1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</sheetData>
  <mergeCells count="44">
    <mergeCell ref="E1:H1"/>
    <mergeCell ref="A3:L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28:I28"/>
    <mergeCell ref="P28:Q28"/>
    <mergeCell ref="B30:J30"/>
    <mergeCell ref="K30:M30"/>
    <mergeCell ref="N30:O30"/>
    <mergeCell ref="B31:J31"/>
    <mergeCell ref="K31:M31"/>
    <mergeCell ref="N31:O31"/>
    <mergeCell ref="B32:J32"/>
    <mergeCell ref="K32:M32"/>
    <mergeCell ref="N32:O32"/>
    <mergeCell ref="B33:J33"/>
    <mergeCell ref="K33:M33"/>
    <mergeCell ref="N33:O33"/>
    <mergeCell ref="B34:J34"/>
    <mergeCell ref="K34:M34"/>
    <mergeCell ref="N34:O34"/>
    <mergeCell ref="B35:J35"/>
    <mergeCell ref="K35:M35"/>
    <mergeCell ref="N35:O35"/>
    <mergeCell ref="B36:J36"/>
    <mergeCell ref="K36:M36"/>
    <mergeCell ref="N36:O36"/>
    <mergeCell ref="B37:J37"/>
    <mergeCell ref="K37:M37"/>
    <mergeCell ref="N37:O37"/>
    <mergeCell ref="B38:J38"/>
    <mergeCell ref="K38:M38"/>
    <mergeCell ref="B39:J39"/>
    <mergeCell ref="K39:M39"/>
    <mergeCell ref="C42:D42"/>
  </mergeCells>
  <conditionalFormatting sqref="E21:M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M1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:M2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14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M17 E19:M20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8:M1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3:M23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2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48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85"/>
    <col collapsed="false" customWidth="true" hidden="false" outlineLevel="0" max="3" min="3" style="0" width="21.57"/>
    <col collapsed="false" customWidth="false" hidden="false" outlineLevel="0" max="7" min="5" style="45" width="9.14"/>
    <col collapsed="false" customWidth="true" hidden="false" outlineLevel="0" max="8" min="8" style="0" width="10"/>
    <col collapsed="false" customWidth="true" hidden="false" outlineLevel="0" max="10" min="10" style="0" width="12.42"/>
    <col collapsed="false" customWidth="true" hidden="false" outlineLevel="0" max="11" min="11" style="0" width="11.71"/>
    <col collapsed="false" customWidth="true" hidden="false" outlineLevel="0" max="14" min="14" style="0" width="12.71"/>
    <col collapsed="false" customWidth="true" hidden="false" outlineLevel="0" max="17" min="17" style="0" width="13.42"/>
    <col collapsed="false" customWidth="true" hidden="false" outlineLevel="0" max="18" min="18" style="0" width="7.29"/>
    <col collapsed="false" customWidth="true" hidden="false" outlineLevel="0" max="19" min="19" style="0" width="3.86"/>
    <col collapsed="false" customWidth="true" hidden="false" outlineLevel="0" max="20" min="20" style="0" width="4.71"/>
    <col collapsed="false" customWidth="true" hidden="false" outlineLevel="0" max="21" min="21" style="0" width="4.42"/>
  </cols>
  <sheetData>
    <row r="1" customFormat="false" ht="19.7" hidden="false" customHeight="false" outlineLevel="0" collapsed="false">
      <c r="H1" s="3" t="s">
        <v>0</v>
      </c>
      <c r="I1" s="3"/>
      <c r="J1" s="3"/>
      <c r="K1" s="3"/>
    </row>
    <row r="2" customFormat="false" ht="15" hidden="false" customHeight="false" outlineLevel="0" collapsed="false">
      <c r="K2" s="4"/>
      <c r="M2" s="5" t="s">
        <v>1</v>
      </c>
      <c r="N2" s="5"/>
      <c r="O2" s="5"/>
      <c r="P2" s="5"/>
      <c r="Q2" s="75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ИУК3-71Б факультета ИУК МГТУ им. Н.Э. Баумана"</f>
        <v>Успеваемость студентов за 1 семестр 24/25 учебного года по группе ИУК3-71Б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493" t="s">
        <v>370</v>
      </c>
      <c r="F5" s="493"/>
      <c r="G5" s="493"/>
      <c r="H5" s="493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.45" hidden="false" customHeight="false" outlineLevel="0" collapsed="false">
      <c r="A6" s="8"/>
      <c r="B6" s="8"/>
      <c r="C6" s="8"/>
      <c r="D6" s="9"/>
      <c r="E6" s="494" t="s">
        <v>1348</v>
      </c>
      <c r="F6" s="495" t="s">
        <v>1349</v>
      </c>
      <c r="G6" s="495" t="s">
        <v>1350</v>
      </c>
      <c r="H6" s="495" t="s">
        <v>1351</v>
      </c>
      <c r="I6" s="339" t="s">
        <v>1352</v>
      </c>
      <c r="J6" s="340" t="s">
        <v>377</v>
      </c>
      <c r="K6" s="340" t="s">
        <v>378</v>
      </c>
      <c r="L6" s="340" t="s">
        <v>1353</v>
      </c>
      <c r="M6" s="342" t="s">
        <v>379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343" t="s">
        <v>298</v>
      </c>
      <c r="F7" s="496" t="s">
        <v>298</v>
      </c>
      <c r="G7" s="496" t="s">
        <v>298</v>
      </c>
      <c r="H7" s="496" t="s">
        <v>298</v>
      </c>
      <c r="I7" s="343" t="s">
        <v>174</v>
      </c>
      <c r="J7" s="344" t="s">
        <v>1354</v>
      </c>
      <c r="K7" s="344" t="s">
        <v>174</v>
      </c>
      <c r="L7" s="344" t="s">
        <v>1208</v>
      </c>
      <c r="M7" s="346" t="s">
        <v>1355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1356</v>
      </c>
      <c r="C8" s="25" t="s">
        <v>1357</v>
      </c>
      <c r="D8" s="497"/>
      <c r="E8" s="382"/>
      <c r="F8" s="498"/>
      <c r="G8" s="383"/>
      <c r="H8" s="153"/>
      <c r="I8" s="382"/>
      <c r="J8" s="383"/>
      <c r="K8" s="383"/>
      <c r="L8" s="383"/>
      <c r="M8" s="153"/>
      <c r="N8" s="33" t="str">
        <f aca="false">IFERROR(AVERAGE(H8:M8),"")</f>
        <v/>
      </c>
      <c r="O8" s="84" t="str">
        <f aca="false">IF(H8&lt;&gt;"",IF(COUNTIF(H8:M8,"&lt;3"),"Не успевает","Успевает"),"")</f>
        <v/>
      </c>
      <c r="P8" s="241" t="str">
        <f aca="false">IF(D8&lt;&gt;"",(30*(set!B$5)-D8)/(30*(set!B$5))*100,"")</f>
        <v/>
      </c>
      <c r="Q8" s="84" t="str">
        <f aca="false" t="array" ref="Q8:Q8">IF(H8&lt;&gt;"",IF(N8&lt;1.85,"Выговор",IF(N8=1.85,"Выговор",IF(AND(N8&gt;1.85,N8&lt;3),"Предупреждение",IF(AND(N8&gt;3,N8&lt;4.65),"Нормально",IF(AND(N8&gt;4.65,N8&lt;5.1,H8:M8&gt;=4),"Благодарность","Нормально"))))),"")</f>
        <v/>
      </c>
      <c r="R8" s="36" t="n">
        <f aca="false">COUNTIF(H8:M8,2)+COUNTIF(H8:M8,1)+COUNTIF(H8:M8,0)</f>
        <v>0</v>
      </c>
    </row>
    <row r="9" customFormat="false" ht="15" hidden="false" customHeight="true" outlineLevel="0" collapsed="false">
      <c r="A9" s="37" t="n">
        <v>2</v>
      </c>
      <c r="B9" s="37" t="s">
        <v>1358</v>
      </c>
      <c r="C9" s="37" t="s">
        <v>1359</v>
      </c>
      <c r="D9" s="497"/>
      <c r="E9" s="150"/>
      <c r="F9" s="472"/>
      <c r="G9" s="117"/>
      <c r="H9" s="152"/>
      <c r="I9" s="150"/>
      <c r="J9" s="117"/>
      <c r="K9" s="117"/>
      <c r="L9" s="117"/>
      <c r="M9" s="152"/>
      <c r="N9" s="33" t="str">
        <f aca="false">IFERROR(AVERAGE(H9:M9),"")</f>
        <v/>
      </c>
      <c r="O9" s="84" t="str">
        <f aca="false">IF(H9&lt;&gt;"",IF(COUNTIF(H9:M9,"&lt;3"),"Не успевает","Успевает"),"")</f>
        <v/>
      </c>
      <c r="P9" s="241" t="str">
        <f aca="false">IF(D9&lt;&gt;"",(30*(set!B$5)-D9)/(30*(set!B$5))*100,"")</f>
        <v/>
      </c>
      <c r="Q9" s="117" t="str">
        <f aca="false" t="array" ref="Q9:Q9">IF(H9&lt;&gt;"",IF(N9&lt;1.85,"Выговор",IF(N9=1.85,"Выговор",IF(AND(N9&gt;1.85,N9&lt;3),"Предупреждение",IF(AND(N9&gt;3,N9&lt;4.65),"Нормально",IF(AND(N9&gt;4.65,N9&lt;5.1,H9:M9&gt;=4),"Благодарность","Нормально"))))),"")</f>
        <v/>
      </c>
      <c r="R9" s="118" t="n">
        <f aca="false">COUNTIF(H9:M9,2)+COUNTIF(H9:M9,1)+COUNTIF(H9:M9,0)</f>
        <v>0</v>
      </c>
    </row>
    <row r="10" customFormat="false" ht="15" hidden="false" customHeight="true" outlineLevel="0" collapsed="false">
      <c r="A10" s="37" t="n">
        <v>3</v>
      </c>
      <c r="B10" s="37" t="s">
        <v>1360</v>
      </c>
      <c r="C10" s="37" t="s">
        <v>1361</v>
      </c>
      <c r="D10" s="497"/>
      <c r="E10" s="150"/>
      <c r="F10" s="472"/>
      <c r="G10" s="117"/>
      <c r="H10" s="152"/>
      <c r="I10" s="150"/>
      <c r="J10" s="117"/>
      <c r="K10" s="117"/>
      <c r="L10" s="117"/>
      <c r="M10" s="152"/>
      <c r="N10" s="33" t="str">
        <f aca="false">IFERROR(AVERAGE(H10:M10),"")</f>
        <v/>
      </c>
      <c r="O10" s="84" t="str">
        <f aca="false">IF(H10&lt;&gt;"",IF(COUNTIF(H10:M10,"&lt;3"),"Не успевает","Успевает"),"")</f>
        <v/>
      </c>
      <c r="P10" s="241" t="str">
        <f aca="false">IF(D10&lt;&gt;"",(30*(set!B$5)-D10)/(30*(set!B$5))*100,"")</f>
        <v/>
      </c>
      <c r="Q10" s="117" t="str">
        <f aca="false" t="array" ref="Q10:Q10">IF(H10&lt;&gt;"",IF(N10&lt;1.85,"Выговор",IF(N10=1.85,"Выговор",IF(AND(N10&gt;1.85,N10&lt;3),"Предупреждение",IF(AND(N10&gt;3,N10&lt;4.65),"Нормально",IF(AND(N10&gt;4.65,N10&lt;5.1,H10:M10&gt;=4),"Благодарность","Нормально"))))),"")</f>
        <v/>
      </c>
      <c r="R10" s="118" t="n">
        <f aca="false">COUNTIF(H10:M10,2)+COUNTIF(H10:M10,1)+COUNTIF(H10:M10,0)</f>
        <v>0</v>
      </c>
    </row>
    <row r="11" s="45" customFormat="true" ht="15" hidden="false" customHeight="true" outlineLevel="0" collapsed="false">
      <c r="A11" s="37" t="n">
        <v>4</v>
      </c>
      <c r="B11" s="37" t="s">
        <v>1362</v>
      </c>
      <c r="C11" s="37" t="s">
        <v>1363</v>
      </c>
      <c r="D11" s="497"/>
      <c r="E11" s="150"/>
      <c r="F11" s="472"/>
      <c r="G11" s="117"/>
      <c r="H11" s="152"/>
      <c r="I11" s="150"/>
      <c r="J11" s="117"/>
      <c r="K11" s="117"/>
      <c r="L11" s="117"/>
      <c r="M11" s="152"/>
      <c r="N11" s="33" t="str">
        <f aca="false">IFERROR(AVERAGE(H11:M11),"")</f>
        <v/>
      </c>
      <c r="O11" s="84" t="str">
        <f aca="false">IF(H11&lt;&gt;"",IF(COUNTIF(H11:M11,"&lt;3"),"Не успевает","Успевает"),"")</f>
        <v/>
      </c>
      <c r="P11" s="241" t="str">
        <f aca="false">IF(D11&lt;&gt;"",(30*(set!B$5)-D11)/(30*(set!B$5))*100,"")</f>
        <v/>
      </c>
      <c r="Q11" s="117" t="str">
        <f aca="false" t="array" ref="Q11:Q11">IF(H11&lt;&gt;"",IF(N11&lt;1.85,"Выговор",IF(N11=1.85,"Выговор",IF(AND(N11&gt;1.85,N11&lt;3),"Предупреждение",IF(AND(N11&gt;3,N11&lt;4.65),"Нормально",IF(AND(N11&gt;4.65,N11&lt;5.1,H11:M11&gt;=4),"Благодарность","Нормально"))))),"")</f>
        <v/>
      </c>
      <c r="R11" s="118" t="n">
        <f aca="false">COUNTIF(H11:M11,2)+COUNTIF(H11:M11,1)+COUNTIF(H11:M11,0)</f>
        <v>0</v>
      </c>
    </row>
    <row r="12" customFormat="false" ht="15" hidden="false" customHeight="true" outlineLevel="0" collapsed="false">
      <c r="A12" s="37" t="n">
        <v>5</v>
      </c>
      <c r="B12" s="37" t="s">
        <v>1364</v>
      </c>
      <c r="C12" s="37" t="s">
        <v>1365</v>
      </c>
      <c r="D12" s="497"/>
      <c r="E12" s="150"/>
      <c r="F12" s="472"/>
      <c r="G12" s="117"/>
      <c r="H12" s="152"/>
      <c r="I12" s="150"/>
      <c r="J12" s="117"/>
      <c r="K12" s="117"/>
      <c r="L12" s="117"/>
      <c r="M12" s="152"/>
      <c r="N12" s="33" t="str">
        <f aca="false">IFERROR(AVERAGE(H12:M12),"")</f>
        <v/>
      </c>
      <c r="O12" s="84" t="str">
        <f aca="false">IF(H12&lt;&gt;"",IF(COUNTIF(H12:M12,"&lt;3"),"Не успевает","Успевает"),"")</f>
        <v/>
      </c>
      <c r="P12" s="241" t="str">
        <f aca="false">IF(D12&lt;&gt;"",(30*(set!B$5)-D12)/(30*(set!B$5))*100,"")</f>
        <v/>
      </c>
      <c r="Q12" s="117" t="str">
        <f aca="false" t="array" ref="Q12:Q12">IF(H12&lt;&gt;"",IF(N12&lt;1.85,"Выговор",IF(N12=1.85,"Выговор",IF(AND(N12&gt;1.85,N12&lt;3),"Предупреждение",IF(AND(N12&gt;3,N12&lt;4.65),"Нормально",IF(AND(N12&gt;4.65,N12&lt;5.1,H12:M12&gt;=4),"Благодарность","Нормально"))))),"")</f>
        <v/>
      </c>
      <c r="R12" s="118" t="n">
        <f aca="false">COUNTIF(H12:M12,2)+COUNTIF(H12:M12,1)+COUNTIF(H12:M12,0)</f>
        <v>0</v>
      </c>
    </row>
    <row r="13" customFormat="false" ht="15" hidden="false" customHeight="true" outlineLevel="0" collapsed="false">
      <c r="A13" s="37" t="n">
        <v>6</v>
      </c>
      <c r="B13" s="37" t="s">
        <v>1366</v>
      </c>
      <c r="C13" s="37" t="s">
        <v>1367</v>
      </c>
      <c r="D13" s="499"/>
      <c r="E13" s="150"/>
      <c r="F13" s="472"/>
      <c r="G13" s="117"/>
      <c r="H13" s="152"/>
      <c r="I13" s="150"/>
      <c r="J13" s="117"/>
      <c r="K13" s="117"/>
      <c r="L13" s="117"/>
      <c r="M13" s="152"/>
      <c r="N13" s="33" t="str">
        <f aca="false">IFERROR(AVERAGE(H13:M13),"")</f>
        <v/>
      </c>
      <c r="O13" s="84" t="str">
        <f aca="false">IF(H13&lt;&gt;"",IF(COUNTIF(H13:M13,"&lt;3"),"Не успевает","Успевает"),"")</f>
        <v/>
      </c>
      <c r="P13" s="241" t="str">
        <f aca="false">IF(D13&lt;&gt;"",(30*(set!B$5)-D13)/(30*(set!B$5))*100,"")</f>
        <v/>
      </c>
      <c r="Q13" s="117" t="str">
        <f aca="false" t="array" ref="Q13:Q13">IF(H13&lt;&gt;"",IF(N13&lt;1.85,"Выговор",IF(N13=1.85,"Выговор",IF(AND(N13&gt;1.85,N13&lt;3),"Предупреждение",IF(AND(N13&gt;3,N13&lt;4.65),"Нормально",IF(AND(N13&gt;4.65,N13&lt;5.1,H13:M13&gt;=4),"Благодарность","Нормально"))))),"")</f>
        <v/>
      </c>
      <c r="R13" s="118" t="n">
        <f aca="false">COUNTIF(H13:M13,2)+COUNTIF(H13:M13,1)+COUNTIF(H13:M13,0)</f>
        <v>0</v>
      </c>
    </row>
    <row r="14" s="45" customFormat="true" ht="15" hidden="false" customHeight="true" outlineLevel="0" collapsed="false">
      <c r="A14" s="37" t="n">
        <v>7</v>
      </c>
      <c r="B14" s="37" t="s">
        <v>1368</v>
      </c>
      <c r="C14" s="37" t="s">
        <v>1369</v>
      </c>
      <c r="D14" s="497"/>
      <c r="E14" s="150"/>
      <c r="F14" s="472"/>
      <c r="G14" s="117"/>
      <c r="H14" s="152"/>
      <c r="I14" s="150"/>
      <c r="J14" s="117"/>
      <c r="K14" s="117"/>
      <c r="L14" s="117"/>
      <c r="M14" s="152"/>
      <c r="N14" s="33" t="str">
        <f aca="false">IFERROR(AVERAGE(H14:M14),"")</f>
        <v/>
      </c>
      <c r="O14" s="84" t="str">
        <f aca="false">IF(H14&lt;&gt;"",IF(COUNTIF(H14:M14,"&lt;3"),"Не успевает","Успевает"),"")</f>
        <v/>
      </c>
      <c r="P14" s="241" t="str">
        <f aca="false">IF(D14&lt;&gt;"",(30*(set!B$5)-D14)/(30*(set!B$5))*100,"")</f>
        <v/>
      </c>
      <c r="Q14" s="117" t="str">
        <f aca="false" t="array" ref="Q14:Q14">IF(H14&lt;&gt;"",IF(N14&lt;1.85,"Выговор",IF(N14=1.85,"Выговор",IF(AND(N14&gt;1.85,N14&lt;3),"Предупреждение",IF(AND(N14&gt;3,N14&lt;4.65),"Нормально",IF(AND(N14&gt;4.65,N14&lt;5.1,H14:M14&gt;=4),"Благодарность","Нормально"))))),"")</f>
        <v/>
      </c>
      <c r="R14" s="118" t="n">
        <f aca="false">COUNTIF(H14:M14,2)+COUNTIF(H14:M14,1)+COUNTIF(H14:M14,0)</f>
        <v>0</v>
      </c>
    </row>
    <row r="15" customFormat="false" ht="15" hidden="false" customHeight="true" outlineLevel="0" collapsed="false">
      <c r="A15" s="37" t="n">
        <v>8</v>
      </c>
      <c r="B15" s="37" t="s">
        <v>1370</v>
      </c>
      <c r="C15" s="37" t="s">
        <v>1371</v>
      </c>
      <c r="D15" s="497"/>
      <c r="E15" s="150"/>
      <c r="F15" s="472"/>
      <c r="G15" s="117"/>
      <c r="H15" s="152"/>
      <c r="I15" s="150"/>
      <c r="J15" s="117"/>
      <c r="K15" s="117"/>
      <c r="L15" s="117"/>
      <c r="M15" s="152"/>
      <c r="N15" s="33" t="str">
        <f aca="false">IFERROR(AVERAGE(H15:M15),"")</f>
        <v/>
      </c>
      <c r="O15" s="84" t="str">
        <f aca="false">IF(H15&lt;&gt;"",IF(COUNTIF(H15:M15,"&lt;3"),"Не успевает","Успевает"),"")</f>
        <v/>
      </c>
      <c r="P15" s="241" t="str">
        <f aca="false">IF(D15&lt;&gt;"",(30*(set!B$5)-D15)/(30*(set!B$5))*100,"")</f>
        <v/>
      </c>
      <c r="Q15" s="117" t="str">
        <f aca="false" t="array" ref="Q15:Q15">IF(H15&lt;&gt;"",IF(N15&lt;1.85,"Выговор",IF(N15=1.85,"Выговор",IF(AND(N15&gt;1.85,N15&lt;3),"Предупреждение",IF(AND(N15&gt;3,N15&lt;4.65),"Нормально",IF(AND(N15&gt;4.65,N15&lt;5.1,H15:M15&gt;=4),"Благодарность","Нормально"))))),"")</f>
        <v/>
      </c>
      <c r="R15" s="118" t="n">
        <f aca="false">COUNTIF(H15:M15,2)+COUNTIF(H15:M15,1)+COUNTIF(H15:M15,0)</f>
        <v>0</v>
      </c>
    </row>
    <row r="16" customFormat="false" ht="15" hidden="false" customHeight="true" outlineLevel="0" collapsed="false">
      <c r="A16" s="37" t="n">
        <v>9</v>
      </c>
      <c r="B16" s="37" t="s">
        <v>1372</v>
      </c>
      <c r="C16" s="37" t="s">
        <v>1373</v>
      </c>
      <c r="D16" s="497"/>
      <c r="E16" s="150"/>
      <c r="F16" s="472"/>
      <c r="G16" s="117"/>
      <c r="H16" s="152"/>
      <c r="I16" s="150"/>
      <c r="J16" s="117"/>
      <c r="K16" s="117"/>
      <c r="L16" s="117"/>
      <c r="M16" s="152"/>
      <c r="N16" s="33" t="str">
        <f aca="false">IFERROR(AVERAGE(H16:M16),"")</f>
        <v/>
      </c>
      <c r="O16" s="84" t="str">
        <f aca="false">IF(H16&lt;&gt;"",IF(COUNTIF(H16:M16,"&lt;3"),"Не успевает","Успевает"),"")</f>
        <v/>
      </c>
      <c r="P16" s="241" t="str">
        <f aca="false">IF(D16&lt;&gt;"",(30*(set!B$5)-D16)/(30*(set!B$5))*100,"")</f>
        <v/>
      </c>
      <c r="Q16" s="117" t="str">
        <f aca="false" t="array" ref="Q16:Q16">IF(H16&lt;&gt;"",IF(N16&lt;1.85,"Выговор",IF(N16=1.85,"Выговор",IF(AND(N16&gt;1.85,N16&lt;3),"Предупреждение",IF(AND(N16&gt;3,N16&lt;4.65),"Нормально",IF(AND(N16&gt;4.65,N16&lt;5.1,H16:M16&gt;=4),"Благодарность","Нормально"))))),"")</f>
        <v/>
      </c>
      <c r="R16" s="118" t="n">
        <f aca="false">COUNTIF(H16:M16,2)+COUNTIF(H16:M16,1)+COUNTIF(H16:M16,0)</f>
        <v>0</v>
      </c>
    </row>
    <row r="17" s="45" customFormat="true" ht="15" hidden="false" customHeight="true" outlineLevel="0" collapsed="false">
      <c r="A17" s="37" t="n">
        <v>10</v>
      </c>
      <c r="B17" s="37" t="s">
        <v>1374</v>
      </c>
      <c r="C17" s="37" t="s">
        <v>1375</v>
      </c>
      <c r="D17" s="497"/>
      <c r="E17" s="150"/>
      <c r="F17" s="472"/>
      <c r="G17" s="117"/>
      <c r="H17" s="152"/>
      <c r="I17" s="150"/>
      <c r="J17" s="117"/>
      <c r="K17" s="117"/>
      <c r="L17" s="117"/>
      <c r="M17" s="152"/>
      <c r="N17" s="33" t="str">
        <f aca="false">IFERROR(AVERAGE(H17:M17),"")</f>
        <v/>
      </c>
      <c r="O17" s="84" t="str">
        <f aca="false">IF(H17&lt;&gt;"",IF(COUNTIF(H17:M17,"&lt;3"),"Не успевает","Успевает"),"")</f>
        <v/>
      </c>
      <c r="P17" s="241" t="str">
        <f aca="false">IF(D17&lt;&gt;"",(30*(set!B$5)-D17)/(30*(set!B$5))*100,"")</f>
        <v/>
      </c>
      <c r="Q17" s="117" t="str">
        <f aca="false" t="array" ref="Q17:Q17">IF(H17&lt;&gt;"",IF(N17&lt;1.85,"Выговор",IF(N17=1.85,"Выговор",IF(AND(N17&gt;1.85,N17&lt;3),"Предупреждение",IF(AND(N17&gt;3,N17&lt;4.65),"Нормально",IF(AND(N17&gt;4.65,N17&lt;5.1,H17:M17&gt;=4),"Благодарность","Нормально"))))),"")</f>
        <v/>
      </c>
      <c r="R17" s="118" t="n">
        <f aca="false">COUNTIF(H17:M17,2)+COUNTIF(H17:M17,1)+COUNTIF(H17:M17,0)</f>
        <v>0</v>
      </c>
    </row>
    <row r="18" customFormat="false" ht="15" hidden="false" customHeight="true" outlineLevel="0" collapsed="false">
      <c r="A18" s="37" t="n">
        <v>11</v>
      </c>
      <c r="B18" s="37" t="s">
        <v>1376</v>
      </c>
      <c r="C18" s="37" t="s">
        <v>1377</v>
      </c>
      <c r="D18" s="497"/>
      <c r="E18" s="150"/>
      <c r="F18" s="472"/>
      <c r="G18" s="117"/>
      <c r="H18" s="152"/>
      <c r="I18" s="150"/>
      <c r="J18" s="117"/>
      <c r="K18" s="117"/>
      <c r="L18" s="117"/>
      <c r="M18" s="152"/>
      <c r="N18" s="33" t="str">
        <f aca="false">IFERROR(AVERAGE(H18:M18),"")</f>
        <v/>
      </c>
      <c r="O18" s="84" t="str">
        <f aca="false">IF(H18&lt;&gt;"",IF(COUNTIF(H18:M18,"&lt;3"),"Не успевает","Успевает"),"")</f>
        <v/>
      </c>
      <c r="P18" s="241" t="str">
        <f aca="false">IF(D18&lt;&gt;"",(30*(set!B$5)-D18)/(30*(set!B$5))*100,"")</f>
        <v/>
      </c>
      <c r="Q18" s="117" t="str">
        <f aca="false" t="array" ref="Q18:Q18">IF(H18&lt;&gt;"",IF(N18&lt;1.85,"Выговор",IF(N18=1.85,"Выговор",IF(AND(N18&gt;1.85,N18&lt;3),"Предупреждение",IF(AND(N18&gt;3,N18&lt;4.65),"Нормально",IF(AND(N18&gt;4.65,N18&lt;5.1,H18:M18&gt;=4),"Благодарность","Нормально"))))),"")</f>
        <v/>
      </c>
      <c r="R18" s="118" t="n">
        <f aca="false">COUNTIF(H18:M18,2)+COUNTIF(H18:M18,1)+COUNTIF(H18:M18,0)</f>
        <v>0</v>
      </c>
    </row>
    <row r="19" customFormat="false" ht="15" hidden="false" customHeight="true" outlineLevel="0" collapsed="false">
      <c r="A19" s="0" t="s">
        <v>77</v>
      </c>
      <c r="D19" s="46"/>
      <c r="E19" s="47" t="e">
        <f aca="false">AVERAGE(E8:E18)</f>
        <v>#DIV/0!</v>
      </c>
      <c r="F19" s="47" t="e">
        <f aca="false">AVERAGE(F8:F18)</f>
        <v>#DIV/0!</v>
      </c>
      <c r="G19" s="47" t="e">
        <f aca="false">AVERAGE(G8:G18)</f>
        <v>#DIV/0!</v>
      </c>
      <c r="H19" s="47" t="e">
        <f aca="false">AVERAGE(H8:H18)</f>
        <v>#DIV/0!</v>
      </c>
      <c r="I19" s="47" t="e">
        <f aca="false">AVERAGE(I8:I18)</f>
        <v>#DIV/0!</v>
      </c>
      <c r="J19" s="47" t="e">
        <f aca="false">AVERAGE(J8:J18)</f>
        <v>#DIV/0!</v>
      </c>
      <c r="K19" s="47" t="e">
        <f aca="false">AVERAGE(K8:K18)</f>
        <v>#DIV/0!</v>
      </c>
      <c r="L19" s="47" t="e">
        <f aca="false">AVERAGE(L8:L18)</f>
        <v>#DIV/0!</v>
      </c>
      <c r="M19" s="47" t="e">
        <f aca="false">AVERAGE(M8:M18)</f>
        <v>#DIV/0!</v>
      </c>
      <c r="N19" s="47"/>
      <c r="O19" s="48"/>
      <c r="P19" s="48"/>
      <c r="Q19" s="48"/>
    </row>
    <row r="20" customFormat="false" ht="15" hidden="false" customHeight="true" outlineLevel="0" collapsed="false">
      <c r="A20" s="0" t="s">
        <v>78</v>
      </c>
      <c r="D20" s="46"/>
      <c r="E20" s="47" t="e">
        <f aca="false">(COUNTIF(E8:E18,5)+COUNTIF(E8:E18,4)+COUNTIF(E8:E18,3))/$N$24*100</f>
        <v>#DIV/0!</v>
      </c>
      <c r="F20" s="47" t="e">
        <f aca="false">(COUNTIF(F8:F18,5)+COUNTIF(F8:F18,4)+COUNTIF(F8:F18,3))/$N$24*100</f>
        <v>#DIV/0!</v>
      </c>
      <c r="G20" s="47" t="e">
        <f aca="false">(COUNTIF(G8:G18,5)+COUNTIF(G8:G18,4)+COUNTIF(G8:G18,3))/$N$24*100</f>
        <v>#DIV/0!</v>
      </c>
      <c r="H20" s="47" t="e">
        <f aca="false">(COUNTIF(H8:H18,5)+COUNTIF(H8:H18,4)+COUNTIF(H8:H18,3))/$N$24*100</f>
        <v>#DIV/0!</v>
      </c>
      <c r="I20" s="47" t="e">
        <f aca="false">(COUNTIF(I8:I18,5)+COUNTIF(I8:I18,4)+COUNTIF(I8:I18,3))/$N$24*100</f>
        <v>#DIV/0!</v>
      </c>
      <c r="J20" s="47" t="e">
        <f aca="false">(COUNTIF(J8:J18,5)+COUNTIF(J8:J18,4)+COUNTIF(J8:J18,3))/$N$24*100</f>
        <v>#DIV/0!</v>
      </c>
      <c r="K20" s="47" t="e">
        <f aca="false">(COUNTIF(K8:K18,5)+COUNTIF(K8:K18,4)+COUNTIF(K8:K18,3))/$N$24*100</f>
        <v>#DIV/0!</v>
      </c>
      <c r="L20" s="47" t="e">
        <f aca="false">(COUNTIF(L8:L18,5)+COUNTIF(L8:L18,4)+COUNTIF(L8:L18,3))/$N$24*100</f>
        <v>#DIV/0!</v>
      </c>
      <c r="M20" s="47" t="e">
        <f aca="false">(COUNTIF(M8:M18,5)+COUNTIF(M8:M18,4)+COUNTIF(M8:M18,3))/$N$24*100</f>
        <v>#DIV/0!</v>
      </c>
      <c r="N20" s="47"/>
      <c r="O20" s="48"/>
      <c r="P20" s="48"/>
      <c r="Q20" s="48"/>
    </row>
    <row r="21" customFormat="false" ht="15" hidden="false" customHeight="true" outlineLevel="0" collapsed="false">
      <c r="D21" s="46"/>
      <c r="E21" s="46"/>
      <c r="F21" s="46"/>
      <c r="G21" s="46"/>
      <c r="H21" s="47"/>
      <c r="I21" s="47"/>
      <c r="J21" s="47"/>
      <c r="K21" s="47"/>
      <c r="L21" s="47"/>
      <c r="M21" s="47"/>
      <c r="N21" s="47"/>
      <c r="O21" s="48"/>
      <c r="P21" s="48"/>
      <c r="Q21" s="48"/>
    </row>
    <row r="22" customFormat="false" ht="15" hidden="false" customHeight="true" outlineLevel="0" collapsed="false">
      <c r="B22" s="50"/>
      <c r="C22" s="50" t="s">
        <v>8</v>
      </c>
      <c r="D22" s="51" t="str">
        <f aca="false">IFERROR(AVERAGE(N8:N18),"")</f>
        <v/>
      </c>
      <c r="E22" s="51"/>
      <c r="F22" s="51"/>
      <c r="G22" s="51"/>
      <c r="H22" s="52" t="s">
        <v>9</v>
      </c>
      <c r="I22" s="52"/>
      <c r="J22" s="55" t="str">
        <f aca="false">IFERROR(COUNTIF(O8:O18,"Успевает")/N24*100,"")</f>
        <v/>
      </c>
      <c r="K22" s="161"/>
      <c r="L22" s="54" t="s">
        <v>79</v>
      </c>
      <c r="M22" s="54"/>
      <c r="N22" s="53" t="str">
        <f aca="false">IFERROR(AVERAGE(P8:P18),"")</f>
        <v/>
      </c>
      <c r="O22" s="158"/>
      <c r="P22" s="48"/>
      <c r="Q22" s="48"/>
    </row>
    <row r="23" customFormat="false" ht="15" hidden="false" customHeight="true" outlineLevel="0" collapsed="false">
      <c r="B23" s="50"/>
      <c r="C23" s="50"/>
      <c r="D23" s="50"/>
      <c r="E23" s="50"/>
      <c r="F23" s="50"/>
      <c r="G23" s="50"/>
      <c r="H23" s="56"/>
      <c r="I23" s="56"/>
      <c r="J23" s="56"/>
      <c r="K23" s="56"/>
      <c r="O23" s="183"/>
      <c r="P23" s="183"/>
    </row>
    <row r="24" customFormat="false" ht="15" hidden="false" customHeight="true" outlineLevel="0" collapsed="false">
      <c r="A24" s="50"/>
      <c r="B24" s="61" t="s">
        <v>81</v>
      </c>
      <c r="C24" s="61"/>
      <c r="D24" s="61"/>
      <c r="E24" s="61"/>
      <c r="F24" s="61"/>
      <c r="G24" s="61"/>
      <c r="H24" s="61"/>
      <c r="I24" s="61"/>
      <c r="J24" s="61" t="s">
        <v>82</v>
      </c>
      <c r="K24" s="61"/>
      <c r="L24" s="57" t="s">
        <v>80</v>
      </c>
      <c r="M24" s="57"/>
      <c r="N24" s="58" t="n">
        <f aca="false">SUM(N25,N26)</f>
        <v>0</v>
      </c>
      <c r="O24" s="64"/>
      <c r="P24" s="64"/>
    </row>
    <row r="25" customFormat="false" ht="15" hidden="false" customHeight="true" outlineLevel="0" collapsed="false">
      <c r="A25" s="50"/>
      <c r="B25" s="65" t="str">
        <f aca="false">$E$6</f>
        <v> Исполнительные устройства систем управления</v>
      </c>
      <c r="C25" s="65"/>
      <c r="D25" s="65"/>
      <c r="E25" s="65"/>
      <c r="F25" s="65"/>
      <c r="G25" s="65"/>
      <c r="H25" s="65"/>
      <c r="I25" s="65"/>
      <c r="J25" s="66"/>
      <c r="K25" s="66"/>
      <c r="L25" s="57" t="s">
        <v>83</v>
      </c>
      <c r="M25" s="57"/>
      <c r="N25" s="58" t="n">
        <f aca="false">COUNTIF(O8:O18,"Успевает")</f>
        <v>0</v>
      </c>
      <c r="O25" s="99"/>
      <c r="P25" s="69"/>
    </row>
    <row r="26" customFormat="false" ht="15" hidden="false" customHeight="true" outlineLevel="0" collapsed="false">
      <c r="A26" s="50"/>
      <c r="B26" s="65" t="str">
        <f aca="false">$F$6</f>
        <v> Оптимальное управление детерминированными процессами</v>
      </c>
      <c r="C26" s="65"/>
      <c r="D26" s="65"/>
      <c r="E26" s="65"/>
      <c r="F26" s="65"/>
      <c r="G26" s="65"/>
      <c r="H26" s="65"/>
      <c r="I26" s="65"/>
      <c r="J26" s="66"/>
      <c r="K26" s="66"/>
      <c r="L26" s="98" t="s">
        <v>84</v>
      </c>
      <c r="M26" s="98"/>
      <c r="N26" s="58" t="n">
        <f aca="false">COUNTIF(O8:O18,"Не успевает")</f>
        <v>0</v>
      </c>
      <c r="O26" s="64"/>
    </row>
    <row r="27" customFormat="false" ht="15" hidden="false" customHeight="true" outlineLevel="0" collapsed="false">
      <c r="A27" s="50"/>
      <c r="B27" s="65" t="str">
        <f aca="false">$G$6</f>
        <v> Оценивание состояния и идентификация динамических систем</v>
      </c>
      <c r="C27" s="65"/>
      <c r="D27" s="65"/>
      <c r="E27" s="65"/>
      <c r="F27" s="65"/>
      <c r="G27" s="65"/>
      <c r="H27" s="65"/>
      <c r="I27" s="65"/>
      <c r="J27" s="66"/>
      <c r="K27" s="66"/>
      <c r="L27" s="98" t="s">
        <v>85</v>
      </c>
      <c r="M27" s="98"/>
      <c r="N27" s="58" t="n">
        <f aca="false">COUNTIF(Q8:Q18,"Благодарность")</f>
        <v>0</v>
      </c>
      <c r="O27" s="48"/>
    </row>
    <row r="28" customFormat="false" ht="15" hidden="false" customHeight="true" outlineLevel="0" collapsed="false">
      <c r="A28" s="50"/>
      <c r="B28" s="65" t="str">
        <f aca="false">$H$6</f>
        <v> Программирование микроконтроллеров</v>
      </c>
      <c r="C28" s="65"/>
      <c r="D28" s="65"/>
      <c r="E28" s="65"/>
      <c r="F28" s="65"/>
      <c r="G28" s="65"/>
      <c r="H28" s="65"/>
      <c r="I28" s="65"/>
      <c r="J28" s="66"/>
      <c r="K28" s="66"/>
      <c r="L28" s="98" t="s">
        <v>86</v>
      </c>
      <c r="M28" s="98"/>
      <c r="N28" s="58" t="n">
        <f aca="false">COUNTIF(Q8:Q18,"Нормально")</f>
        <v>0</v>
      </c>
      <c r="O28" s="48"/>
    </row>
    <row r="29" customFormat="false" ht="15" hidden="false" customHeight="true" outlineLevel="0" collapsed="false">
      <c r="A29" s="50"/>
      <c r="B29" s="65" t="str">
        <f aca="false">$I$6</f>
        <v> Автоматизация проектирования электронных
средств</v>
      </c>
      <c r="C29" s="65"/>
      <c r="D29" s="65"/>
      <c r="E29" s="65"/>
      <c r="F29" s="65"/>
      <c r="G29" s="65"/>
      <c r="H29" s="65"/>
      <c r="I29" s="65"/>
      <c r="J29" s="195"/>
      <c r="K29" s="195"/>
      <c r="L29" s="98" t="s">
        <v>87</v>
      </c>
      <c r="M29" s="98"/>
      <c r="N29" s="58" t="n">
        <f aca="false">COUNTIF(Q8:Q18,"Предупреждение")</f>
        <v>0</v>
      </c>
      <c r="O29" s="48"/>
    </row>
    <row r="30" customFormat="false" ht="15" hidden="false" customHeight="true" outlineLevel="0" collapsed="false">
      <c r="A30" s="50"/>
      <c r="B30" s="65" t="str">
        <f aca="false">$J$6</f>
        <v> Научно-исследовательская работа</v>
      </c>
      <c r="C30" s="65"/>
      <c r="D30" s="65"/>
      <c r="E30" s="65"/>
      <c r="F30" s="65"/>
      <c r="G30" s="65"/>
      <c r="H30" s="65"/>
      <c r="I30" s="65"/>
      <c r="J30" s="66"/>
      <c r="K30" s="66"/>
      <c r="L30" s="98" t="s">
        <v>88</v>
      </c>
      <c r="M30" s="98"/>
      <c r="N30" s="58" t="n">
        <f aca="false">COUNTIF(Q8:Q18,"Выговор")</f>
        <v>0</v>
      </c>
      <c r="O30" s="48"/>
    </row>
    <row r="31" customFormat="false" ht="15" hidden="false" customHeight="true" outlineLevel="0" collapsed="false">
      <c r="A31" s="50"/>
      <c r="B31" s="65" t="str">
        <f aca="false">$K$6</f>
        <v> Основы аналого-цифровой схемотехники</v>
      </c>
      <c r="C31" s="65"/>
      <c r="D31" s="65"/>
      <c r="E31" s="65"/>
      <c r="F31" s="65"/>
      <c r="G31" s="65"/>
      <c r="H31" s="65"/>
      <c r="I31" s="65"/>
      <c r="J31" s="66"/>
      <c r="K31" s="66"/>
      <c r="L31" s="185" t="s">
        <v>12</v>
      </c>
      <c r="M31" s="380"/>
      <c r="N31" s="143" t="n">
        <f aca="false">SUM(R8:R18)</f>
        <v>0</v>
      </c>
      <c r="O31" s="48"/>
    </row>
    <row r="32" customFormat="false" ht="15" hidden="false" customHeight="true" outlineLevel="0" collapsed="false">
      <c r="A32" s="50"/>
      <c r="B32" s="65" t="str">
        <f aca="false">$L$6</f>
        <v>Статистическая динамика информационно_x005F_x0002_управляющих систем (к.п.)</v>
      </c>
      <c r="C32" s="65"/>
      <c r="D32" s="65"/>
      <c r="E32" s="65"/>
      <c r="F32" s="65"/>
      <c r="G32" s="65"/>
      <c r="H32" s="65"/>
      <c r="I32" s="65"/>
      <c r="J32" s="66"/>
      <c r="K32" s="66"/>
      <c r="L32" s="67"/>
      <c r="M32" s="67"/>
      <c r="N32" s="48"/>
      <c r="O32" s="48"/>
    </row>
    <row r="33" customFormat="false" ht="15" hidden="false" customHeight="true" outlineLevel="0" collapsed="false">
      <c r="A33" s="50"/>
      <c r="B33" s="65" t="str">
        <f aca="false">$M$6</f>
        <v>Экономика</v>
      </c>
      <c r="C33" s="65"/>
      <c r="D33" s="65"/>
      <c r="E33" s="65"/>
      <c r="F33" s="65"/>
      <c r="G33" s="65"/>
      <c r="H33" s="65"/>
      <c r="I33" s="65"/>
      <c r="J33" s="66"/>
      <c r="K33" s="66"/>
      <c r="L33" s="67"/>
      <c r="M33" s="67"/>
      <c r="N33" s="48"/>
      <c r="O33" s="48"/>
    </row>
    <row r="34" customFormat="false" ht="15" hidden="false" customHeight="true" outlineLevel="0" collapsed="false">
      <c r="A34" s="50"/>
      <c r="L34" s="67"/>
      <c r="M34" s="67"/>
      <c r="N34" s="48"/>
      <c r="O34" s="48"/>
      <c r="P34" s="48"/>
    </row>
    <row r="35" customFormat="false" ht="15" hidden="false" customHeight="true" outlineLevel="0" collapsed="false">
      <c r="A35" s="50"/>
      <c r="B35" s="500" t="s">
        <v>1378</v>
      </c>
      <c r="C35" s="455" t="s">
        <v>1379</v>
      </c>
      <c r="D35" s="455"/>
      <c r="E35" s="501"/>
      <c r="F35" s="501"/>
      <c r="G35" s="501"/>
      <c r="H35" s="67"/>
      <c r="I35" s="52"/>
      <c r="J35" s="52" t="s">
        <v>1380</v>
      </c>
      <c r="K35" s="300" t="s">
        <v>1381</v>
      </c>
      <c r="L35" s="67"/>
      <c r="M35" s="67"/>
    </row>
    <row r="36" customFormat="false" ht="15" hidden="false" customHeight="true" outlineLevel="0" collapsed="false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139"/>
      <c r="M36" s="139"/>
    </row>
    <row r="37" customFormat="false" ht="15" hidden="false" customHeight="true" outlineLevel="0" collapsed="false">
      <c r="A37" s="50"/>
      <c r="B37" s="50" t="s">
        <v>93</v>
      </c>
      <c r="C37" s="50"/>
      <c r="D37" s="50"/>
      <c r="E37" s="50"/>
      <c r="F37" s="50"/>
      <c r="G37" s="50"/>
      <c r="H37" s="50"/>
      <c r="I37" s="50"/>
      <c r="J37" s="50"/>
      <c r="K37" s="50"/>
    </row>
    <row r="38" customFormat="false" ht="15" hidden="false" customHeight="true" outlineLevel="0" collapsed="false">
      <c r="A38" s="50"/>
      <c r="B38" s="50" t="s">
        <v>94</v>
      </c>
      <c r="C38" s="50"/>
      <c r="D38" s="50"/>
      <c r="E38" s="50"/>
      <c r="F38" s="50"/>
      <c r="G38" s="50"/>
      <c r="H38" s="50"/>
      <c r="I38" s="50"/>
      <c r="J38" s="50"/>
      <c r="L38" s="48"/>
    </row>
    <row r="39" customFormat="false" ht="15" hidden="false" customHeight="true" outlineLevel="0" collapsed="false">
      <c r="A39" s="50"/>
      <c r="B39" s="50" t="s">
        <v>95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</row>
    <row r="40" customFormat="false" ht="15" hidden="false" customHeight="true" outlineLevel="0" collapsed="false">
      <c r="A40" s="50"/>
      <c r="B40" s="50" t="s">
        <v>96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</row>
    <row r="41" customFormat="false" ht="15" hidden="false" customHeight="true" outlineLevel="0" collapsed="false">
      <c r="A41" s="50"/>
      <c r="B41" s="50" t="s">
        <v>97</v>
      </c>
      <c r="C41" s="50"/>
      <c r="D41" s="50"/>
      <c r="E41" s="50"/>
      <c r="F41" s="50"/>
      <c r="G41" s="50"/>
      <c r="H41" s="50"/>
      <c r="I41" s="50"/>
      <c r="J41" s="50"/>
      <c r="K41" s="50"/>
    </row>
    <row r="42" customFormat="false" ht="15" hidden="false" customHeight="true" outlineLevel="0" collapsed="false">
      <c r="A42" s="50"/>
      <c r="B42" s="50" t="s">
        <v>98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</row>
    <row r="43" customFormat="false" ht="15" hidden="false" customHeight="true" outlineLevel="0" collapsed="false">
      <c r="A43" s="50"/>
      <c r="B43" s="50" t="s">
        <v>99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</row>
    <row r="44" customFormat="false" ht="15" hidden="false" customHeight="true" outlineLevel="0" collapsed="false">
      <c r="A44" s="50"/>
      <c r="L44" s="50"/>
    </row>
    <row r="45" customFormat="false" ht="15" hidden="false" customHeight="true" outlineLevel="0" collapsed="false">
      <c r="A45" s="50"/>
      <c r="L45" s="50"/>
    </row>
    <row r="46" customFormat="false" ht="15" hidden="false" customHeight="true" outlineLevel="0" collapsed="false">
      <c r="A46" s="50"/>
      <c r="L46" s="50"/>
      <c r="M46" s="50"/>
      <c r="N46" s="48"/>
      <c r="O46" s="48"/>
      <c r="P46" s="48"/>
      <c r="Q46" s="48"/>
    </row>
    <row r="47" customFormat="false" ht="15" hidden="false" customHeight="true" outlineLevel="0" collapsed="false"/>
    <row r="48" customFormat="false" ht="15" hidden="false" customHeight="true" outlineLevel="0" collapsed="false"/>
  </sheetData>
  <mergeCells count="42">
    <mergeCell ref="M2:P2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L22:M22"/>
    <mergeCell ref="O23:P23"/>
    <mergeCell ref="B24:I24"/>
    <mergeCell ref="J24:K24"/>
    <mergeCell ref="L24:M24"/>
    <mergeCell ref="B25:I25"/>
    <mergeCell ref="J25:K25"/>
    <mergeCell ref="L25:M25"/>
    <mergeCell ref="B26:I26"/>
    <mergeCell ref="J26:K26"/>
    <mergeCell ref="L26:M26"/>
    <mergeCell ref="B27:I27"/>
    <mergeCell ref="J27:K27"/>
    <mergeCell ref="L27:M27"/>
    <mergeCell ref="B28:I28"/>
    <mergeCell ref="J28:K28"/>
    <mergeCell ref="L28:M28"/>
    <mergeCell ref="B29:I29"/>
    <mergeCell ref="J29:K29"/>
    <mergeCell ref="L29:M29"/>
    <mergeCell ref="B30:I30"/>
    <mergeCell ref="J30:K30"/>
    <mergeCell ref="L30:M30"/>
    <mergeCell ref="B31:I31"/>
    <mergeCell ref="J31:K31"/>
    <mergeCell ref="B32:I32"/>
    <mergeCell ref="J32:K32"/>
    <mergeCell ref="B33:I33"/>
    <mergeCell ref="J33:K33"/>
    <mergeCell ref="C35:D35"/>
  </mergeCells>
  <conditionalFormatting sqref="E17:G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G1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1:G1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3:G13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G16 E12:G12 E18:G1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G10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3:K13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2:M13 H8:M10 M15:M16 M18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18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3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9:N21 E19:G20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5:L16 H12:L12 H18:L18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1:M1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4:M14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7:M17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1"/>
  <sheetViews>
    <sheetView showFormulas="false" showGridLines="true" showRowColHeaders="true" showZeros="true" rightToLeft="false" tabSelected="false" showOutlineSymbols="true" defaultGridColor="true" view="normal" topLeftCell="B5" colorId="64" zoomScale="140" zoomScaleNormal="140" zoomScalePageLayoutView="100" workbookViewId="0">
      <selection pane="topLeft" activeCell="B8" activeCellId="0" sqref="B8"/>
    </sheetView>
  </sheetViews>
  <sheetFormatPr defaultColWidth="8.6796875" defaultRowHeight="15" zeroHeight="false" outlineLevelRow="0" outlineLevelCol="0"/>
  <cols>
    <col collapsed="false" customWidth="true" hidden="false" outlineLevel="0" max="3" min="3" style="0" width="21.29"/>
    <col collapsed="false" customWidth="true" hidden="false" outlineLevel="0" max="10" min="10" style="0" width="11.57"/>
    <col collapsed="false" customWidth="true" hidden="false" outlineLevel="0" max="11" min="11" style="0" width="12.57"/>
    <col collapsed="false" customWidth="true" hidden="false" outlineLevel="0" max="17" min="17" style="0" width="10.14"/>
  </cols>
  <sheetData>
    <row r="1" customFormat="false" ht="19.7" hidden="false" customHeight="false" outlineLevel="0" collapsed="false">
      <c r="A1" s="45"/>
      <c r="B1" s="45"/>
      <c r="C1" s="45"/>
      <c r="D1" s="45"/>
      <c r="E1" s="45"/>
      <c r="F1" s="45"/>
      <c r="G1" s="45"/>
      <c r="H1" s="3" t="s">
        <v>0</v>
      </c>
      <c r="I1" s="3"/>
      <c r="J1" s="3"/>
      <c r="K1" s="3"/>
      <c r="L1" s="45"/>
      <c r="M1" s="45"/>
      <c r="N1" s="45"/>
      <c r="O1" s="45"/>
      <c r="P1" s="45"/>
      <c r="Q1" s="45"/>
      <c r="R1" s="45"/>
      <c r="S1" s="45"/>
    </row>
    <row r="2" customFormat="false" ht="15" hidden="false" customHeight="false" outlineLevel="0" collapsed="false">
      <c r="A2" s="45"/>
      <c r="B2" s="45"/>
      <c r="C2" s="45"/>
      <c r="D2" s="45"/>
      <c r="E2" s="45"/>
      <c r="F2" s="45"/>
      <c r="G2" s="45"/>
      <c r="H2" s="45"/>
      <c r="I2" s="45"/>
      <c r="J2" s="45"/>
      <c r="K2" s="4"/>
      <c r="L2" s="45"/>
      <c r="M2" s="5" t="s">
        <v>1</v>
      </c>
      <c r="N2" s="5"/>
      <c r="O2" s="5"/>
      <c r="P2" s="5"/>
      <c r="Q2" s="75" t="n">
        <f aca="false">set!B4</f>
        <v>45608</v>
      </c>
      <c r="R2" s="45"/>
      <c r="S2" s="45"/>
    </row>
    <row r="3" customFormat="false" ht="15" hidden="false" customHeight="false" outlineLevel="0" collapsed="false">
      <c r="A3" s="45" t="str">
        <f aca="false">"Успеваемость студентов за "&amp;(set!B2)&amp;" "&amp;"семестр"&amp;" "&amp;(set!B3) &amp;" "&amp; "учебного года по группе ИУК3-72Б факультета ИУК МГТУ им. Н.Э. Баумана"</f>
        <v>Успеваемость студентов за 1 семестр 24/25 учебного года по группе ИУК3-72Б факультета ИУК МГТУ им. Н.Э. Баумана</v>
      </c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5"/>
    </row>
    <row r="4" customFormat="false" ht="15" hidden="false" customHeight="false" outlineLevel="0" collapsed="false">
      <c r="A4" s="45"/>
      <c r="B4" s="7"/>
      <c r="C4" s="7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493" t="s">
        <v>370</v>
      </c>
      <c r="F5" s="493"/>
      <c r="G5" s="493"/>
      <c r="H5" s="493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  <c r="S5" s="45"/>
    </row>
    <row r="6" customFormat="false" ht="15" hidden="false" customHeight="false" outlineLevel="0" collapsed="false">
      <c r="A6" s="8"/>
      <c r="B6" s="8"/>
      <c r="C6" s="8"/>
      <c r="D6" s="9"/>
      <c r="E6" s="494" t="s">
        <v>1348</v>
      </c>
      <c r="F6" s="495" t="s">
        <v>1349</v>
      </c>
      <c r="G6" s="495" t="s">
        <v>1350</v>
      </c>
      <c r="H6" s="495" t="s">
        <v>1351</v>
      </c>
      <c r="I6" s="339" t="s">
        <v>1352</v>
      </c>
      <c r="J6" s="340" t="s">
        <v>377</v>
      </c>
      <c r="K6" s="340" t="s">
        <v>378</v>
      </c>
      <c r="L6" s="340" t="s">
        <v>1353</v>
      </c>
      <c r="M6" s="342" t="s">
        <v>379</v>
      </c>
      <c r="N6" s="12"/>
      <c r="O6" s="13"/>
      <c r="P6" s="13"/>
      <c r="Q6" s="14"/>
      <c r="R6" s="14"/>
      <c r="S6" s="45"/>
    </row>
    <row r="7" customFormat="false" ht="17.9" hidden="false" customHeight="false" outlineLevel="0" collapsed="false">
      <c r="A7" s="8"/>
      <c r="B7" s="8"/>
      <c r="C7" s="8"/>
      <c r="D7" s="9"/>
      <c r="E7" s="343" t="s">
        <v>298</v>
      </c>
      <c r="F7" s="496" t="s">
        <v>298</v>
      </c>
      <c r="G7" s="496" t="s">
        <v>298</v>
      </c>
      <c r="H7" s="496" t="s">
        <v>298</v>
      </c>
      <c r="I7" s="343" t="s">
        <v>174</v>
      </c>
      <c r="J7" s="344" t="s">
        <v>1354</v>
      </c>
      <c r="K7" s="344" t="s">
        <v>174</v>
      </c>
      <c r="L7" s="344" t="s">
        <v>1208</v>
      </c>
      <c r="M7" s="346" t="s">
        <v>1355</v>
      </c>
      <c r="N7" s="12"/>
      <c r="O7" s="13"/>
      <c r="P7" s="13"/>
      <c r="Q7" s="14"/>
      <c r="R7" s="14"/>
      <c r="S7" s="45"/>
    </row>
    <row r="8" customFormat="false" ht="15" hidden="false" customHeight="false" outlineLevel="0" collapsed="false">
      <c r="A8" s="25" t="n">
        <v>1</v>
      </c>
      <c r="B8" s="25" t="s">
        <v>1382</v>
      </c>
      <c r="C8" s="25" t="s">
        <v>1383</v>
      </c>
      <c r="D8" s="497"/>
      <c r="E8" s="150"/>
      <c r="F8" s="472"/>
      <c r="G8" s="117"/>
      <c r="H8" s="152"/>
      <c r="I8" s="150"/>
      <c r="J8" s="117"/>
      <c r="K8" s="117"/>
      <c r="L8" s="117"/>
      <c r="M8" s="152"/>
      <c r="N8" s="33" t="str">
        <f aca="false">IFERROR(AVERAGE(H8:M8),"")</f>
        <v/>
      </c>
      <c r="O8" s="84" t="str">
        <f aca="false">IF(H8&lt;&gt;"",IF(COUNTIF(H8:M8,"&lt;3"),"Не успевает","Успевает"),"")</f>
        <v/>
      </c>
      <c r="P8" s="241" t="str">
        <f aca="false">IF(D8&lt;&gt;"",(30*(set!B$5)-D8)/(30*(set!B$5))*100,"")</f>
        <v/>
      </c>
      <c r="Q8" s="84" t="str">
        <f aca="false" t="array" ref="Q8:Q8">IF(H8&lt;&gt;"",IF(N8&lt;1.85,"Выговор",IF(N8=1.85,"Выговор",IF(AND(N8&gt;1.85,N8&lt;3),"Предупреждение",IF(AND(N8&gt;3,N8&lt;4.65),"Нормально",IF(AND(N8&gt;4.65,N8&lt;5.1,H8:M8&gt;=4),"Благодарность","Нормально"))))),"")</f>
        <v/>
      </c>
      <c r="R8" s="36" t="n">
        <f aca="false">COUNTIF(H8:M8,2)+COUNTIF(H8:M8,1)+COUNTIF(H8:M8,0)</f>
        <v>0</v>
      </c>
      <c r="S8" s="45"/>
    </row>
    <row r="9" customFormat="false" ht="15" hidden="false" customHeight="false" outlineLevel="0" collapsed="false">
      <c r="A9" s="37" t="n">
        <v>2</v>
      </c>
      <c r="B9" s="37" t="s">
        <v>1384</v>
      </c>
      <c r="C9" s="37" t="s">
        <v>1385</v>
      </c>
      <c r="D9" s="497"/>
      <c r="E9" s="150"/>
      <c r="F9" s="472"/>
      <c r="G9" s="117"/>
      <c r="H9" s="152"/>
      <c r="I9" s="150"/>
      <c r="J9" s="117"/>
      <c r="K9" s="117"/>
      <c r="L9" s="117"/>
      <c r="M9" s="152"/>
      <c r="N9" s="33" t="str">
        <f aca="false">IFERROR(AVERAGE(H9:M9),"")</f>
        <v/>
      </c>
      <c r="O9" s="84" t="str">
        <f aca="false">IF(H9&lt;&gt;"",IF(COUNTIF(H9:M9,"&lt;3"),"Не успевает","Успевает"),"")</f>
        <v/>
      </c>
      <c r="P9" s="241" t="str">
        <f aca="false">IF(D9&lt;&gt;"",(30*(set!B$5)-D9)/(30*(set!B$5))*100,"")</f>
        <v/>
      </c>
      <c r="Q9" s="117" t="str">
        <f aca="false" t="array" ref="Q9:Q9">IF(H9&lt;&gt;"",IF(N9&lt;1.85,"Выговор",IF(N9=1.85,"Выговор",IF(AND(N9&gt;1.85,N9&lt;3),"Предупреждение",IF(AND(N9&gt;3,N9&lt;4.65),"Нормально",IF(AND(N9&gt;4.65,N9&lt;5.1,H9:M9&gt;=4),"Благодарность","Нормально"))))),"")</f>
        <v/>
      </c>
      <c r="R9" s="118" t="n">
        <f aca="false">COUNTIF(H9:M9,2)+COUNTIF(H9:M9,1)+COUNTIF(H9:M9,0)</f>
        <v>0</v>
      </c>
      <c r="S9" s="45"/>
    </row>
    <row r="10" customFormat="false" ht="15" hidden="false" customHeight="false" outlineLevel="0" collapsed="false">
      <c r="A10" s="37" t="n">
        <v>3</v>
      </c>
      <c r="B10" s="37" t="s">
        <v>1386</v>
      </c>
      <c r="C10" s="37" t="s">
        <v>1387</v>
      </c>
      <c r="D10" s="497"/>
      <c r="E10" s="150"/>
      <c r="F10" s="472"/>
      <c r="G10" s="117"/>
      <c r="H10" s="152"/>
      <c r="I10" s="150"/>
      <c r="J10" s="117"/>
      <c r="K10" s="117"/>
      <c r="L10" s="117"/>
      <c r="M10" s="152"/>
      <c r="N10" s="33" t="str">
        <f aca="false">IFERROR(AVERAGE(H10:M10),"")</f>
        <v/>
      </c>
      <c r="O10" s="84" t="str">
        <f aca="false">IF(H10&lt;&gt;"",IF(COUNTIF(H10:M10,"&lt;3"),"Не успевает","Успевает"),"")</f>
        <v/>
      </c>
      <c r="P10" s="241" t="str">
        <f aca="false">IF(D10&lt;&gt;"",(30*(set!B$5)-D10)/(30*(set!B$5))*100,"")</f>
        <v/>
      </c>
      <c r="Q10" s="117" t="str">
        <f aca="false" t="array" ref="Q10:Q10">IF(H10&lt;&gt;"",IF(N10&lt;1.85,"Выговор",IF(N10=1.85,"Выговор",IF(AND(N10&gt;1.85,N10&lt;3),"Предупреждение",IF(AND(N10&gt;3,N10&lt;4.65),"Нормально",IF(AND(N10&gt;4.65,N10&lt;5.1,H10:M10&gt;=4),"Благодарность","Нормально"))))),"")</f>
        <v/>
      </c>
      <c r="R10" s="118" t="n">
        <f aca="false">COUNTIF(H10:M10,2)+COUNTIF(H10:M10,1)+COUNTIF(H10:M10,0)</f>
        <v>0</v>
      </c>
      <c r="S10" s="45"/>
    </row>
    <row r="11" customFormat="false" ht="15" hidden="false" customHeight="false" outlineLevel="0" collapsed="false">
      <c r="A11" s="37" t="n">
        <v>4</v>
      </c>
      <c r="B11" s="37" t="s">
        <v>1388</v>
      </c>
      <c r="C11" s="37" t="s">
        <v>1389</v>
      </c>
      <c r="D11" s="497"/>
      <c r="E11" s="150"/>
      <c r="F11" s="472"/>
      <c r="G11" s="117"/>
      <c r="H11" s="152"/>
      <c r="I11" s="150"/>
      <c r="J11" s="117"/>
      <c r="K11" s="117"/>
      <c r="L11" s="117"/>
      <c r="M11" s="152"/>
      <c r="N11" s="33" t="str">
        <f aca="false">IFERROR(AVERAGE(H11:M11),"")</f>
        <v/>
      </c>
      <c r="O11" s="84" t="str">
        <f aca="false">IF(H11&lt;&gt;"",IF(COUNTIF(H11:M11,"&lt;3"),"Не успевает","Успевает"),"")</f>
        <v/>
      </c>
      <c r="P11" s="241" t="str">
        <f aca="false">IF(D11&lt;&gt;"",(30*(set!B$5)-D11)/(30*(set!B$5))*100,"")</f>
        <v/>
      </c>
      <c r="Q11" s="117" t="str">
        <f aca="false" t="array" ref="Q11:Q11">IF(H11&lt;&gt;"",IF(N11&lt;1.85,"Выговор",IF(N11=1.85,"Выговор",IF(AND(N11&gt;1.85,N11&lt;3),"Предупреждение",IF(AND(N11&gt;3,N11&lt;4.65),"Нормально",IF(AND(N11&gt;4.65,N11&lt;5.1,H11:M11&gt;=4),"Благодарность","Нормально"))))),"")</f>
        <v/>
      </c>
      <c r="R11" s="118" t="n">
        <f aca="false">COUNTIF(H11:M11,2)+COUNTIF(H11:M11,1)+COUNTIF(H11:M11,0)</f>
        <v>0</v>
      </c>
      <c r="S11" s="45"/>
    </row>
    <row r="12" customFormat="false" ht="14.25" hidden="false" customHeight="true" outlineLevel="0" collapsed="false">
      <c r="A12" s="37" t="n">
        <v>5</v>
      </c>
      <c r="B12" s="37" t="s">
        <v>1390</v>
      </c>
      <c r="C12" s="37" t="s">
        <v>1391</v>
      </c>
      <c r="D12" s="497"/>
      <c r="E12" s="150"/>
      <c r="F12" s="472"/>
      <c r="G12" s="117"/>
      <c r="H12" s="152"/>
      <c r="I12" s="150"/>
      <c r="J12" s="117"/>
      <c r="K12" s="117"/>
      <c r="L12" s="117"/>
      <c r="M12" s="152"/>
      <c r="N12" s="33" t="str">
        <f aca="false">IFERROR(AVERAGE(H12:M12),"")</f>
        <v/>
      </c>
      <c r="O12" s="84" t="str">
        <f aca="false">IF(H12&lt;&gt;"",IF(COUNTIF(H12:M12,"&lt;3"),"Не успевает","Успевает"),"")</f>
        <v/>
      </c>
      <c r="P12" s="241" t="str">
        <f aca="false">IF(D12&lt;&gt;"",(30*(set!B$5)-D12)/(30*(set!B$5))*100,"")</f>
        <v/>
      </c>
      <c r="Q12" s="117" t="str">
        <f aca="false" t="array" ref="Q12:Q12">IF(H12&lt;&gt;"",IF(N12&lt;1.85,"Выговор",IF(N12=1.85,"Выговор",IF(AND(N12&gt;1.85,N12&lt;3),"Предупреждение",IF(AND(N12&gt;3,N12&lt;4.65),"Нормально",IF(AND(N12&gt;4.65,N12&lt;5.1,H12:M12&gt;=4),"Благодарность","Нормально"))))),"")</f>
        <v/>
      </c>
      <c r="R12" s="118" t="n">
        <f aca="false">COUNTIF(H12:M12,2)+COUNTIF(H12:M12,1)+COUNTIF(H12:M12,0)</f>
        <v>0</v>
      </c>
      <c r="S12" s="45"/>
    </row>
    <row r="13" customFormat="false" ht="15" hidden="false" customHeight="false" outlineLevel="0" collapsed="false">
      <c r="A13" s="37" t="n">
        <v>6</v>
      </c>
      <c r="B13" s="37" t="s">
        <v>1392</v>
      </c>
      <c r="C13" s="37" t="s">
        <v>1393</v>
      </c>
      <c r="D13" s="497"/>
      <c r="E13" s="150"/>
      <c r="F13" s="472"/>
      <c r="G13" s="117"/>
      <c r="H13" s="152"/>
      <c r="I13" s="150"/>
      <c r="J13" s="117"/>
      <c r="K13" s="117"/>
      <c r="L13" s="117"/>
      <c r="M13" s="152"/>
      <c r="N13" s="33" t="str">
        <f aca="false">IFERROR(AVERAGE(H13:M13),"")</f>
        <v/>
      </c>
      <c r="O13" s="84" t="str">
        <f aca="false">IF(H13&lt;&gt;"",IF(COUNTIF(H13:M13,"&lt;3"),"Не успевает","Успевает"),"")</f>
        <v/>
      </c>
      <c r="P13" s="241" t="str">
        <f aca="false">IF(D13&lt;&gt;"",(30*(set!B$5)-D13)/(30*(set!B$5))*100,"")</f>
        <v/>
      </c>
      <c r="Q13" s="117" t="str">
        <f aca="false" t="array" ref="Q13:Q13">IF(H13&lt;&gt;"",IF(N13&lt;1.85,"Выговор",IF(N13=1.85,"Выговор",IF(AND(N13&gt;1.85,N13&lt;3),"Предупреждение",IF(AND(N13&gt;3,N13&lt;4.65),"Нормально",IF(AND(N13&gt;4.65,N13&lt;5.1,H13:M13&gt;=4),"Благодарность","Нормально"))))),"")</f>
        <v/>
      </c>
      <c r="R13" s="118" t="n">
        <f aca="false">COUNTIF(H13:M13,2)+COUNTIF(H13:M13,1)+COUNTIF(H13:M13,0)</f>
        <v>0</v>
      </c>
      <c r="S13" s="45"/>
    </row>
    <row r="14" customFormat="false" ht="15" hidden="false" customHeight="false" outlineLevel="0" collapsed="false">
      <c r="A14" s="37" t="n">
        <v>7</v>
      </c>
      <c r="B14" s="37" t="s">
        <v>1394</v>
      </c>
      <c r="C14" s="37" t="s">
        <v>1395</v>
      </c>
      <c r="D14" s="497"/>
      <c r="E14" s="150"/>
      <c r="F14" s="472"/>
      <c r="G14" s="117"/>
      <c r="H14" s="152"/>
      <c r="I14" s="150"/>
      <c r="J14" s="117"/>
      <c r="K14" s="117"/>
      <c r="L14" s="117"/>
      <c r="M14" s="152"/>
      <c r="N14" s="33" t="str">
        <f aca="false">IFERROR(AVERAGE(H14:M14),"")</f>
        <v/>
      </c>
      <c r="O14" s="84" t="str">
        <f aca="false">IF(H14&lt;&gt;"",IF(COUNTIF(H14:M14,"&lt;3"),"Не успевает","Успевает"),"")</f>
        <v/>
      </c>
      <c r="P14" s="241" t="str">
        <f aca="false">IF(D14&lt;&gt;"",(30*(set!B$5)-D14)/(30*(set!B$5))*100,"")</f>
        <v/>
      </c>
      <c r="Q14" s="117" t="str">
        <f aca="false" t="array" ref="Q14:Q14">IF(H14&lt;&gt;"",IF(N14&lt;1.85,"Выговор",IF(N14=1.85,"Выговор",IF(AND(N14&gt;1.85,N14&lt;3),"Предупреждение",IF(AND(N14&gt;3,N14&lt;4.65),"Нормально",IF(AND(N14&gt;4.65,N14&lt;5.1,H14:M14&gt;=4),"Благодарность","Нормально"))))),"")</f>
        <v/>
      </c>
      <c r="R14" s="118" t="n">
        <f aca="false">COUNTIF(H14:M14,2)+COUNTIF(H14:M14,1)+COUNTIF(H14:M14,0)</f>
        <v>0</v>
      </c>
      <c r="S14" s="45"/>
    </row>
    <row r="15" customFormat="false" ht="15" hidden="false" customHeight="false" outlineLevel="0" collapsed="false">
      <c r="A15" s="37" t="n">
        <v>8</v>
      </c>
      <c r="B15" s="37" t="s">
        <v>1396</v>
      </c>
      <c r="C15" s="37" t="s">
        <v>1397</v>
      </c>
      <c r="D15" s="497"/>
      <c r="E15" s="150"/>
      <c r="F15" s="472"/>
      <c r="G15" s="117"/>
      <c r="H15" s="152"/>
      <c r="I15" s="150"/>
      <c r="J15" s="117"/>
      <c r="K15" s="117"/>
      <c r="L15" s="117"/>
      <c r="M15" s="152"/>
      <c r="N15" s="33" t="str">
        <f aca="false">IFERROR(AVERAGE(H15:M15),"")</f>
        <v/>
      </c>
      <c r="O15" s="84" t="str">
        <f aca="false">IF(H15&lt;&gt;"",IF(COUNTIF(H15:M15,"&lt;3"),"Не успевает","Успевает"),"")</f>
        <v/>
      </c>
      <c r="P15" s="241" t="str">
        <f aca="false">IF(D15&lt;&gt;"",(30*(set!B$5)-D15)/(30*(set!B$5))*100,"")</f>
        <v/>
      </c>
      <c r="Q15" s="117" t="str">
        <f aca="false" t="array" ref="Q15:Q15">IF(H15&lt;&gt;"",IF(N15&lt;1.85,"Выговор",IF(N15=1.85,"Выговор",IF(AND(N15&gt;1.85,N15&lt;3),"Предупреждение",IF(AND(N15&gt;3,N15&lt;4.65),"Нормально",IF(AND(N15&gt;4.65,N15&lt;5.1,H15:M15&gt;=4),"Благодарность","Нормально"))))),"")</f>
        <v/>
      </c>
      <c r="R15" s="118" t="n">
        <f aca="false">COUNTIF(H15:M15,2)+COUNTIF(H15:M15,1)+COUNTIF(H15:M15,0)</f>
        <v>0</v>
      </c>
      <c r="S15" s="45"/>
    </row>
    <row r="16" customFormat="false" ht="15" hidden="false" customHeight="false" outlineLevel="0" collapsed="false">
      <c r="A16" s="37" t="n">
        <v>9</v>
      </c>
      <c r="B16" s="37" t="s">
        <v>1398</v>
      </c>
      <c r="C16" s="37" t="s">
        <v>1399</v>
      </c>
      <c r="D16" s="497"/>
      <c r="E16" s="150"/>
      <c r="F16" s="472"/>
      <c r="G16" s="117"/>
      <c r="H16" s="152"/>
      <c r="I16" s="150"/>
      <c r="J16" s="117"/>
      <c r="K16" s="117"/>
      <c r="L16" s="117"/>
      <c r="M16" s="152"/>
      <c r="N16" s="33" t="str">
        <f aca="false">IFERROR(AVERAGE(H16:M16),"")</f>
        <v/>
      </c>
      <c r="O16" s="84" t="str">
        <f aca="false">IF(H16&lt;&gt;"",IF(COUNTIF(H16:M16,"&lt;3"),"Не успевает","Успевает"),"")</f>
        <v/>
      </c>
      <c r="P16" s="241" t="str">
        <f aca="false">IF(D16&lt;&gt;"",(30*(set!B$5)-D16)/(30*(set!B$5))*100,"")</f>
        <v/>
      </c>
      <c r="Q16" s="117" t="str">
        <f aca="false" t="array" ref="Q16:Q16">IF(H16&lt;&gt;"",IF(N16&lt;1.85,"Выговор",IF(N16=1.85,"Выговор",IF(AND(N16&gt;1.85,N16&lt;3),"Предупреждение",IF(AND(N16&gt;3,N16&lt;4.65),"Нормально",IF(AND(N16&gt;4.65,N16&lt;5.1,H16:M16&gt;=4),"Благодарность","Нормально"))))),"")</f>
        <v/>
      </c>
      <c r="R16" s="118" t="n">
        <f aca="false">COUNTIF(H16:M16,2)+COUNTIF(H16:M16,1)+COUNTIF(H16:M16,0)</f>
        <v>0</v>
      </c>
      <c r="S16" s="45"/>
    </row>
    <row r="17" customFormat="false" ht="15" hidden="false" customHeight="false" outlineLevel="0" collapsed="false">
      <c r="A17" s="45" t="s">
        <v>77</v>
      </c>
      <c r="B17" s="45"/>
      <c r="C17" s="45"/>
      <c r="D17" s="46"/>
      <c r="E17" s="47" t="e">
        <f aca="false">AVERAGE(E8:E16)</f>
        <v>#DIV/0!</v>
      </c>
      <c r="F17" s="47" t="e">
        <f aca="false">AVERAGE(F8:F16)</f>
        <v>#DIV/0!</v>
      </c>
      <c r="G17" s="47" t="e">
        <f aca="false">AVERAGE(G8:G16)</f>
        <v>#DIV/0!</v>
      </c>
      <c r="H17" s="47" t="e">
        <f aca="false">AVERAGE(H8:H16)</f>
        <v>#DIV/0!</v>
      </c>
      <c r="I17" s="47" t="e">
        <f aca="false">AVERAGE(I8:I16)</f>
        <v>#DIV/0!</v>
      </c>
      <c r="J17" s="47" t="e">
        <f aca="false">AVERAGE(J8:J16)</f>
        <v>#DIV/0!</v>
      </c>
      <c r="K17" s="47" t="e">
        <f aca="false">AVERAGE(K8:K16)</f>
        <v>#DIV/0!</v>
      </c>
      <c r="L17" s="47" t="e">
        <f aca="false">AVERAGE(L8:L16)</f>
        <v>#DIV/0!</v>
      </c>
      <c r="M17" s="47" t="e">
        <f aca="false">AVERAGE(M8:M16)</f>
        <v>#DIV/0!</v>
      </c>
      <c r="N17" s="47"/>
      <c r="O17" s="48"/>
      <c r="P17" s="48"/>
      <c r="Q17" s="48"/>
      <c r="R17" s="45"/>
      <c r="S17" s="45"/>
    </row>
    <row r="18" customFormat="false" ht="15" hidden="false" customHeight="false" outlineLevel="0" collapsed="false">
      <c r="A18" s="45" t="s">
        <v>78</v>
      </c>
      <c r="B18" s="45"/>
      <c r="C18" s="45"/>
      <c r="D18" s="46"/>
      <c r="E18" s="47" t="e">
        <f aca="false">(COUNTIF(E8:E16,5)+COUNTIF(E8:E16,4)+COUNTIF(E8:E16,3))/$N$22*100</f>
        <v>#DIV/0!</v>
      </c>
      <c r="F18" s="47" t="e">
        <f aca="false">(COUNTIF(F8:F16,5)+COUNTIF(F8:F16,4)+COUNTIF(F8:F16,3))/$N$22*100</f>
        <v>#DIV/0!</v>
      </c>
      <c r="G18" s="47" t="e">
        <f aca="false">(COUNTIF(G8:G16,5)+COUNTIF(G8:G16,4)+COUNTIF(G8:G16,3))/$N$22*100</f>
        <v>#DIV/0!</v>
      </c>
      <c r="H18" s="47" t="e">
        <f aca="false">(COUNTIF(H8:H16,5)+COUNTIF(H8:H16,4)+COUNTIF(H8:H16,3))/$N$22*100</f>
        <v>#DIV/0!</v>
      </c>
      <c r="I18" s="47" t="e">
        <f aca="false">(COUNTIF(I8:I16,5)+COUNTIF(I8:I16,4)+COUNTIF(I8:I16,3))/$N$22*100</f>
        <v>#DIV/0!</v>
      </c>
      <c r="J18" s="47" t="e">
        <f aca="false">(COUNTIF(J8:J16,5)+COUNTIF(J8:J16,4)+COUNTIF(J8:J16,3))/$N$22*100</f>
        <v>#DIV/0!</v>
      </c>
      <c r="K18" s="47" t="e">
        <f aca="false">(COUNTIF(K8:K16,5)+COUNTIF(K8:K16,4)+COUNTIF(K8:K16,3))/$N$22*100</f>
        <v>#DIV/0!</v>
      </c>
      <c r="L18" s="47" t="e">
        <f aca="false">(COUNTIF(L8:L16,5)+COUNTIF(L8:L16,4)+COUNTIF(L8:L16,3))/$N$22*100</f>
        <v>#DIV/0!</v>
      </c>
      <c r="M18" s="47" t="e">
        <f aca="false">(COUNTIF(M8:M16,5)+COUNTIF(M8:M16,4)+COUNTIF(M8:M16,3))/$N$22*100</f>
        <v>#DIV/0!</v>
      </c>
      <c r="N18" s="47"/>
      <c r="O18" s="48"/>
      <c r="P18" s="48"/>
      <c r="Q18" s="48"/>
      <c r="R18" s="45"/>
      <c r="S18" s="45"/>
    </row>
    <row r="19" customFormat="false" ht="15" hidden="false" customHeight="false" outlineLevel="0" collapsed="false">
      <c r="A19" s="45"/>
      <c r="B19" s="45"/>
      <c r="C19" s="45"/>
      <c r="D19" s="46"/>
      <c r="E19" s="46"/>
      <c r="F19" s="46"/>
      <c r="G19" s="46"/>
      <c r="H19" s="47"/>
      <c r="I19" s="47"/>
      <c r="J19" s="47"/>
      <c r="K19" s="47"/>
      <c r="L19" s="47"/>
      <c r="M19" s="47"/>
      <c r="N19" s="47"/>
      <c r="O19" s="48"/>
      <c r="P19" s="48"/>
      <c r="Q19" s="48"/>
      <c r="R19" s="45"/>
      <c r="S19" s="45"/>
    </row>
    <row r="20" customFormat="false" ht="25.35" hidden="false" customHeight="true" outlineLevel="0" collapsed="false">
      <c r="A20" s="45"/>
      <c r="B20" s="50"/>
      <c r="C20" s="50" t="s">
        <v>8</v>
      </c>
      <c r="D20" s="51" t="str">
        <f aca="false">IFERROR(AVERAGE(N8:N16),"")</f>
        <v/>
      </c>
      <c r="E20" s="51"/>
      <c r="F20" s="51"/>
      <c r="G20" s="51"/>
      <c r="H20" s="52" t="s">
        <v>9</v>
      </c>
      <c r="I20" s="52"/>
      <c r="J20" s="55" t="str">
        <f aca="false">IFERROR(COUNTIF(O8:O16,"Успевает")/N22*100,"")</f>
        <v/>
      </c>
      <c r="K20" s="161"/>
      <c r="L20" s="54" t="s">
        <v>79</v>
      </c>
      <c r="M20" s="54"/>
      <c r="N20" s="53" t="str">
        <f aca="false">IFERROR(AVERAGE(P8:P16),"")</f>
        <v/>
      </c>
      <c r="O20" s="158"/>
      <c r="P20" s="48"/>
      <c r="Q20" s="48"/>
      <c r="R20" s="45"/>
      <c r="S20" s="45"/>
    </row>
    <row r="21" customFormat="false" ht="15" hidden="false" customHeight="false" outlineLevel="0" collapsed="false">
      <c r="A21" s="45"/>
      <c r="B21" s="50"/>
      <c r="C21" s="50"/>
      <c r="D21" s="50"/>
      <c r="E21" s="50"/>
      <c r="F21" s="50"/>
      <c r="G21" s="50"/>
      <c r="H21" s="56"/>
      <c r="I21" s="56"/>
      <c r="J21" s="56"/>
      <c r="K21" s="56"/>
      <c r="L21" s="45"/>
      <c r="M21" s="45"/>
      <c r="N21" s="45"/>
      <c r="O21" s="183"/>
      <c r="P21" s="183"/>
      <c r="Q21" s="45"/>
      <c r="R21" s="45"/>
      <c r="S21" s="45"/>
    </row>
    <row r="22" customFormat="false" ht="15" hidden="false" customHeight="true" outlineLevel="0" collapsed="false">
      <c r="A22" s="50"/>
      <c r="B22" s="61" t="s">
        <v>81</v>
      </c>
      <c r="C22" s="61"/>
      <c r="D22" s="61"/>
      <c r="E22" s="61"/>
      <c r="F22" s="61"/>
      <c r="G22" s="61"/>
      <c r="H22" s="61"/>
      <c r="I22" s="61"/>
      <c r="J22" s="61" t="s">
        <v>82</v>
      </c>
      <c r="K22" s="61"/>
      <c r="L22" s="57" t="s">
        <v>80</v>
      </c>
      <c r="M22" s="57"/>
      <c r="N22" s="58" t="n">
        <f aca="false">SUM(N23,N24)</f>
        <v>0</v>
      </c>
      <c r="O22" s="64"/>
      <c r="P22" s="64"/>
      <c r="Q22" s="45"/>
      <c r="R22" s="45"/>
      <c r="S22" s="45"/>
    </row>
    <row r="23" customFormat="false" ht="15" hidden="false" customHeight="true" outlineLevel="0" collapsed="false">
      <c r="A23" s="50"/>
      <c r="B23" s="65" t="str">
        <f aca="false">$E$6</f>
        <v> Исполнительные устройства систем управления</v>
      </c>
      <c r="C23" s="65"/>
      <c r="D23" s="65"/>
      <c r="E23" s="65"/>
      <c r="F23" s="65"/>
      <c r="G23" s="65"/>
      <c r="H23" s="65"/>
      <c r="I23" s="65"/>
      <c r="J23" s="66"/>
      <c r="K23" s="66"/>
      <c r="L23" s="57" t="s">
        <v>83</v>
      </c>
      <c r="M23" s="57"/>
      <c r="N23" s="58" t="n">
        <f aca="false">COUNTIF(O8:O16,"Успевает")</f>
        <v>0</v>
      </c>
      <c r="O23" s="99"/>
      <c r="P23" s="69"/>
      <c r="Q23" s="45"/>
      <c r="R23" s="45"/>
      <c r="S23" s="45"/>
    </row>
    <row r="24" customFormat="false" ht="15" hidden="false" customHeight="false" outlineLevel="0" collapsed="false">
      <c r="A24" s="50"/>
      <c r="B24" s="65" t="str">
        <f aca="false">$F$6</f>
        <v> Оптимальное управление детерминированными процессами</v>
      </c>
      <c r="C24" s="65"/>
      <c r="D24" s="65"/>
      <c r="E24" s="65"/>
      <c r="F24" s="65"/>
      <c r="G24" s="65"/>
      <c r="H24" s="65"/>
      <c r="I24" s="65"/>
      <c r="J24" s="66"/>
      <c r="K24" s="66"/>
      <c r="L24" s="98" t="s">
        <v>84</v>
      </c>
      <c r="M24" s="98"/>
      <c r="N24" s="58" t="n">
        <f aca="false">COUNTIF(O8:O16,"Не успевает")</f>
        <v>0</v>
      </c>
      <c r="O24" s="64"/>
      <c r="P24" s="45"/>
      <c r="Q24" s="45"/>
      <c r="R24" s="45"/>
      <c r="S24" s="45"/>
    </row>
    <row r="25" customFormat="false" ht="15" hidden="false" customHeight="false" outlineLevel="0" collapsed="false">
      <c r="A25" s="50"/>
      <c r="B25" s="65" t="str">
        <f aca="false">$G$6</f>
        <v> Оценивание состояния и идентификация динамических систем</v>
      </c>
      <c r="C25" s="65"/>
      <c r="D25" s="65"/>
      <c r="E25" s="65"/>
      <c r="F25" s="65"/>
      <c r="G25" s="65"/>
      <c r="H25" s="65"/>
      <c r="I25" s="65"/>
      <c r="J25" s="66"/>
      <c r="K25" s="66"/>
      <c r="L25" s="98" t="s">
        <v>85</v>
      </c>
      <c r="M25" s="98"/>
      <c r="N25" s="58" t="n">
        <f aca="false">COUNTIF(Q8:Q16,"Благодарность")</f>
        <v>0</v>
      </c>
      <c r="O25" s="48"/>
      <c r="P25" s="45"/>
      <c r="Q25" s="45"/>
      <c r="R25" s="45"/>
      <c r="S25" s="45"/>
    </row>
    <row r="26" customFormat="false" ht="15" hidden="false" customHeight="false" outlineLevel="0" collapsed="false">
      <c r="A26" s="50"/>
      <c r="B26" s="65" t="str">
        <f aca="false">$H$6</f>
        <v> Программирование микроконтроллеров</v>
      </c>
      <c r="C26" s="65"/>
      <c r="D26" s="65"/>
      <c r="E26" s="65"/>
      <c r="F26" s="65"/>
      <c r="G26" s="65"/>
      <c r="H26" s="65"/>
      <c r="I26" s="65"/>
      <c r="J26" s="66"/>
      <c r="K26" s="66"/>
      <c r="L26" s="98" t="s">
        <v>86</v>
      </c>
      <c r="M26" s="98"/>
      <c r="N26" s="58" t="n">
        <f aca="false">COUNTIF(Q8:Q16,"Нормально")</f>
        <v>0</v>
      </c>
      <c r="O26" s="48"/>
      <c r="P26" s="45"/>
      <c r="Q26" s="45"/>
      <c r="R26" s="45"/>
      <c r="S26" s="45"/>
    </row>
    <row r="27" customFormat="false" ht="25.35" hidden="false" customHeight="false" outlineLevel="0" collapsed="false">
      <c r="A27" s="50"/>
      <c r="B27" s="65" t="str">
        <f aca="false">$I$6</f>
        <v> Автоматизация проектирования электронных
средств</v>
      </c>
      <c r="C27" s="65"/>
      <c r="D27" s="65"/>
      <c r="E27" s="65"/>
      <c r="F27" s="65"/>
      <c r="G27" s="65"/>
      <c r="H27" s="65"/>
      <c r="I27" s="65"/>
      <c r="J27" s="195"/>
      <c r="K27" s="195"/>
      <c r="L27" s="98" t="s">
        <v>87</v>
      </c>
      <c r="M27" s="98"/>
      <c r="N27" s="58" t="n">
        <f aca="false">COUNTIF(Q8:Q16,"Предупреждение")</f>
        <v>0</v>
      </c>
      <c r="O27" s="48"/>
      <c r="P27" s="45"/>
      <c r="Q27" s="45"/>
      <c r="R27" s="45"/>
      <c r="S27" s="45"/>
    </row>
    <row r="28" customFormat="false" ht="15" hidden="false" customHeight="false" outlineLevel="0" collapsed="false">
      <c r="A28" s="50"/>
      <c r="B28" s="65" t="str">
        <f aca="false">$J$6</f>
        <v> Научно-исследовательская работа</v>
      </c>
      <c r="C28" s="65"/>
      <c r="D28" s="65"/>
      <c r="E28" s="65"/>
      <c r="F28" s="65"/>
      <c r="G28" s="65"/>
      <c r="H28" s="65"/>
      <c r="I28" s="65"/>
      <c r="J28" s="66"/>
      <c r="K28" s="66"/>
      <c r="L28" s="98" t="s">
        <v>88</v>
      </c>
      <c r="M28" s="98"/>
      <c r="N28" s="58" t="n">
        <f aca="false">COUNTIF(Q8:Q16,"Выговор")</f>
        <v>0</v>
      </c>
      <c r="O28" s="48"/>
      <c r="P28" s="45"/>
      <c r="Q28" s="45"/>
      <c r="R28" s="45"/>
      <c r="S28" s="45"/>
    </row>
    <row r="29" customFormat="false" ht="15" hidden="false" customHeight="false" outlineLevel="0" collapsed="false">
      <c r="A29" s="50"/>
      <c r="B29" s="65" t="str">
        <f aca="false">$K$6</f>
        <v> Основы аналого-цифровой схемотехники</v>
      </c>
      <c r="C29" s="65"/>
      <c r="D29" s="65"/>
      <c r="E29" s="65"/>
      <c r="F29" s="65"/>
      <c r="G29" s="65"/>
      <c r="H29" s="65"/>
      <c r="I29" s="65"/>
      <c r="J29" s="66"/>
      <c r="K29" s="66"/>
      <c r="L29" s="185" t="s">
        <v>12</v>
      </c>
      <c r="M29" s="380"/>
      <c r="N29" s="143" t="n">
        <f aca="false">SUM(R8:R16)</f>
        <v>0</v>
      </c>
      <c r="O29" s="48"/>
      <c r="P29" s="45"/>
      <c r="Q29" s="45"/>
      <c r="R29" s="45"/>
      <c r="S29" s="45"/>
    </row>
    <row r="30" customFormat="false" ht="15" hidden="false" customHeight="false" outlineLevel="0" collapsed="false">
      <c r="A30" s="50"/>
      <c r="B30" s="65" t="str">
        <f aca="false">$L$6</f>
        <v>Статистическая динамика информационно_x005F_x0002_управляющих систем (к.п.)</v>
      </c>
      <c r="C30" s="65"/>
      <c r="D30" s="65"/>
      <c r="E30" s="65"/>
      <c r="F30" s="65"/>
      <c r="G30" s="65"/>
      <c r="H30" s="65"/>
      <c r="I30" s="65"/>
      <c r="J30" s="66"/>
      <c r="K30" s="66"/>
      <c r="L30" s="67"/>
      <c r="M30" s="67"/>
      <c r="N30" s="48"/>
      <c r="O30" s="48"/>
      <c r="P30" s="45"/>
      <c r="Q30" s="45"/>
      <c r="R30" s="45"/>
      <c r="S30" s="45"/>
    </row>
    <row r="31" customFormat="false" ht="15" hidden="false" customHeight="false" outlineLevel="0" collapsed="false">
      <c r="A31" s="50"/>
      <c r="B31" s="65" t="str">
        <f aca="false">$M$6</f>
        <v>Экономика</v>
      </c>
      <c r="C31" s="65"/>
      <c r="D31" s="65"/>
      <c r="E31" s="65"/>
      <c r="F31" s="65"/>
      <c r="G31" s="65"/>
      <c r="H31" s="65"/>
      <c r="I31" s="65"/>
      <c r="J31" s="66"/>
      <c r="K31" s="66"/>
      <c r="L31" s="67"/>
      <c r="M31" s="67"/>
      <c r="N31" s="48"/>
      <c r="O31" s="48"/>
      <c r="P31" s="45"/>
      <c r="Q31" s="45"/>
      <c r="R31" s="45"/>
      <c r="S31" s="45"/>
    </row>
    <row r="32" customFormat="false" ht="15" hidden="false" customHeight="false" outlineLevel="0" collapsed="false">
      <c r="A32" s="50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67"/>
      <c r="M32" s="67"/>
      <c r="N32" s="48"/>
      <c r="O32" s="48"/>
      <c r="P32" s="48"/>
      <c r="Q32" s="45"/>
      <c r="R32" s="45"/>
      <c r="S32" s="45"/>
    </row>
    <row r="33" customFormat="false" ht="15" hidden="false" customHeight="true" outlineLevel="0" collapsed="false">
      <c r="A33" s="50"/>
      <c r="B33" s="500" t="s">
        <v>1378</v>
      </c>
      <c r="C33" s="455" t="s">
        <v>1400</v>
      </c>
      <c r="D33" s="455"/>
      <c r="E33" s="501"/>
      <c r="F33" s="501"/>
      <c r="G33" s="501"/>
      <c r="H33" s="67"/>
      <c r="I33" s="52"/>
      <c r="J33" s="52" t="s">
        <v>1380</v>
      </c>
      <c r="K33" s="300" t="s">
        <v>1381</v>
      </c>
      <c r="L33" s="67"/>
      <c r="M33" s="67"/>
      <c r="N33" s="45"/>
      <c r="O33" s="45"/>
      <c r="P33" s="45"/>
      <c r="Q33" s="45"/>
      <c r="R33" s="45"/>
      <c r="S33" s="45"/>
    </row>
    <row r="34" customFormat="false" ht="15" hidden="false" customHeight="false" outlineLevel="0" collapsed="false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139"/>
      <c r="M34" s="139"/>
      <c r="N34" s="45"/>
      <c r="O34" s="45"/>
      <c r="P34" s="45"/>
      <c r="Q34" s="45"/>
      <c r="R34" s="45"/>
      <c r="S34" s="45"/>
    </row>
    <row r="35" customFormat="false" ht="15" hidden="false" customHeight="false" outlineLevel="0" collapsed="false">
      <c r="A35" s="50"/>
      <c r="B35" s="50" t="s">
        <v>93</v>
      </c>
      <c r="C35" s="50"/>
      <c r="D35" s="50"/>
      <c r="E35" s="50"/>
      <c r="F35" s="50"/>
      <c r="G35" s="50"/>
      <c r="H35" s="50"/>
      <c r="I35" s="50"/>
      <c r="J35" s="50"/>
      <c r="K35" s="50"/>
      <c r="L35" s="45"/>
      <c r="M35" s="45"/>
      <c r="N35" s="45"/>
      <c r="O35" s="45"/>
      <c r="P35" s="45"/>
      <c r="Q35" s="45"/>
      <c r="R35" s="45"/>
      <c r="S35" s="45"/>
    </row>
    <row r="36" customFormat="false" ht="15" hidden="false" customHeight="false" outlineLevel="0" collapsed="false">
      <c r="A36" s="50"/>
      <c r="B36" s="50" t="s">
        <v>94</v>
      </c>
      <c r="C36" s="50"/>
      <c r="D36" s="50"/>
      <c r="E36" s="50"/>
      <c r="F36" s="50"/>
      <c r="G36" s="50"/>
      <c r="H36" s="50"/>
      <c r="I36" s="50"/>
      <c r="J36" s="50"/>
      <c r="K36" s="45"/>
      <c r="L36" s="48"/>
      <c r="M36" s="45"/>
      <c r="N36" s="45"/>
      <c r="O36" s="45"/>
      <c r="P36" s="45"/>
      <c r="Q36" s="45"/>
      <c r="R36" s="45"/>
      <c r="S36" s="45"/>
    </row>
    <row r="37" customFormat="false" ht="15" hidden="false" customHeight="false" outlineLevel="0" collapsed="false">
      <c r="A37" s="50"/>
      <c r="B37" s="50" t="s">
        <v>95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45"/>
      <c r="N37" s="45"/>
      <c r="O37" s="45"/>
      <c r="P37" s="45"/>
      <c r="Q37" s="45"/>
      <c r="R37" s="45"/>
      <c r="S37" s="45"/>
    </row>
    <row r="38" customFormat="false" ht="15" hidden="false" customHeight="false" outlineLevel="0" collapsed="false">
      <c r="A38" s="50"/>
      <c r="B38" s="50" t="s">
        <v>96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45"/>
      <c r="N38" s="45"/>
      <c r="O38" s="45"/>
      <c r="P38" s="45"/>
      <c r="Q38" s="45"/>
      <c r="R38" s="45"/>
      <c r="S38" s="45"/>
    </row>
    <row r="39" customFormat="false" ht="15" hidden="false" customHeight="false" outlineLevel="0" collapsed="false">
      <c r="A39" s="50"/>
      <c r="B39" s="50" t="s">
        <v>97</v>
      </c>
      <c r="C39" s="50"/>
      <c r="D39" s="50"/>
      <c r="E39" s="50"/>
      <c r="F39" s="50"/>
      <c r="G39" s="50"/>
      <c r="H39" s="50"/>
      <c r="I39" s="50"/>
      <c r="J39" s="50"/>
      <c r="K39" s="50"/>
      <c r="L39" s="45"/>
      <c r="M39" s="45"/>
      <c r="N39" s="45"/>
      <c r="O39" s="45"/>
      <c r="P39" s="45"/>
      <c r="Q39" s="45"/>
      <c r="R39" s="45"/>
      <c r="S39" s="45"/>
    </row>
    <row r="40" customFormat="false" ht="15" hidden="false" customHeight="false" outlineLevel="0" collapsed="false">
      <c r="A40" s="50"/>
      <c r="B40" s="50" t="s">
        <v>98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45"/>
      <c r="N40" s="45"/>
      <c r="O40" s="45"/>
      <c r="P40" s="45"/>
      <c r="Q40" s="45"/>
      <c r="R40" s="45"/>
      <c r="S40" s="45"/>
    </row>
    <row r="41" customFormat="false" ht="15" hidden="false" customHeight="false" outlineLevel="0" collapsed="false">
      <c r="A41" s="50"/>
      <c r="B41" s="50" t="s">
        <v>99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45"/>
      <c r="N41" s="45"/>
      <c r="O41" s="45"/>
      <c r="P41" s="45"/>
      <c r="Q41" s="45"/>
      <c r="R41" s="45"/>
      <c r="S41" s="45"/>
    </row>
  </sheetData>
  <mergeCells count="42">
    <mergeCell ref="M2:P2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L20:M20"/>
    <mergeCell ref="O21:P21"/>
    <mergeCell ref="B22:I22"/>
    <mergeCell ref="J22:K22"/>
    <mergeCell ref="L22:M22"/>
    <mergeCell ref="B23:I23"/>
    <mergeCell ref="J23:K23"/>
    <mergeCell ref="L23:M23"/>
    <mergeCell ref="B24:I24"/>
    <mergeCell ref="J24:K24"/>
    <mergeCell ref="L24:M24"/>
    <mergeCell ref="B25:I25"/>
    <mergeCell ref="J25:K25"/>
    <mergeCell ref="L25:M25"/>
    <mergeCell ref="B26:I26"/>
    <mergeCell ref="J26:K26"/>
    <mergeCell ref="L26:M26"/>
    <mergeCell ref="B27:I27"/>
    <mergeCell ref="J27:K27"/>
    <mergeCell ref="L27:M27"/>
    <mergeCell ref="B28:I28"/>
    <mergeCell ref="J28:K28"/>
    <mergeCell ref="L28:M28"/>
    <mergeCell ref="B29:I29"/>
    <mergeCell ref="J29:K29"/>
    <mergeCell ref="B30:I30"/>
    <mergeCell ref="J30:K30"/>
    <mergeCell ref="B31:I31"/>
    <mergeCell ref="J31:K31"/>
    <mergeCell ref="C33:D33"/>
  </mergeCells>
  <conditionalFormatting sqref="M13:M16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3:G16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3:L16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1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G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L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7:N19 E17:G1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2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G12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L12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16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45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7.71"/>
    <col collapsed="false" customWidth="true" hidden="false" outlineLevel="0" max="2" min="2" style="0" width="10.42"/>
    <col collapsed="false" customWidth="true" hidden="false" outlineLevel="0" max="3" min="3" style="0" width="17.71"/>
    <col collapsed="false" customWidth="true" hidden="false" outlineLevel="0" max="15" min="15" style="0" width="11.85"/>
    <col collapsed="false" customWidth="true" hidden="false" outlineLevel="0" max="16" min="16" style="0" width="16.57"/>
    <col collapsed="false" customWidth="true" hidden="false" outlineLevel="0" max="18" min="17" style="0" width="4.57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75" t="n">
        <f aca="false">set!B4</f>
        <v>45608</v>
      </c>
      <c r="P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ИУК3-11М факультета ИУК МГТУ им. Н.Э. Баумана"</f>
        <v>Успеваемость студентов за 1 семестр 24/25 учебного года по группе ИУК3-11М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customFormat="false" ht="15" hidden="false" customHeight="false" outlineLevel="0" collapsed="false">
      <c r="B4" s="7"/>
      <c r="C4" s="7"/>
    </row>
    <row r="5" customFormat="false" ht="15.75" hidden="false" customHeight="true" outlineLevel="0" collapsed="false">
      <c r="A5" s="502" t="s">
        <v>2</v>
      </c>
      <c r="B5" s="502" t="s">
        <v>3</v>
      </c>
      <c r="C5" s="502" t="s">
        <v>4</v>
      </c>
      <c r="D5" s="503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468" t="s">
        <v>8</v>
      </c>
      <c r="N5" s="469" t="s">
        <v>9</v>
      </c>
      <c r="O5" s="469" t="s">
        <v>10</v>
      </c>
      <c r="P5" s="417" t="s">
        <v>11</v>
      </c>
      <c r="Q5" s="417" t="s">
        <v>12</v>
      </c>
    </row>
    <row r="6" customFormat="false" ht="1.45" hidden="false" customHeight="false" outlineLevel="0" collapsed="false">
      <c r="A6" s="502"/>
      <c r="B6" s="502"/>
      <c r="C6" s="502"/>
      <c r="D6" s="503"/>
      <c r="E6" s="339" t="s">
        <v>1401</v>
      </c>
      <c r="F6" s="340" t="s">
        <v>1402</v>
      </c>
      <c r="G6" s="340" t="s">
        <v>1403</v>
      </c>
      <c r="H6" s="342" t="s">
        <v>1404</v>
      </c>
      <c r="I6" s="405" t="s">
        <v>18</v>
      </c>
      <c r="J6" s="342" t="s">
        <v>467</v>
      </c>
      <c r="K6" s="340" t="s">
        <v>1082</v>
      </c>
      <c r="L6" s="342" t="s">
        <v>1405</v>
      </c>
      <c r="M6" s="468"/>
      <c r="N6" s="468"/>
      <c r="O6" s="468"/>
      <c r="P6" s="417"/>
      <c r="Q6" s="417"/>
    </row>
    <row r="7" customFormat="false" ht="17.9" hidden="false" customHeight="false" outlineLevel="0" collapsed="false">
      <c r="A7" s="502"/>
      <c r="B7" s="502"/>
      <c r="C7" s="502"/>
      <c r="D7" s="503"/>
      <c r="E7" s="343" t="s">
        <v>298</v>
      </c>
      <c r="F7" s="344" t="s">
        <v>298</v>
      </c>
      <c r="G7" s="344" t="s">
        <v>1406</v>
      </c>
      <c r="H7" s="346" t="s">
        <v>298</v>
      </c>
      <c r="I7" s="407" t="s">
        <v>27</v>
      </c>
      <c r="J7" s="346" t="s">
        <v>1407</v>
      </c>
      <c r="K7" s="344" t="s">
        <v>1408</v>
      </c>
      <c r="L7" s="346" t="s">
        <v>380</v>
      </c>
      <c r="M7" s="468"/>
      <c r="N7" s="468"/>
      <c r="O7" s="468"/>
      <c r="P7" s="417"/>
      <c r="Q7" s="417"/>
    </row>
    <row r="8" customFormat="false" ht="15" hidden="false" customHeight="true" outlineLevel="0" collapsed="false">
      <c r="A8" s="37" t="n">
        <v>1</v>
      </c>
      <c r="B8" s="37" t="s">
        <v>1409</v>
      </c>
      <c r="C8" s="85" t="s">
        <v>1410</v>
      </c>
      <c r="D8" s="504"/>
      <c r="E8" s="505"/>
      <c r="F8" s="506"/>
      <c r="G8" s="506"/>
      <c r="H8" s="507"/>
      <c r="I8" s="508"/>
      <c r="J8" s="506"/>
      <c r="K8" s="506"/>
      <c r="L8" s="507"/>
      <c r="M8" s="422" t="str">
        <f aca="false">IFERROR(AVERAGE(E8:L8),"")</f>
        <v/>
      </c>
      <c r="N8" s="117" t="str">
        <f aca="false">IF(E8&lt;&gt;"",IF(COUNTIF(E8:L8,"&lt;3"),"Не успевает","Успевает"),"")</f>
        <v/>
      </c>
      <c r="O8" s="250" t="str">
        <f aca="false">IF(D8&lt;&gt;"",(30*(set!B$5)-D8)/(30*(set!B$5))*100,"")</f>
        <v/>
      </c>
      <c r="P8" s="85" t="str">
        <f aca="false" t="array" ref="P8:P8">IF(E8&lt;&gt;"",IF(M8&lt;1.85,"Выговор",IF(M8=1.85,"Выговор",IF(AND(M8&gt;1.85,M8&lt;3),"Предупреждение",IF(AND(M8&gt;3,M8&lt;4.65),"Нормально",IF(AND(M8&gt;4.65,M8&lt;5.1,E8:L8&gt;=4),"Благодарность","Нормально"))))),"")</f>
        <v/>
      </c>
      <c r="Q8" s="437" t="n">
        <f aca="false">COUNTIF(E8:L8,2)+COUNTIF(E8:L8,1)+COUNTIF(E8:L8,0)</f>
        <v>0</v>
      </c>
    </row>
    <row r="9" customFormat="false" ht="15" hidden="false" customHeight="true" outlineLevel="0" collapsed="false">
      <c r="A9" s="85" t="n">
        <v>2</v>
      </c>
      <c r="B9" s="37" t="s">
        <v>1411</v>
      </c>
      <c r="C9" s="85" t="s">
        <v>1412</v>
      </c>
      <c r="D9" s="504"/>
      <c r="E9" s="509"/>
      <c r="F9" s="510"/>
      <c r="G9" s="510"/>
      <c r="H9" s="511"/>
      <c r="I9" s="512"/>
      <c r="J9" s="510"/>
      <c r="K9" s="510"/>
      <c r="L9" s="511"/>
      <c r="M9" s="422" t="str">
        <f aca="false">IFERROR(AVERAGE(E9:L9),"")</f>
        <v/>
      </c>
      <c r="N9" s="117" t="str">
        <f aca="false">IF(E9&lt;&gt;"",IF(COUNTIF(E9:L9,"&lt;3"),"Не успевает","Успевает"),"")</f>
        <v/>
      </c>
      <c r="O9" s="250" t="str">
        <f aca="false">IF(D9&lt;&gt;"",(30*(set!B$5)-D9)/(30*(set!B$5))*100,"")</f>
        <v/>
      </c>
      <c r="P9" s="85" t="str">
        <f aca="false" t="array" ref="P9:P9">IF(E9&lt;&gt;"",IF(M9&lt;1.85,"Выговор",IF(M9=1.85,"Выговор",IF(AND(M9&gt;1.85,M9&lt;3),"Предупреждение",IF(AND(M9&gt;3,M9&lt;4.65),"Нормально",IF(AND(M9&gt;4.65,M9&lt;5.1,E9:L9&gt;=4),"Благодарность","Нормально"))))),"")</f>
        <v/>
      </c>
      <c r="Q9" s="437" t="n">
        <f aca="false">COUNTIF(E9:L9,2)+COUNTIF(E9:L9,1)+COUNTIF(E9:L9,0)</f>
        <v>0</v>
      </c>
    </row>
    <row r="10" customFormat="false" ht="15" hidden="false" customHeight="true" outlineLevel="0" collapsed="false">
      <c r="A10" s="37" t="n">
        <v>3</v>
      </c>
      <c r="B10" s="37" t="s">
        <v>1413</v>
      </c>
      <c r="C10" s="85" t="s">
        <v>1414</v>
      </c>
      <c r="D10" s="504"/>
      <c r="E10" s="509"/>
      <c r="F10" s="510"/>
      <c r="G10" s="510"/>
      <c r="H10" s="511"/>
      <c r="I10" s="512"/>
      <c r="J10" s="510"/>
      <c r="K10" s="510"/>
      <c r="L10" s="511"/>
      <c r="M10" s="422" t="str">
        <f aca="false">IFERROR(AVERAGE(E10:L10),"")</f>
        <v/>
      </c>
      <c r="N10" s="117" t="str">
        <f aca="false">IF(E10&lt;&gt;"",IF(COUNTIF(E10:L10,"&lt;3"),"Не успевает","Успевает"),"")</f>
        <v/>
      </c>
      <c r="O10" s="250" t="str">
        <f aca="false">IF(D10&lt;&gt;"",(30*(set!B$5)-D10)/(30*(set!B$5))*100,"")</f>
        <v/>
      </c>
      <c r="P10" s="85" t="str">
        <f aca="false" t="array" ref="P10:P10">IF(E10&lt;&gt;"",IF(M10&lt;1.85,"Выговор",IF(M10=1.85,"Выговор",IF(AND(M10&gt;1.85,M10&lt;3),"Предупреждение",IF(AND(M10&gt;3,M10&lt;4.65),"Нормально",IF(AND(M10&gt;4.65,M10&lt;5.1,E10:L10&gt;=4),"Благодарность","Нормально"))))),"")</f>
        <v/>
      </c>
      <c r="Q10" s="437" t="n">
        <f aca="false">COUNTIF(E10:L10,2)+COUNTIF(E10:L10,1)+COUNTIF(E10:L10,0)</f>
        <v>0</v>
      </c>
    </row>
    <row r="11" customFormat="false" ht="15" hidden="false" customHeight="true" outlineLevel="0" collapsed="false">
      <c r="A11" s="85" t="n">
        <v>4</v>
      </c>
      <c r="B11" s="37" t="s">
        <v>1415</v>
      </c>
      <c r="C11" s="85" t="s">
        <v>1416</v>
      </c>
      <c r="D11" s="504"/>
      <c r="E11" s="509"/>
      <c r="F11" s="510"/>
      <c r="G11" s="510"/>
      <c r="H11" s="511"/>
      <c r="I11" s="512"/>
      <c r="J11" s="510"/>
      <c r="K11" s="510"/>
      <c r="L11" s="511"/>
      <c r="M11" s="422" t="str">
        <f aca="false">IFERROR(AVERAGE(E11:L11),"")</f>
        <v/>
      </c>
      <c r="N11" s="117" t="str">
        <f aca="false">IF(E11&lt;&gt;"",IF(COUNTIF(E11:L11,"&lt;3"),"Не успевает","Успевает"),"")</f>
        <v/>
      </c>
      <c r="O11" s="250" t="str">
        <f aca="false">IF(D11&lt;&gt;"",(30*(set!B$5)-D11)/(30*(set!B$5))*100,"")</f>
        <v/>
      </c>
      <c r="P11" s="85" t="str">
        <f aca="false" t="array" ref="P11:P11">IF(E11&lt;&gt;"",IF(M11&lt;1.85,"Выговор",IF(M11=1.85,"Выговор",IF(AND(M11&gt;1.85,M11&lt;3),"Предупреждение",IF(AND(M11&gt;3,M11&lt;4.65),"Нормально",IF(AND(M11&gt;4.65,M11&lt;5.1,E11:L11&gt;=4),"Благодарность","Нормально"))))),"")</f>
        <v/>
      </c>
      <c r="Q11" s="437" t="n">
        <f aca="false">COUNTIF(E11:L11,2)+COUNTIF(E11:L11,1)+COUNTIF(E11:L11,0)</f>
        <v>0</v>
      </c>
    </row>
    <row r="12" customFormat="false" ht="15" hidden="false" customHeight="true" outlineLevel="0" collapsed="false">
      <c r="A12" s="37" t="n">
        <v>5</v>
      </c>
      <c r="B12" s="37" t="s">
        <v>1417</v>
      </c>
      <c r="C12" s="85" t="s">
        <v>1418</v>
      </c>
      <c r="D12" s="504"/>
      <c r="E12" s="509"/>
      <c r="F12" s="510"/>
      <c r="G12" s="510"/>
      <c r="H12" s="511"/>
      <c r="I12" s="512"/>
      <c r="J12" s="510"/>
      <c r="K12" s="510"/>
      <c r="L12" s="511"/>
      <c r="M12" s="422" t="str">
        <f aca="false">IFERROR(AVERAGE(E12:L12),"")</f>
        <v/>
      </c>
      <c r="N12" s="117" t="str">
        <f aca="false">IF(E12&lt;&gt;"",IF(COUNTIF(E12:L12,"&lt;3"),"Не успевает","Успевает"),"")</f>
        <v/>
      </c>
      <c r="O12" s="250" t="str">
        <f aca="false">IF(D12&lt;&gt;"",(30*(set!B$5)-D12)/(30*(set!B$5))*100,"")</f>
        <v/>
      </c>
      <c r="P12" s="85" t="str">
        <f aca="false" t="array" ref="P12:P12">IF(E12&lt;&gt;"",IF(M12&lt;1.85,"Выговор",IF(M12=1.85,"Выговор",IF(AND(M12&gt;1.85,M12&lt;3),"Предупреждение",IF(AND(M12&gt;3,M12&lt;4.65),"Нормально",IF(AND(M12&gt;4.65,M12&lt;5.1,E12:L12&gt;=4),"Благодарность","Нормально"))))),"")</f>
        <v/>
      </c>
      <c r="Q12" s="437" t="n">
        <f aca="false">COUNTIF(E12:L12,2)+COUNTIF(E12:L12,1)+COUNTIF(E12:L12,0)</f>
        <v>0</v>
      </c>
    </row>
    <row r="13" customFormat="false" ht="15" hidden="false" customHeight="true" outlineLevel="0" collapsed="false">
      <c r="A13" s="85" t="n">
        <v>6</v>
      </c>
      <c r="B13" s="37" t="s">
        <v>1419</v>
      </c>
      <c r="C13" s="85" t="s">
        <v>1420</v>
      </c>
      <c r="D13" s="504"/>
      <c r="E13" s="513"/>
      <c r="F13" s="510"/>
      <c r="G13" s="510"/>
      <c r="H13" s="511"/>
      <c r="I13" s="512"/>
      <c r="J13" s="510"/>
      <c r="K13" s="510"/>
      <c r="L13" s="511"/>
      <c r="M13" s="422" t="str">
        <f aca="false">IFERROR(AVERAGE(E13:L13),"")</f>
        <v/>
      </c>
      <c r="N13" s="117" t="str">
        <f aca="false">IF(E13&lt;&gt;"",IF(COUNTIF(E13:L13,"&lt;3"),"Не успевает","Успевает"),"")</f>
        <v/>
      </c>
      <c r="O13" s="250" t="str">
        <f aca="false">IF(D13&lt;&gt;"",(30*(set!B$5)-D13)/(30*(set!B$5))*100,"")</f>
        <v/>
      </c>
      <c r="P13" s="85" t="str">
        <f aca="false" t="array" ref="P13:P13">IF(E13&lt;&gt;"",IF(M13&lt;1.85,"Выговор",IF(M13=1.85,"Выговор",IF(AND(M13&gt;1.85,M13&lt;3),"Предупреждение",IF(AND(M13&gt;3,M13&lt;4.65),"Нормально",IF(AND(M13&gt;4.65,M13&lt;5.1,E13:L13&gt;=4),"Благодарность","Нормально"))))),"")</f>
        <v/>
      </c>
      <c r="Q13" s="437" t="n">
        <f aca="false">COUNTIF(E13:L13,2)+COUNTIF(E13:L13,1)+COUNTIF(E13:L13,0)</f>
        <v>0</v>
      </c>
    </row>
    <row r="14" s="45" customFormat="true" ht="15" hidden="false" customHeight="true" outlineLevel="0" collapsed="false">
      <c r="A14" s="85" t="n">
        <v>7</v>
      </c>
      <c r="B14" s="37" t="s">
        <v>1421</v>
      </c>
      <c r="C14" s="85" t="s">
        <v>1422</v>
      </c>
      <c r="D14" s="504"/>
      <c r="E14" s="509"/>
      <c r="F14" s="510"/>
      <c r="G14" s="510"/>
      <c r="H14" s="511"/>
      <c r="I14" s="512"/>
      <c r="J14" s="510"/>
      <c r="K14" s="510"/>
      <c r="L14" s="511"/>
      <c r="M14" s="422" t="str">
        <f aca="false">IFERROR(AVERAGE(E14:L14),"")</f>
        <v/>
      </c>
      <c r="N14" s="117" t="str">
        <f aca="false">IF(E14&lt;&gt;"",IF(COUNTIF(E14:L14,"&lt;3"),"Не успевает","Успевает"),"")</f>
        <v/>
      </c>
      <c r="O14" s="250" t="str">
        <f aca="false">IF(D14&lt;&gt;"",(30*(set!B$5)-D14)/(30*(set!B$5))*100,"")</f>
        <v/>
      </c>
      <c r="P14" s="85" t="str">
        <f aca="false" t="array" ref="P14:P14">IF(E14&lt;&gt;"",IF(M14&lt;1.85,"Выговор",IF(M14=1.85,"Выговор",IF(AND(M14&gt;1.85,M14&lt;3),"Предупреждение",IF(AND(M14&gt;3,M14&lt;4.65),"Нормально",IF(AND(M14&gt;4.65,M14&lt;5.1,E14:L14&gt;=4),"Благодарность","Нормально"))))),"")</f>
        <v/>
      </c>
      <c r="Q14" s="437" t="n">
        <f aca="false">COUNTIF(E14:L14,2)+COUNTIF(E14:L14,1)+COUNTIF(E14:L14,0)</f>
        <v>0</v>
      </c>
    </row>
    <row r="15" s="45" customFormat="true" ht="15" hidden="false" customHeight="true" outlineLevel="0" collapsed="false">
      <c r="A15" s="85" t="n">
        <v>8</v>
      </c>
      <c r="B15" s="37" t="s">
        <v>1423</v>
      </c>
      <c r="C15" s="85" t="s">
        <v>1424</v>
      </c>
      <c r="D15" s="504"/>
      <c r="E15" s="509"/>
      <c r="F15" s="510"/>
      <c r="G15" s="510"/>
      <c r="H15" s="511"/>
      <c r="I15" s="512"/>
      <c r="J15" s="510"/>
      <c r="K15" s="510"/>
      <c r="L15" s="511"/>
      <c r="M15" s="422" t="str">
        <f aca="false">IFERROR(AVERAGE(E15:L15),"")</f>
        <v/>
      </c>
      <c r="N15" s="117" t="str">
        <f aca="false">IF(E15&lt;&gt;"",IF(COUNTIF(E15:L15,"&lt;3"),"Не успевает","Успевает"),"")</f>
        <v/>
      </c>
      <c r="O15" s="250" t="str">
        <f aca="false">IF(D15&lt;&gt;"",(30*(set!B$5)-D15)/(30*(set!B$5))*100,"")</f>
        <v/>
      </c>
      <c r="P15" s="85" t="str">
        <f aca="false" t="array" ref="P15:P15">IF(E15&lt;&gt;"",IF(M15&lt;1.85,"Выговор",IF(M15=1.85,"Выговор",IF(AND(M15&gt;1.85,M15&lt;3),"Предупреждение",IF(AND(M15&gt;3,M15&lt;4.65),"Нормально",IF(AND(M15&gt;4.65,M15&lt;5.1,E15:L15&gt;=4),"Благодарность","Нормально"))))),"")</f>
        <v/>
      </c>
      <c r="Q15" s="437" t="n">
        <f aca="false">COUNTIF(E15:L15,2)+COUNTIF(E15:L15,1)+COUNTIF(E15:L15,0)</f>
        <v>0</v>
      </c>
    </row>
    <row r="16" s="45" customFormat="true" ht="15" hidden="false" customHeight="true" outlineLevel="0" collapsed="false">
      <c r="A16" s="85" t="n">
        <v>9</v>
      </c>
      <c r="B16" s="37" t="s">
        <v>1425</v>
      </c>
      <c r="C16" s="85" t="s">
        <v>1426</v>
      </c>
      <c r="D16" s="504"/>
      <c r="E16" s="509"/>
      <c r="F16" s="510"/>
      <c r="G16" s="510"/>
      <c r="H16" s="511"/>
      <c r="I16" s="512"/>
      <c r="J16" s="510"/>
      <c r="K16" s="510"/>
      <c r="L16" s="511"/>
      <c r="M16" s="422" t="str">
        <f aca="false">IFERROR(AVERAGE(E16:L16),"")</f>
        <v/>
      </c>
      <c r="N16" s="117" t="str">
        <f aca="false">IF(E16&lt;&gt;"",IF(COUNTIF(E16:L16,"&lt;3"),"Не успевает","Успевает"),"")</f>
        <v/>
      </c>
      <c r="O16" s="250" t="str">
        <f aca="false">IF(D16&lt;&gt;"",(30*(set!B$5)-D16)/(30*(set!B$5))*100,"")</f>
        <v/>
      </c>
      <c r="P16" s="85" t="str">
        <f aca="false" t="array" ref="P16:P16">IF(E16&lt;&gt;"",IF(M16&lt;1.85,"Выговор",IF(M16=1.85,"Выговор",IF(AND(M16&gt;1.85,M16&lt;3),"Предупреждение",IF(AND(M16&gt;3,M16&lt;4.65),"Нормально",IF(AND(M16&gt;4.65,M16&lt;5.1,E16:L16&gt;=4),"Благодарность","Нормально"))))),"")</f>
        <v/>
      </c>
      <c r="Q16" s="437" t="n">
        <f aca="false">COUNTIF(E16:L16,2)+COUNTIF(E16:L16,1)+COUNTIF(E16:L16,0)</f>
        <v>0</v>
      </c>
    </row>
    <row r="17" s="45" customFormat="true" ht="15" hidden="false" customHeight="true" outlineLevel="0" collapsed="false">
      <c r="A17" s="85" t="n">
        <v>10</v>
      </c>
      <c r="B17" s="37" t="s">
        <v>1427</v>
      </c>
      <c r="C17" s="85" t="s">
        <v>1428</v>
      </c>
      <c r="D17" s="504"/>
      <c r="E17" s="513"/>
      <c r="F17" s="510"/>
      <c r="G17" s="510"/>
      <c r="H17" s="511"/>
      <c r="I17" s="512"/>
      <c r="J17" s="510"/>
      <c r="K17" s="510"/>
      <c r="L17" s="511"/>
      <c r="M17" s="422" t="str">
        <f aca="false">IFERROR(AVERAGE(E17:L17),"")</f>
        <v/>
      </c>
      <c r="N17" s="117" t="str">
        <f aca="false">IF(E17&lt;&gt;"",IF(COUNTIF(E17:L17,"&lt;3"),"Не успевает","Успевает"),"")</f>
        <v/>
      </c>
      <c r="O17" s="250" t="str">
        <f aca="false">IF(D17&lt;&gt;"",(30*(set!B$5)-D17)/(30*(set!B$5))*100,"")</f>
        <v/>
      </c>
      <c r="P17" s="85" t="str">
        <f aca="false" t="array" ref="P17:P17">IF(E17&lt;&gt;"",IF(M17&lt;1.85,"Выговор",IF(M17=1.85,"Выговор",IF(AND(M17&gt;1.85,M17&lt;3),"Предупреждение",IF(AND(M17&gt;3,M17&lt;4.65),"Нормально",IF(AND(M17&gt;4.65,M17&lt;5.1,E17:L17&gt;=4),"Благодарность","Нормально"))))),"")</f>
        <v/>
      </c>
      <c r="Q17" s="437" t="n">
        <f aca="false">COUNTIF(E17:L17,2)+COUNTIF(E17:L17,1)+COUNTIF(E17:L17,0)</f>
        <v>0</v>
      </c>
    </row>
    <row r="18" customFormat="false" ht="15" hidden="false" customHeight="true" outlineLevel="0" collapsed="false">
      <c r="A18" s="37" t="n">
        <v>11</v>
      </c>
      <c r="B18" s="37" t="s">
        <v>1429</v>
      </c>
      <c r="C18" s="85" t="s">
        <v>1430</v>
      </c>
      <c r="D18" s="504"/>
      <c r="E18" s="509"/>
      <c r="F18" s="510"/>
      <c r="G18" s="510"/>
      <c r="H18" s="511"/>
      <c r="I18" s="512"/>
      <c r="J18" s="510"/>
      <c r="K18" s="510"/>
      <c r="L18" s="511"/>
      <c r="M18" s="422" t="str">
        <f aca="false">IFERROR(AVERAGE(E18:L18),"")</f>
        <v/>
      </c>
      <c r="N18" s="117" t="str">
        <f aca="false">IF(E18&lt;&gt;"",IF(COUNTIF(E18:L18,"&lt;3"),"Не успевает","Успевает"),"")</f>
        <v/>
      </c>
      <c r="O18" s="250" t="str">
        <f aca="false">IF(D18&lt;&gt;"",(30*(set!B$5)-D18)/(30*(set!B$5))*100,"")</f>
        <v/>
      </c>
      <c r="P18" s="85" t="str">
        <f aca="false" t="array" ref="P18:P18">IF(E18&lt;&gt;"",IF(M18&lt;1.85,"Выговор",IF(M18=1.85,"Выговор",IF(AND(M18&gt;1.85,M18&lt;3),"Предупреждение",IF(AND(M18&gt;3,M18&lt;4.65),"Нормально",IF(AND(M18&gt;4.65,M18&lt;5.1,E18:L18&gt;=4),"Благодарность","Нормально"))))),"")</f>
        <v/>
      </c>
      <c r="Q18" s="437" t="n">
        <f aca="false">COUNTIF(E18:L18,2)+COUNTIF(E18:L18,1)+COUNTIF(E18:L18,0)</f>
        <v>0</v>
      </c>
    </row>
    <row r="19" customFormat="false" ht="15" hidden="false" customHeight="true" outlineLevel="0" collapsed="false">
      <c r="A19" s="0" t="s">
        <v>77</v>
      </c>
      <c r="D19" s="46"/>
      <c r="E19" s="229" t="e">
        <f aca="false">AVERAGE(E8:E18)</f>
        <v>#DIV/0!</v>
      </c>
      <c r="F19" s="229" t="e">
        <f aca="false">AVERAGE(F8:F18)</f>
        <v>#DIV/0!</v>
      </c>
      <c r="G19" s="229" t="e">
        <f aca="false">AVERAGE(G8:G18)</f>
        <v>#DIV/0!</v>
      </c>
      <c r="H19" s="229" t="e">
        <f aca="false">AVERAGE(H8:H18)</f>
        <v>#DIV/0!</v>
      </c>
      <c r="I19" s="229" t="e">
        <f aca="false">AVERAGE(I8:I18)</f>
        <v>#DIV/0!</v>
      </c>
      <c r="J19" s="229" t="e">
        <f aca="false">AVERAGE(J8:J18)</f>
        <v>#DIV/0!</v>
      </c>
      <c r="K19" s="229" t="e">
        <f aca="false">AVERAGE(K8:K18)</f>
        <v>#DIV/0!</v>
      </c>
      <c r="L19" s="229" t="e">
        <f aca="false">AVERAGE(L8:L18)</f>
        <v>#DIV/0!</v>
      </c>
      <c r="M19" s="47"/>
      <c r="N19" s="48"/>
      <c r="O19" s="49"/>
      <c r="Q19" s="242"/>
    </row>
    <row r="20" customFormat="false" ht="15" hidden="false" customHeight="true" outlineLevel="0" collapsed="false">
      <c r="A20" s="0" t="s">
        <v>78</v>
      </c>
      <c r="D20" s="46"/>
      <c r="E20" s="49" t="e">
        <f aca="false">(COUNTIF(E8:E18,5)+COUNTIF(E8:E18,4)+COUNTIF(E8:E18,3))/$P$25*100</f>
        <v>#DIV/0!</v>
      </c>
      <c r="F20" s="49" t="e">
        <f aca="false">(COUNTIF(F8:F18,5)+COUNTIF(F8:F18,4)+COUNTIF(F8:F18,3))/$P$25*100</f>
        <v>#DIV/0!</v>
      </c>
      <c r="G20" s="49" t="e">
        <f aca="false">(COUNTIF(G8:G18,5)+COUNTIF(G8:G18,4)+COUNTIF(G8:G18,3))/$P$25*100</f>
        <v>#DIV/0!</v>
      </c>
      <c r="H20" s="49" t="e">
        <f aca="false">(COUNTIF(H8:H18,5)+COUNTIF(H8:H18,4)+COUNTIF(H8:H18,3))/$P$25*100</f>
        <v>#DIV/0!</v>
      </c>
      <c r="I20" s="49" t="e">
        <f aca="false">(COUNTIF(I8:I18,5)+COUNTIF(I8:I18,4)+COUNTIF(I8:I18,3))/$P$25*100</f>
        <v>#DIV/0!</v>
      </c>
      <c r="J20" s="49" t="e">
        <f aca="false">(COUNTIF(J8:J18,5)+COUNTIF(J8:J18,4)+COUNTIF(J8:J18,3))/$P$25*100</f>
        <v>#DIV/0!</v>
      </c>
      <c r="K20" s="49" t="e">
        <f aca="false">(COUNTIF(K8:K18,5)+COUNTIF(K8:K18,4)+COUNTIF(K8:K18,3))/$P$25*100</f>
        <v>#DIV/0!</v>
      </c>
      <c r="L20" s="49" t="e">
        <f aca="false">(COUNTIF(L8:L18,5)+COUNTIF(L8:L18,4)+COUNTIF(L8:L18,3))/$P$25*100</f>
        <v>#DIV/0!</v>
      </c>
      <c r="M20" s="47"/>
      <c r="N20" s="48"/>
      <c r="O20" s="49"/>
      <c r="Q20" s="242"/>
    </row>
    <row r="21" customFormat="false" ht="15" hidden="false" customHeight="true" outlineLevel="0" collapsed="false">
      <c r="N21" s="48"/>
      <c r="O21" s="48"/>
      <c r="P21" s="48"/>
    </row>
    <row r="22" customFormat="false" ht="15" hidden="false" customHeight="true" outlineLevel="0" collapsed="false"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</row>
    <row r="23" customFormat="false" ht="15" hidden="false" customHeight="true" outlineLevel="0" collapsed="false">
      <c r="B23" s="50"/>
      <c r="C23" s="50" t="s">
        <v>8</v>
      </c>
      <c r="D23" s="51" t="str">
        <f aca="false">IFERROR(AVERAGE(M8:M18),"")</f>
        <v/>
      </c>
      <c r="E23" s="52" t="s">
        <v>9</v>
      </c>
      <c r="F23" s="52"/>
      <c r="G23" s="53" t="str">
        <f aca="false">IFERROR(COUNTIF(N8:N18,"Успевает")/P25*100,"")</f>
        <v/>
      </c>
      <c r="H23" s="54" t="s">
        <v>79</v>
      </c>
      <c r="I23" s="54"/>
      <c r="J23" s="55" t="str">
        <f aca="false">IFERROR(AVERAGE(O8:O18),"")</f>
        <v/>
      </c>
      <c r="K23" s="52"/>
      <c r="L23" s="52"/>
      <c r="M23" s="158"/>
      <c r="N23" s="48"/>
      <c r="O23" s="48"/>
      <c r="P23" s="48"/>
    </row>
    <row r="24" customFormat="false" ht="15" hidden="false" customHeight="true" outlineLevel="0" collapsed="false">
      <c r="B24" s="50"/>
      <c r="C24" s="50"/>
      <c r="D24" s="50"/>
      <c r="E24" s="56"/>
      <c r="F24" s="56"/>
      <c r="G24" s="56"/>
      <c r="H24" s="56"/>
      <c r="I24" s="56"/>
      <c r="J24" s="56"/>
      <c r="K24" s="56"/>
      <c r="L24" s="56"/>
    </row>
    <row r="25" customFormat="false" ht="15" hidden="false" customHeight="true" outlineLevel="0" collapsed="false">
      <c r="A25" s="50"/>
      <c r="B25" s="61" t="s">
        <v>81</v>
      </c>
      <c r="C25" s="61"/>
      <c r="D25" s="61"/>
      <c r="E25" s="61"/>
      <c r="F25" s="61"/>
      <c r="G25" s="61"/>
      <c r="H25" s="61"/>
      <c r="I25" s="61"/>
      <c r="J25" s="61" t="s">
        <v>82</v>
      </c>
      <c r="K25" s="61"/>
      <c r="L25" s="61"/>
      <c r="N25" s="57" t="s">
        <v>80</v>
      </c>
      <c r="O25" s="57"/>
      <c r="P25" s="58" t="n">
        <f aca="false">SUM(P26,P27)</f>
        <v>0</v>
      </c>
    </row>
    <row r="26" customFormat="false" ht="15" hidden="false" customHeight="true" outlineLevel="0" collapsed="false">
      <c r="A26" s="50"/>
      <c r="B26" s="65" t="str">
        <f aca="false">$E$6</f>
        <v> Математическое и имитационное моделирование </v>
      </c>
      <c r="C26" s="65"/>
      <c r="D26" s="65"/>
      <c r="E26" s="65"/>
      <c r="F26" s="65"/>
      <c r="G26" s="65"/>
      <c r="H26" s="65"/>
      <c r="I26" s="65"/>
      <c r="J26" s="514"/>
      <c r="K26" s="514"/>
      <c r="L26" s="514"/>
      <c r="N26" s="57" t="s">
        <v>83</v>
      </c>
      <c r="O26" s="57"/>
      <c r="P26" s="58" t="n">
        <f aca="false">COUNTIF(N8:N18,"Успевает")</f>
        <v>0</v>
      </c>
    </row>
    <row r="27" customFormat="false" ht="15" hidden="false" customHeight="true" outlineLevel="0" collapsed="false">
      <c r="A27" s="50"/>
      <c r="B27" s="65" t="str">
        <f aca="false">$F$6</f>
        <v> Методы и алгоритмы интеллектуальной обработки сигналов и изображений</v>
      </c>
      <c r="C27" s="65"/>
      <c r="D27" s="65"/>
      <c r="E27" s="65"/>
      <c r="F27" s="65"/>
      <c r="G27" s="65"/>
      <c r="H27" s="65"/>
      <c r="I27" s="65"/>
      <c r="J27" s="514"/>
      <c r="K27" s="514"/>
      <c r="L27" s="514"/>
      <c r="N27" s="98" t="s">
        <v>84</v>
      </c>
      <c r="O27" s="98"/>
      <c r="P27" s="58" t="n">
        <f aca="false">COUNTIF(N8:N18,"Не успевает")</f>
        <v>0</v>
      </c>
    </row>
    <row r="28" customFormat="false" ht="15" hidden="false" customHeight="true" outlineLevel="0" collapsed="false">
      <c r="A28" s="50"/>
      <c r="B28" s="65" t="str">
        <f aca="false">$G$6</f>
        <v>Оптимальное управление техническими системами</v>
      </c>
      <c r="C28" s="65"/>
      <c r="D28" s="65"/>
      <c r="E28" s="65"/>
      <c r="F28" s="65"/>
      <c r="G28" s="65"/>
      <c r="H28" s="65"/>
      <c r="I28" s="65"/>
      <c r="J28" s="514"/>
      <c r="K28" s="514"/>
      <c r="L28" s="514"/>
      <c r="N28" s="98" t="s">
        <v>85</v>
      </c>
      <c r="O28" s="98"/>
      <c r="P28" s="58" t="n">
        <f aca="false">COUNTIF(P8:P18,"Благодарность")</f>
        <v>0</v>
      </c>
    </row>
    <row r="29" customFormat="false" ht="15" hidden="false" customHeight="true" outlineLevel="0" collapsed="false">
      <c r="A29" s="50"/>
      <c r="B29" s="65" t="str">
        <f aca="false">$H$6</f>
        <v> Управление сложными техническими системами</v>
      </c>
      <c r="C29" s="65"/>
      <c r="D29" s="65"/>
      <c r="E29" s="65"/>
      <c r="F29" s="65"/>
      <c r="G29" s="65"/>
      <c r="H29" s="65"/>
      <c r="I29" s="65"/>
      <c r="J29" s="514"/>
      <c r="K29" s="514"/>
      <c r="L29" s="514"/>
      <c r="N29" s="98" t="s">
        <v>86</v>
      </c>
      <c r="O29" s="98"/>
      <c r="P29" s="58" t="n">
        <f aca="false">COUNTIF(P8:P18,"Нормально")</f>
        <v>0</v>
      </c>
    </row>
    <row r="30" customFormat="false" ht="15" hidden="false" customHeight="true" outlineLevel="0" collapsed="false">
      <c r="A30" s="50"/>
      <c r="B30" s="65" t="str">
        <f aca="false">$I$6</f>
        <v>Иностранный язык</v>
      </c>
      <c r="C30" s="65"/>
      <c r="D30" s="65"/>
      <c r="E30" s="65"/>
      <c r="F30" s="65"/>
      <c r="G30" s="65"/>
      <c r="H30" s="65"/>
      <c r="I30" s="65"/>
      <c r="J30" s="514"/>
      <c r="K30" s="514"/>
      <c r="L30" s="514"/>
      <c r="N30" s="98" t="s">
        <v>87</v>
      </c>
      <c r="O30" s="98"/>
      <c r="P30" s="58" t="n">
        <f aca="false">COUNTIF(P8:P18,"Предупреждение")</f>
        <v>0</v>
      </c>
    </row>
    <row r="31" customFormat="false" ht="15" hidden="false" customHeight="true" outlineLevel="0" collapsed="false">
      <c r="A31" s="50"/>
      <c r="B31" s="65" t="str">
        <f aca="false">$J$6</f>
        <v>Научно-исследовательская работа</v>
      </c>
      <c r="C31" s="65"/>
      <c r="D31" s="65"/>
      <c r="E31" s="65"/>
      <c r="F31" s="65"/>
      <c r="G31" s="65"/>
      <c r="H31" s="65"/>
      <c r="I31" s="65"/>
      <c r="J31" s="514"/>
      <c r="K31" s="514"/>
      <c r="L31" s="514"/>
      <c r="N31" s="98" t="s">
        <v>88</v>
      </c>
      <c r="O31" s="98"/>
      <c r="P31" s="58" t="n">
        <f aca="false">COUNTIF(P8:P18,"Выговор")</f>
        <v>0</v>
      </c>
    </row>
    <row r="32" customFormat="false" ht="15" hidden="false" customHeight="true" outlineLevel="0" collapsed="false">
      <c r="A32" s="50"/>
      <c r="B32" s="65" t="str">
        <f aca="false">$K$6</f>
        <v> Технологическая практика</v>
      </c>
      <c r="C32" s="65"/>
      <c r="D32" s="65"/>
      <c r="E32" s="65"/>
      <c r="F32" s="65"/>
      <c r="G32" s="65"/>
      <c r="H32" s="65"/>
      <c r="I32" s="65"/>
      <c r="J32" s="514"/>
      <c r="K32" s="514"/>
      <c r="L32" s="514"/>
      <c r="M32" s="67"/>
      <c r="N32" s="185" t="s">
        <v>12</v>
      </c>
      <c r="O32" s="143"/>
      <c r="P32" s="515" t="n">
        <f aca="false">SUM(Q8:Q18)</f>
        <v>0</v>
      </c>
    </row>
    <row r="33" customFormat="false" ht="15" hidden="false" customHeight="true" outlineLevel="0" collapsed="false">
      <c r="A33" s="50"/>
      <c r="B33" s="65" t="str">
        <f aca="false">$L$6</f>
        <v> Управление персоналом</v>
      </c>
      <c r="C33" s="65"/>
      <c r="D33" s="65"/>
      <c r="E33" s="65"/>
      <c r="F33" s="65"/>
      <c r="G33" s="65"/>
      <c r="H33" s="65"/>
      <c r="I33" s="65"/>
      <c r="J33" s="514"/>
      <c r="K33" s="514"/>
      <c r="L33" s="514"/>
      <c r="M33" s="67"/>
      <c r="N33" s="67"/>
      <c r="O33" s="48"/>
    </row>
    <row r="34" customFormat="false" ht="15" hidden="false" customHeight="true" outlineLevel="0" collapsed="false">
      <c r="A34" s="50"/>
      <c r="B34" s="139"/>
      <c r="C34" s="139"/>
      <c r="D34" s="139"/>
      <c r="E34" s="139"/>
      <c r="F34" s="139"/>
      <c r="G34" s="139"/>
      <c r="H34" s="139"/>
      <c r="I34" s="139"/>
      <c r="J34" s="139"/>
      <c r="K34" s="139"/>
      <c r="L34" s="139"/>
      <c r="M34" s="67"/>
      <c r="N34" s="67"/>
      <c r="O34" s="48"/>
    </row>
    <row r="35" customFormat="false" ht="15" hidden="false" customHeight="true" outlineLevel="0" collapsed="false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</row>
    <row r="36" customFormat="false" ht="15" hidden="false" customHeight="true" outlineLevel="0" collapsed="false">
      <c r="A36" s="50"/>
      <c r="B36" s="428" t="s">
        <v>405</v>
      </c>
      <c r="C36" s="198" t="s">
        <v>1431</v>
      </c>
      <c r="D36" s="198"/>
      <c r="E36" s="67"/>
      <c r="F36" s="52" t="s">
        <v>407</v>
      </c>
      <c r="G36" s="381" t="s">
        <v>1432</v>
      </c>
      <c r="H36" s="52"/>
      <c r="I36" s="52"/>
      <c r="J36" s="52"/>
      <c r="K36" s="52"/>
      <c r="L36" s="50"/>
    </row>
    <row r="37" customFormat="false" ht="15" hidden="false" customHeight="true" outlineLevel="0" collapsed="false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</row>
    <row r="38" customFormat="false" ht="15" hidden="false" customHeight="true" outlineLevel="0" collapsed="false">
      <c r="A38" s="50"/>
      <c r="B38" s="50" t="s">
        <v>93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</row>
    <row r="39" customFormat="false" ht="15" hidden="false" customHeight="true" outlineLevel="0" collapsed="false">
      <c r="A39" s="50"/>
      <c r="B39" s="50" t="s">
        <v>94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67"/>
      <c r="N39" s="67"/>
      <c r="O39" s="67"/>
      <c r="P39" s="48"/>
    </row>
    <row r="40" customFormat="false" ht="15" hidden="false" customHeight="true" outlineLevel="0" collapsed="false">
      <c r="A40" s="50"/>
      <c r="B40" s="50" t="s">
        <v>95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48"/>
      <c r="N40" s="48"/>
      <c r="O40" s="48"/>
      <c r="P40" s="48"/>
    </row>
    <row r="41" customFormat="false" ht="15" hidden="false" customHeight="true" outlineLevel="0" collapsed="false">
      <c r="A41" s="50"/>
      <c r="B41" s="50" t="s">
        <v>96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48"/>
      <c r="N41" s="48"/>
      <c r="O41" s="48"/>
      <c r="P41" s="48"/>
    </row>
    <row r="42" customFormat="false" ht="15" hidden="false" customHeight="true" outlineLevel="0" collapsed="false">
      <c r="B42" s="50" t="s">
        <v>97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</row>
    <row r="43" customFormat="false" ht="15" hidden="false" customHeight="true" outlineLevel="0" collapsed="false">
      <c r="B43" s="50" t="s">
        <v>98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</row>
    <row r="44" customFormat="false" ht="15" hidden="false" customHeight="true" outlineLevel="0" collapsed="false">
      <c r="B44" s="50" t="s">
        <v>99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</row>
    <row r="45" customFormat="false" ht="15" hidden="false" customHeight="true" outlineLevel="0" collapsed="false"/>
  </sheetData>
  <mergeCells count="40">
    <mergeCell ref="E1:H1"/>
    <mergeCell ref="L2:N2"/>
    <mergeCell ref="A3:M3"/>
    <mergeCell ref="A5:A7"/>
    <mergeCell ref="B5:B7"/>
    <mergeCell ref="C5:C7"/>
    <mergeCell ref="D5:D7"/>
    <mergeCell ref="E5:H5"/>
    <mergeCell ref="I5:L5"/>
    <mergeCell ref="M5:M7"/>
    <mergeCell ref="N5:N7"/>
    <mergeCell ref="O5:O7"/>
    <mergeCell ref="P5:P7"/>
    <mergeCell ref="Q5:Q7"/>
    <mergeCell ref="H23:I23"/>
    <mergeCell ref="B25:I25"/>
    <mergeCell ref="J25:L25"/>
    <mergeCell ref="N25:O25"/>
    <mergeCell ref="B26:I26"/>
    <mergeCell ref="J26:L26"/>
    <mergeCell ref="N26:O26"/>
    <mergeCell ref="B27:I27"/>
    <mergeCell ref="J27:L27"/>
    <mergeCell ref="N27:O27"/>
    <mergeCell ref="B28:I28"/>
    <mergeCell ref="J28:L28"/>
    <mergeCell ref="N28:O28"/>
    <mergeCell ref="B29:I29"/>
    <mergeCell ref="J29:L29"/>
    <mergeCell ref="N29:O29"/>
    <mergeCell ref="B30:I30"/>
    <mergeCell ref="J30:L30"/>
    <mergeCell ref="N30:O30"/>
    <mergeCell ref="B31:I31"/>
    <mergeCell ref="J31:L31"/>
    <mergeCell ref="N31:O31"/>
    <mergeCell ref="B32:I32"/>
    <mergeCell ref="J32:L32"/>
    <mergeCell ref="B33:I33"/>
    <mergeCell ref="J33:L33"/>
  </mergeCells>
  <conditionalFormatting sqref="E14:L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L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L8 E10:L13 E18:L1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9:M20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9:M1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5"/>
  <sheetViews>
    <sheetView showFormulas="false" showGridLines="true" showRowColHeaders="true" showZeros="true" rightToLeft="false" tabSelected="false" showOutlineSymbols="true" defaultGridColor="true" view="normal" topLeftCell="A5" colorId="64" zoomScale="140" zoomScaleNormal="140" zoomScalePageLayoutView="100" workbookViewId="0">
      <selection pane="topLeft" activeCell="A15" activeCellId="0" sqref="A15"/>
    </sheetView>
  </sheetViews>
  <sheetFormatPr defaultColWidth="8.71484375" defaultRowHeight="15" zeroHeight="false" outlineLevelRow="0" outlineLevelCol="0"/>
  <cols>
    <col collapsed="false" customWidth="true" hidden="false" outlineLevel="0" max="2" min="2" style="0" width="12"/>
    <col collapsed="false" customWidth="true" hidden="false" outlineLevel="0" max="3" min="3" style="0" width="16.71"/>
    <col collapsed="false" customWidth="false" hidden="false" outlineLevel="0" max="11" min="9" style="45" width="8.71"/>
    <col collapsed="false" customWidth="true" hidden="false" outlineLevel="0" max="15" min="15" style="0" width="10"/>
    <col collapsed="false" customWidth="true" hidden="false" outlineLevel="0" max="16" min="16" style="0" width="16.71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1"/>
      <c r="J1" s="1"/>
      <c r="K1" s="1"/>
      <c r="L1" s="2" t="n">
        <f aca="false">set!B1</f>
        <v>2</v>
      </c>
    </row>
    <row r="2" customFormat="false" ht="15" hidden="false" customHeight="false" outlineLevel="0" collapsed="false">
      <c r="H2" s="4"/>
      <c r="I2" s="4"/>
      <c r="J2" s="4"/>
      <c r="K2" s="4"/>
      <c r="N2" s="5" t="s">
        <v>1</v>
      </c>
      <c r="O2" s="5"/>
      <c r="P2" s="5"/>
      <c r="Q2" s="415" t="n">
        <f aca="false">set!B4</f>
        <v>45608</v>
      </c>
    </row>
    <row r="3" customFormat="false" ht="15" hidden="false" customHeight="false" outlineLevel="0" collapsed="false">
      <c r="A3" s="451" t="str">
        <f aca="false">"Успеваемость студентов за "&amp;(set!B2)&amp;" "&amp;"семестр"&amp;" "&amp;(set!B3) &amp;" "&amp; "учебного года по группе ИУК3-31М факультета ИУК МГТУ им. Н.Э. Баумана"</f>
        <v>Успеваемость студентов за 1 семестр 24/25 учебного года по группе ИУК3-31М факультета ИУК МГТУ им. Н.Э. Баумана</v>
      </c>
      <c r="B3" s="451"/>
      <c r="C3" s="451"/>
      <c r="D3" s="451"/>
      <c r="E3" s="451"/>
      <c r="F3" s="451"/>
      <c r="G3" s="451"/>
      <c r="H3" s="451"/>
      <c r="I3" s="451"/>
      <c r="J3" s="451"/>
      <c r="K3" s="451"/>
      <c r="L3" s="451"/>
      <c r="M3" s="451"/>
      <c r="N3" s="451"/>
      <c r="O3" s="451"/>
    </row>
    <row r="4" customFormat="false" ht="15" hidden="false" customHeight="false" outlineLevel="0" collapsed="false">
      <c r="B4" s="7"/>
      <c r="C4" s="7"/>
    </row>
    <row r="5" customFormat="false" ht="15.75" hidden="false" customHeight="true" outlineLevel="0" collapsed="false">
      <c r="A5" s="502" t="s">
        <v>2</v>
      </c>
      <c r="B5" s="502" t="s">
        <v>3</v>
      </c>
      <c r="C5" s="502" t="s">
        <v>4</v>
      </c>
      <c r="D5" s="503" t="s">
        <v>5</v>
      </c>
      <c r="E5" s="11" t="s">
        <v>6</v>
      </c>
      <c r="F5" s="11"/>
      <c r="G5" s="11"/>
      <c r="H5" s="11" t="s">
        <v>7</v>
      </c>
      <c r="I5" s="11"/>
      <c r="J5" s="11"/>
      <c r="K5" s="11"/>
      <c r="L5" s="11"/>
      <c r="M5" s="468" t="s">
        <v>8</v>
      </c>
      <c r="N5" s="469" t="s">
        <v>9</v>
      </c>
      <c r="O5" s="469" t="s">
        <v>10</v>
      </c>
      <c r="P5" s="417" t="s">
        <v>11</v>
      </c>
      <c r="Q5" s="417" t="s">
        <v>12</v>
      </c>
    </row>
    <row r="6" customFormat="false" ht="15" hidden="false" customHeight="false" outlineLevel="0" collapsed="false">
      <c r="A6" s="502"/>
      <c r="B6" s="502"/>
      <c r="C6" s="502"/>
      <c r="D6" s="503"/>
      <c r="E6" s="339" t="s">
        <v>1433</v>
      </c>
      <c r="F6" s="340" t="s">
        <v>504</v>
      </c>
      <c r="G6" s="341" t="s">
        <v>1434</v>
      </c>
      <c r="H6" s="339" t="s">
        <v>1435</v>
      </c>
      <c r="I6" s="340" t="s">
        <v>1436</v>
      </c>
      <c r="J6" s="340" t="s">
        <v>505</v>
      </c>
      <c r="K6" s="340" t="s">
        <v>506</v>
      </c>
      <c r="L6" s="342" t="s">
        <v>508</v>
      </c>
      <c r="M6" s="468"/>
      <c r="N6" s="469"/>
      <c r="O6" s="469"/>
      <c r="P6" s="417"/>
      <c r="Q6" s="417"/>
    </row>
    <row r="7" customFormat="false" ht="17.9" hidden="false" customHeight="false" outlineLevel="0" collapsed="false">
      <c r="A7" s="502"/>
      <c r="B7" s="502"/>
      <c r="C7" s="502"/>
      <c r="D7" s="503"/>
      <c r="E7" s="343" t="s">
        <v>171</v>
      </c>
      <c r="F7" s="344" t="s">
        <v>509</v>
      </c>
      <c r="G7" s="345" t="s">
        <v>23</v>
      </c>
      <c r="H7" s="343" t="s">
        <v>1208</v>
      </c>
      <c r="I7" s="344" t="s">
        <v>1208</v>
      </c>
      <c r="J7" s="344" t="s">
        <v>1408</v>
      </c>
      <c r="K7" s="344" t="s">
        <v>23</v>
      </c>
      <c r="L7" s="346" t="s">
        <v>300</v>
      </c>
      <c r="M7" s="468"/>
      <c r="N7" s="469"/>
      <c r="O7" s="469"/>
      <c r="P7" s="417"/>
      <c r="Q7" s="417"/>
    </row>
    <row r="8" s="45" customFormat="true" ht="15" hidden="false" customHeight="true" outlineLevel="0" collapsed="false">
      <c r="A8" s="37" t="n">
        <v>1</v>
      </c>
      <c r="B8" s="37" t="s">
        <v>1437</v>
      </c>
      <c r="C8" s="37" t="s">
        <v>1438</v>
      </c>
      <c r="D8" s="516"/>
      <c r="E8" s="517"/>
      <c r="F8" s="518"/>
      <c r="G8" s="519"/>
      <c r="H8" s="519"/>
      <c r="I8" s="518"/>
      <c r="J8" s="518"/>
      <c r="K8" s="518"/>
      <c r="L8" s="520"/>
      <c r="M8" s="154" t="str">
        <f aca="false">IFERROR(AVERAGE(E8:L8),"")</f>
        <v/>
      </c>
      <c r="N8" s="117" t="str">
        <f aca="false">IF(E8&lt;&gt;"",IF(COUNTIF(E8:L8,"&lt;3"),"Не успевает","Успевает"),"")</f>
        <v/>
      </c>
      <c r="O8" s="250" t="str">
        <f aca="false">IF(D8&lt;&gt;"",(30*(set!B$5)-D8)/(30*(set!B$5))*100,"")</f>
        <v/>
      </c>
      <c r="P8" s="85" t="str">
        <f aca="false" t="array" ref="P8:P8">IF(E8&lt;&gt;"",IF(M8&lt;1.85,"Выговор",IF(M8=1.85,"Выговор",IF(AND(M8&gt;1.85,M8&lt;3),"Предупреждение",IF(AND(M8&gt;3,M8&lt;4.65),"Нормально",IF(AND(M8&gt;4.65,M8&lt;5.1,E8:L8&gt;=4),"Благодарность","Нормально"))))),"")</f>
        <v/>
      </c>
      <c r="Q8" s="437" t="n">
        <f aca="false">COUNTIF(E8:L8,2)+COUNTIF(E8:L8,1)+COUNTIF(E8:L8,0)</f>
        <v>0</v>
      </c>
    </row>
    <row r="9" s="45" customFormat="true" ht="15" hidden="false" customHeight="true" outlineLevel="0" collapsed="false">
      <c r="A9" s="37" t="n">
        <v>2</v>
      </c>
      <c r="B9" s="37" t="s">
        <v>1439</v>
      </c>
      <c r="C9" s="37" t="s">
        <v>1440</v>
      </c>
      <c r="D9" s="516"/>
      <c r="E9" s="517"/>
      <c r="F9" s="518"/>
      <c r="G9" s="519"/>
      <c r="H9" s="519"/>
      <c r="I9" s="518"/>
      <c r="J9" s="518"/>
      <c r="K9" s="518"/>
      <c r="L9" s="520"/>
      <c r="M9" s="154" t="str">
        <f aca="false">IFERROR(AVERAGE(E9:L9),"")</f>
        <v/>
      </c>
      <c r="N9" s="117" t="str">
        <f aca="false">IF(E9&lt;&gt;"",IF(COUNTIF(E9:L9,"&lt;3"),"Не успевает","Успевает"),"")</f>
        <v/>
      </c>
      <c r="O9" s="250" t="str">
        <f aca="false">IF(D9&lt;&gt;"",(30*(set!B$5)-D9)/(30*(set!B$5))*100,"")</f>
        <v/>
      </c>
      <c r="P9" s="85" t="str">
        <f aca="false" t="array" ref="P9:P9">IF(E9&lt;&gt;"",IF(M9&lt;1.85,"Выговор",IF(M9=1.85,"Выговор",IF(AND(M9&gt;1.85,M9&lt;3),"Предупреждение",IF(AND(M9&gt;3,M9&lt;4.65),"Нормально",IF(AND(M9&gt;4.65,M9&lt;5.1,E9:L9&gt;=4),"Благодарность","Нормально"))))),"")</f>
        <v/>
      </c>
      <c r="Q9" s="437" t="n">
        <f aca="false">COUNTIF(E9:L9,2)+COUNTIF(E9:L9,1)+COUNTIF(E9:L9,0)</f>
        <v>0</v>
      </c>
    </row>
    <row r="10" customFormat="false" ht="15" hidden="false" customHeight="true" outlineLevel="0" collapsed="false">
      <c r="A10" s="37" t="n">
        <v>3</v>
      </c>
      <c r="B10" s="37" t="s">
        <v>1441</v>
      </c>
      <c r="C10" s="37" t="s">
        <v>1442</v>
      </c>
      <c r="D10" s="516"/>
      <c r="E10" s="517"/>
      <c r="F10" s="518"/>
      <c r="G10" s="519"/>
      <c r="H10" s="519"/>
      <c r="I10" s="518"/>
      <c r="J10" s="518"/>
      <c r="K10" s="518"/>
      <c r="L10" s="520"/>
      <c r="M10" s="154" t="str">
        <f aca="false">IFERROR(AVERAGE(E10:L10),"")</f>
        <v/>
      </c>
      <c r="N10" s="117" t="str">
        <f aca="false">IF(E10&lt;&gt;"",IF(COUNTIF(E10:L10,"&lt;3"),"Не успевает","Успевает"),"")</f>
        <v/>
      </c>
      <c r="O10" s="250" t="str">
        <f aca="false">IF(D10&lt;&gt;"",(30*(set!B$5)-D10)/(30*(set!B$5))*100,"")</f>
        <v/>
      </c>
      <c r="P10" s="85" t="str">
        <f aca="false" t="array" ref="P10:P10">IF(E10&lt;&gt;"",IF(M10&lt;1.85,"Выговор",IF(M10=1.85,"Выговор",IF(AND(M10&gt;1.85,M10&lt;3),"Предупреждение",IF(AND(M10&gt;3,M10&lt;4.65),"Нормально",IF(AND(M10&gt;4.65,M10&lt;5.1,E10:L10&gt;=4),"Благодарность","Нормально"))))),"")</f>
        <v/>
      </c>
      <c r="Q10" s="437" t="n">
        <f aca="false">COUNTIF(E10:L10,2)+COUNTIF(E10:L10,1)+COUNTIF(E10:L10,0)</f>
        <v>0</v>
      </c>
    </row>
    <row r="11" customFormat="false" ht="15" hidden="false" customHeight="true" outlineLevel="0" collapsed="false">
      <c r="A11" s="37" t="n">
        <v>4</v>
      </c>
      <c r="B11" s="37" t="s">
        <v>1443</v>
      </c>
      <c r="C11" s="37" t="s">
        <v>1444</v>
      </c>
      <c r="D11" s="516"/>
      <c r="E11" s="517"/>
      <c r="F11" s="518"/>
      <c r="G11" s="519"/>
      <c r="H11" s="519"/>
      <c r="I11" s="518"/>
      <c r="J11" s="518"/>
      <c r="K11" s="518"/>
      <c r="L11" s="520"/>
      <c r="M11" s="154" t="str">
        <f aca="false">IFERROR(AVERAGE(E11:L11),"")</f>
        <v/>
      </c>
      <c r="N11" s="117" t="str">
        <f aca="false">IF(E11&lt;&gt;"",IF(COUNTIF(E11:L11,"&lt;3"),"Не успевает","Успевает"),"")</f>
        <v/>
      </c>
      <c r="O11" s="250" t="str">
        <f aca="false">IF(D11&lt;&gt;"",(30*(set!B$5)-D11)/(30*(set!B$5))*100,"")</f>
        <v/>
      </c>
      <c r="P11" s="85" t="str">
        <f aca="false" t="array" ref="P11:P11">IF(E11&lt;&gt;"",IF(M11&lt;1.85,"Выговор",IF(M11=1.85,"Выговор",IF(AND(M11&gt;1.85,M11&lt;3),"Предупреждение",IF(AND(M11&gt;3,M11&lt;4.65),"Нормально",IF(AND(M11&gt;4.65,M11&lt;5.1,E11:L11&gt;=4),"Благодарность","Нормально"))))),"")</f>
        <v/>
      </c>
      <c r="Q11" s="437" t="n">
        <f aca="false">COUNTIF(E11:L11,2)+COUNTIF(E11:L11,1)+COUNTIF(E11:L11,0)</f>
        <v>0</v>
      </c>
    </row>
    <row r="12" customFormat="false" ht="15" hidden="false" customHeight="true" outlineLevel="0" collapsed="false">
      <c r="A12" s="37" t="n">
        <v>5</v>
      </c>
      <c r="B12" s="37" t="s">
        <v>1445</v>
      </c>
      <c r="C12" s="37" t="s">
        <v>1446</v>
      </c>
      <c r="D12" s="516"/>
      <c r="E12" s="517"/>
      <c r="F12" s="518"/>
      <c r="G12" s="519"/>
      <c r="H12" s="519"/>
      <c r="I12" s="518"/>
      <c r="J12" s="518"/>
      <c r="K12" s="518"/>
      <c r="L12" s="520"/>
      <c r="M12" s="154" t="str">
        <f aca="false">IFERROR(AVERAGE(E12:L12),"")</f>
        <v/>
      </c>
      <c r="N12" s="117" t="str">
        <f aca="false">IF(E12&lt;&gt;"",IF(COUNTIF(E12:L12,"&lt;3"),"Не успевает","Успевает"),"")</f>
        <v/>
      </c>
      <c r="O12" s="250" t="str">
        <f aca="false">IF(D12&lt;&gt;"",(30*(set!B$5)-D12)/(30*(set!B$5))*100,"")</f>
        <v/>
      </c>
      <c r="P12" s="85" t="str">
        <f aca="false" t="array" ref="P12:P12">IF(E12&lt;&gt;"",IF(M12&lt;1.85,"Выговор",IF(M12=1.85,"Выговор",IF(AND(M12&gt;1.85,M12&lt;3),"Предупреждение",IF(AND(M12&gt;3,M12&lt;4.65),"Нормально",IF(AND(M12&gt;4.65,M12&lt;5.1,E12:L12&gt;=4),"Благодарность","Нормально"))))),"")</f>
        <v/>
      </c>
      <c r="Q12" s="437" t="n">
        <f aca="false">COUNTIF(E12:L12,2)+COUNTIF(E12:L12,1)+COUNTIF(E12:L12,0)</f>
        <v>0</v>
      </c>
    </row>
    <row r="13" s="45" customFormat="true" ht="15" hidden="false" customHeight="true" outlineLevel="0" collapsed="false">
      <c r="A13" s="37" t="n">
        <v>6</v>
      </c>
      <c r="B13" s="37" t="s">
        <v>1447</v>
      </c>
      <c r="C13" s="37" t="s">
        <v>1448</v>
      </c>
      <c r="D13" s="516"/>
      <c r="E13" s="517"/>
      <c r="F13" s="518"/>
      <c r="G13" s="519"/>
      <c r="H13" s="519"/>
      <c r="I13" s="518"/>
      <c r="J13" s="518"/>
      <c r="K13" s="518"/>
      <c r="L13" s="520"/>
      <c r="M13" s="154" t="str">
        <f aca="false">IFERROR(AVERAGE(E13:L13),"")</f>
        <v/>
      </c>
      <c r="N13" s="117" t="str">
        <f aca="false">IF(E13&lt;&gt;"",IF(COUNTIF(E13:L13,"&lt;3"),"Не успевает","Успевает"),"")</f>
        <v/>
      </c>
      <c r="O13" s="250" t="str">
        <f aca="false">IF(D13&lt;&gt;"",(30*(set!B$5)-D13)/(30*(set!B$5))*100,"")</f>
        <v/>
      </c>
      <c r="P13" s="85" t="str">
        <f aca="false" t="array" ref="P13:P13">IF(E13&lt;&gt;"",IF(M13&lt;1.85,"Выговор",IF(M13=1.85,"Выговор",IF(AND(M13&gt;1.85,M13&lt;3),"Предупреждение",IF(AND(M13&gt;3,M13&lt;4.65),"Нормально",IF(AND(M13&gt;4.65,M13&lt;5.1,E13:L13&gt;=4),"Благодарность","Нормально"))))),"")</f>
        <v/>
      </c>
      <c r="Q13" s="437" t="n">
        <f aca="false">COUNTIF(E13:L13,2)+COUNTIF(E13:L13,1)+COUNTIF(E13:L13,0)</f>
        <v>0</v>
      </c>
    </row>
    <row r="14" s="45" customFormat="true" ht="15" hidden="false" customHeight="true" outlineLevel="0" collapsed="false">
      <c r="A14" s="37" t="n">
        <v>7</v>
      </c>
      <c r="B14" s="37" t="s">
        <v>1449</v>
      </c>
      <c r="C14" s="37" t="s">
        <v>1450</v>
      </c>
      <c r="D14" s="516"/>
      <c r="E14" s="517"/>
      <c r="F14" s="518"/>
      <c r="G14" s="519"/>
      <c r="H14" s="519"/>
      <c r="I14" s="518"/>
      <c r="J14" s="518"/>
      <c r="K14" s="518"/>
      <c r="L14" s="520"/>
      <c r="M14" s="154" t="str">
        <f aca="false">IFERROR(AVERAGE(E14:L14),"")</f>
        <v/>
      </c>
      <c r="N14" s="117" t="str">
        <f aca="false">IF(E14&lt;&gt;"",IF(COUNTIF(E14:L14,"&lt;3"),"Не успевает","Успевает"),"")</f>
        <v/>
      </c>
      <c r="O14" s="250" t="str">
        <f aca="false">IF(D14&lt;&gt;"",(30*(set!B$5)-D14)/(30*(set!B$5))*100,"")</f>
        <v/>
      </c>
      <c r="P14" s="85" t="str">
        <f aca="false" t="array" ref="P14:P14">IF(E14&lt;&gt;"",IF(M14&lt;1.85,"Выговор",IF(M14=1.85,"Выговор",IF(AND(M14&gt;1.85,M14&lt;3),"Предупреждение",IF(AND(M14&gt;3,M14&lt;4.65),"Нормально",IF(AND(M14&gt;4.65,M14&lt;5.1,E14:L14&gt;=4),"Благодарность","Нормально"))))),"")</f>
        <v/>
      </c>
      <c r="Q14" s="437" t="n">
        <f aca="false">COUNTIF(E14:L14,2)+COUNTIF(E14:L14,1)+COUNTIF(E14:L14,0)</f>
        <v>0</v>
      </c>
    </row>
    <row r="15" customFormat="false" ht="15" hidden="false" customHeight="true" outlineLevel="0" collapsed="false">
      <c r="A15" s="37" t="n">
        <v>8</v>
      </c>
      <c r="B15" s="37" t="s">
        <v>1451</v>
      </c>
      <c r="C15" s="37" t="s">
        <v>1452</v>
      </c>
      <c r="D15" s="516"/>
      <c r="E15" s="517"/>
      <c r="F15" s="518"/>
      <c r="G15" s="519"/>
      <c r="H15" s="519"/>
      <c r="I15" s="518"/>
      <c r="J15" s="518"/>
      <c r="K15" s="518"/>
      <c r="L15" s="520"/>
      <c r="M15" s="154" t="str">
        <f aca="false">IFERROR(AVERAGE(E15:L15),"")</f>
        <v/>
      </c>
      <c r="N15" s="117" t="str">
        <f aca="false">IF(E15&lt;&gt;"",IF(COUNTIF(E15:L15,"&lt;3"),"Не успевает","Успевает"),"")</f>
        <v/>
      </c>
      <c r="O15" s="250" t="str">
        <f aca="false">IF(D15&lt;&gt;"",(30*(set!B$5)-D15)/(30*(set!B$5))*100,"")</f>
        <v/>
      </c>
      <c r="P15" s="85" t="str">
        <f aca="false" t="array" ref="P15:P15">IF(E15&lt;&gt;"",IF(M15&lt;1.85,"Выговор",IF(M15=1.85,"Выговор",IF(AND(M15&gt;1.85,M15&lt;3),"Предупреждение",IF(AND(M15&gt;3,M15&lt;4.65),"Нормально",IF(AND(M15&gt;4.65,M15&lt;5.1,E15:L15&gt;=4),"Благодарность","Нормально"))))),"")</f>
        <v/>
      </c>
      <c r="Q15" s="437" t="n">
        <f aca="false">COUNTIF(E15:L15,2)+COUNTIF(E15:L15,1)+COUNTIF(E15:L15,0)</f>
        <v>0</v>
      </c>
    </row>
    <row r="16" customFormat="false" ht="15" hidden="false" customHeight="true" outlineLevel="0" collapsed="false">
      <c r="A16" s="0" t="s">
        <v>77</v>
      </c>
      <c r="D16" s="46"/>
      <c r="E16" s="229" t="e">
        <f aca="false">AVERAGE(E8:E15)</f>
        <v>#DIV/0!</v>
      </c>
      <c r="F16" s="229" t="e">
        <f aca="false">AVERAGE(F8:F15)</f>
        <v>#DIV/0!</v>
      </c>
      <c r="G16" s="229" t="e">
        <f aca="false">AVERAGE(G8:G15)</f>
        <v>#DIV/0!</v>
      </c>
      <c r="H16" s="229" t="e">
        <f aca="false">AVERAGE(H8:H15)</f>
        <v>#DIV/0!</v>
      </c>
      <c r="I16" s="229" t="e">
        <f aca="false">AVERAGE(I8:I15)</f>
        <v>#DIV/0!</v>
      </c>
      <c r="J16" s="229" t="e">
        <f aca="false">AVERAGE(J8:J15)</f>
        <v>#DIV/0!</v>
      </c>
      <c r="K16" s="229" t="e">
        <f aca="false">AVERAGE(K8:K15)</f>
        <v>#DIV/0!</v>
      </c>
      <c r="L16" s="229" t="e">
        <f aca="false">AVERAGE(L8:L15)</f>
        <v>#DIV/0!</v>
      </c>
      <c r="M16" s="47"/>
      <c r="N16" s="48"/>
      <c r="O16" s="49"/>
      <c r="Q16" s="242"/>
    </row>
    <row r="17" customFormat="false" ht="15" hidden="false" customHeight="true" outlineLevel="0" collapsed="false">
      <c r="A17" s="0" t="s">
        <v>78</v>
      </c>
      <c r="D17" s="46"/>
      <c r="E17" s="49" t="e">
        <f aca="false">(COUNTIF(E8:E15,5)+COUNTIF(E8:E15,4)+COUNTIF(E8:E15,3))/$S$22*100</f>
        <v>#DIV/0!</v>
      </c>
      <c r="F17" s="49" t="e">
        <f aca="false">(COUNTIF(F8:F15,5)+COUNTIF(F8:F15,4)+COUNTIF(F8:F15,3))/$S$22*100</f>
        <v>#DIV/0!</v>
      </c>
      <c r="G17" s="49" t="e">
        <f aca="false">(COUNTIF(G8:G15,5)+COUNTIF(G8:G15,4)+COUNTIF(G8:G15,3))/$S$22*100</f>
        <v>#DIV/0!</v>
      </c>
      <c r="H17" s="49" t="e">
        <f aca="false">(COUNTIF(H8:H15,5)+COUNTIF(H8:H15,4)+COUNTIF(H8:H15,3))/$S$22*100</f>
        <v>#DIV/0!</v>
      </c>
      <c r="I17" s="49" t="e">
        <f aca="false">(COUNTIF(I8:I15,5)+COUNTIF(I8:I15,4)+COUNTIF(I8:I15,3))/$S$22*100</f>
        <v>#DIV/0!</v>
      </c>
      <c r="J17" s="49" t="e">
        <f aca="false">(COUNTIF(J8:J15,5)+COUNTIF(J8:J15,4)+COUNTIF(J8:J15,3))/$S$22*100</f>
        <v>#DIV/0!</v>
      </c>
      <c r="K17" s="49" t="e">
        <f aca="false">(COUNTIF(K8:K15,5)+COUNTIF(K8:K15,4)+COUNTIF(K8:K15,3))/$S$22*100</f>
        <v>#DIV/0!</v>
      </c>
      <c r="L17" s="49" t="e">
        <f aca="false">(COUNTIF(L8:L15,5)+COUNTIF(L8:L15,4)+COUNTIF(L8:L15,3))/$S$22*100</f>
        <v>#DIV/0!</v>
      </c>
      <c r="M17" s="47"/>
      <c r="N17" s="48"/>
      <c r="O17" s="49"/>
      <c r="Q17" s="242"/>
    </row>
    <row r="18" customFormat="false" ht="15" hidden="false" customHeight="true" outlineLevel="0" collapsed="false">
      <c r="N18" s="48"/>
      <c r="O18" s="48"/>
      <c r="P18" s="48"/>
    </row>
    <row r="19" customFormat="false" ht="15" hidden="false" customHeight="true" outlineLevel="0" collapsed="false"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</row>
    <row r="20" customFormat="false" ht="15" hidden="false" customHeight="true" outlineLevel="0" collapsed="false">
      <c r="B20" s="50"/>
      <c r="C20" s="50" t="s">
        <v>8</v>
      </c>
      <c r="D20" s="51" t="str">
        <f aca="false">IFERROR(AVERAGE(M8:M15),"")</f>
        <v/>
      </c>
      <c r="E20" s="52" t="s">
        <v>9</v>
      </c>
      <c r="F20" s="52"/>
      <c r="G20" s="53" t="str">
        <f aca="false">IFERROR(COUNTIF(N8:N15,"Успевает")/S22*100,"")</f>
        <v/>
      </c>
      <c r="H20" s="521"/>
      <c r="I20" s="521"/>
      <c r="J20" s="161" t="s">
        <v>79</v>
      </c>
      <c r="K20" s="521"/>
      <c r="L20" s="521"/>
      <c r="M20" s="55" t="str">
        <f aca="false">IFERROR(AVERAGE(O8:O15),"")</f>
        <v/>
      </c>
      <c r="N20" s="48"/>
      <c r="O20" s="48"/>
      <c r="P20" s="48"/>
    </row>
    <row r="21" customFormat="false" ht="15" hidden="false" customHeight="true" outlineLevel="0" collapsed="false">
      <c r="B21" s="50"/>
      <c r="C21" s="50"/>
      <c r="D21" s="50"/>
      <c r="E21" s="56"/>
      <c r="F21" s="56"/>
      <c r="G21" s="56"/>
      <c r="H21" s="56"/>
      <c r="I21" s="56"/>
      <c r="J21" s="56"/>
      <c r="K21" s="56"/>
      <c r="L21" s="56"/>
    </row>
    <row r="22" customFormat="false" ht="15" hidden="false" customHeight="true" outlineLevel="0" collapsed="false">
      <c r="A22" s="50"/>
      <c r="B22" s="61" t="s">
        <v>81</v>
      </c>
      <c r="C22" s="61"/>
      <c r="D22" s="61"/>
      <c r="E22" s="61"/>
      <c r="F22" s="61"/>
      <c r="G22" s="61"/>
      <c r="H22" s="61"/>
      <c r="I22" s="61"/>
      <c r="J22" s="61"/>
      <c r="K22" s="61"/>
      <c r="L22" s="61"/>
      <c r="M22" s="61" t="s">
        <v>82</v>
      </c>
      <c r="N22" s="61"/>
      <c r="O22" s="61"/>
      <c r="Q22" s="57" t="s">
        <v>80</v>
      </c>
      <c r="R22" s="57"/>
      <c r="S22" s="58" t="n">
        <f aca="false">SUM(S23,S24)</f>
        <v>0</v>
      </c>
    </row>
    <row r="23" customFormat="false" ht="15" hidden="false" customHeight="true" outlineLevel="0" collapsed="false">
      <c r="A23" s="50"/>
      <c r="B23" s="65" t="str">
        <f aca="false">$E$6</f>
        <v> Контроль и диагностика электронных приборов и средств</v>
      </c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6"/>
      <c r="N23" s="66"/>
      <c r="O23" s="66"/>
      <c r="Q23" s="57" t="s">
        <v>83</v>
      </c>
      <c r="R23" s="57"/>
      <c r="S23" s="58" t="n">
        <f aca="false">COUNTIF(N8:N15,"Успевает")</f>
        <v>0</v>
      </c>
    </row>
    <row r="24" customFormat="false" ht="15" hidden="false" customHeight="true" outlineLevel="0" collapsed="false">
      <c r="A24" s="50"/>
      <c r="B24" s="65" t="str">
        <f aca="false">$F$6</f>
        <v> Основы системного анализа</v>
      </c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6"/>
      <c r="N24" s="66"/>
      <c r="O24" s="66"/>
      <c r="Q24" s="98" t="s">
        <v>84</v>
      </c>
      <c r="R24" s="98"/>
      <c r="S24" s="58" t="n">
        <f aca="false">COUNTIF(N8:N15,"Не успевает")</f>
        <v>0</v>
      </c>
    </row>
    <row r="25" customFormat="false" ht="15" hidden="false" customHeight="true" outlineLevel="0" collapsed="false">
      <c r="A25" s="50"/>
      <c r="B25" s="65" t="str">
        <f aca="false">$G$6</f>
        <v> Современные проблемы компьютерных и телекоммуникационных сетей</v>
      </c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6"/>
      <c r="N25" s="66"/>
      <c r="O25" s="66"/>
      <c r="Q25" s="98" t="s">
        <v>85</v>
      </c>
      <c r="R25" s="98"/>
      <c r="S25" s="58" t="n">
        <f aca="false">COUNTIF(P8:P15,"Благодарность")</f>
        <v>0</v>
      </c>
    </row>
    <row r="26" customFormat="false" ht="15" hidden="false" customHeight="true" outlineLevel="0" collapsed="false">
      <c r="A26" s="50"/>
      <c r="B26" s="65" t="str">
        <f aca="false">$H$6</f>
        <v> Адаптивное управление электромеханическими системами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6"/>
      <c r="N26" s="66"/>
      <c r="O26" s="66"/>
      <c r="Q26" s="98" t="s">
        <v>86</v>
      </c>
      <c r="R26" s="98"/>
      <c r="S26" s="58" t="n">
        <f aca="false">COUNTIF(P8:P15,"Нормально")</f>
        <v>0</v>
      </c>
    </row>
    <row r="27" s="45" customFormat="true" ht="15" hidden="false" customHeight="true" outlineLevel="0" collapsed="false">
      <c r="A27" s="50"/>
      <c r="B27" s="65" t="str">
        <f aca="false">$I$6</f>
        <v> Нечеткие и робастные системы управления</v>
      </c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6"/>
      <c r="N27" s="66"/>
      <c r="O27" s="66"/>
      <c r="Q27" s="98" t="s">
        <v>87</v>
      </c>
      <c r="R27" s="98"/>
      <c r="S27" s="58" t="n">
        <f aca="false">COUNTIF(P8:P15,"Предупреждение")</f>
        <v>0</v>
      </c>
    </row>
    <row r="28" s="45" customFormat="true" ht="15" hidden="false" customHeight="true" outlineLevel="0" collapsed="false">
      <c r="A28" s="50"/>
      <c r="B28" s="65" t="str">
        <f aca="false">$J$6</f>
        <v> Педагогическая практика</v>
      </c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6"/>
      <c r="N28" s="66"/>
      <c r="O28" s="66"/>
      <c r="Q28" s="98" t="s">
        <v>88</v>
      </c>
      <c r="R28" s="98"/>
      <c r="S28" s="58" t="n">
        <f aca="false">COUNTIF(P8:P15,"Выговор")</f>
        <v>0</v>
      </c>
    </row>
    <row r="29" s="45" customFormat="true" ht="15" hidden="false" customHeight="true" outlineLevel="0" collapsed="false">
      <c r="A29" s="50"/>
      <c r="B29" s="65" t="str">
        <f aca="false">$K$6</f>
        <v> Проектно-технологическая практика</v>
      </c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6"/>
      <c r="N29" s="66"/>
      <c r="O29" s="66"/>
      <c r="Q29" s="442" t="s">
        <v>12</v>
      </c>
      <c r="R29" s="522"/>
      <c r="S29" s="515" t="n">
        <f aca="false">SUM(Q8:Q15)</f>
        <v>0</v>
      </c>
    </row>
    <row r="30" customFormat="false" ht="15" hidden="false" customHeight="true" outlineLevel="0" collapsed="false">
      <c r="A30" s="50"/>
      <c r="B30" s="65" t="str">
        <f aca="false">$L$6</f>
        <v> Специальная оценка условий труда</v>
      </c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6"/>
      <c r="N30" s="66"/>
      <c r="O30" s="66"/>
    </row>
    <row r="31" customFormat="false" ht="15" hidden="false" customHeight="true" outlineLevel="0" collapsed="false">
      <c r="A31" s="50"/>
      <c r="B31" s="139"/>
      <c r="C31" s="139"/>
      <c r="D31" s="139"/>
      <c r="E31" s="139"/>
      <c r="F31" s="139"/>
      <c r="G31" s="139"/>
      <c r="H31" s="139"/>
      <c r="I31" s="139"/>
      <c r="J31" s="139"/>
      <c r="K31" s="139"/>
      <c r="L31" s="139"/>
    </row>
    <row r="32" customFormat="false" ht="15" hidden="false" customHeight="true" outlineLevel="0" collapsed="false">
      <c r="A32" s="50"/>
      <c r="B32" s="139"/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67"/>
    </row>
    <row r="33" customFormat="false" ht="15" hidden="false" customHeight="true" outlineLevel="0" collapsed="false">
      <c r="A33" s="50"/>
      <c r="B33" s="428" t="s">
        <v>405</v>
      </c>
      <c r="C33" s="449" t="s">
        <v>1453</v>
      </c>
      <c r="D33" s="449"/>
      <c r="E33" s="67"/>
      <c r="F33" s="52" t="s">
        <v>407</v>
      </c>
      <c r="G33" s="300" t="s">
        <v>1432</v>
      </c>
      <c r="H33" s="52"/>
      <c r="I33" s="52"/>
      <c r="J33" s="52"/>
      <c r="K33" s="52"/>
      <c r="L33" s="52"/>
      <c r="M33" s="67"/>
      <c r="N33" s="67"/>
      <c r="O33" s="48"/>
    </row>
    <row r="34" customFormat="false" ht="15" hidden="false" customHeight="true" outlineLevel="0" collapsed="false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</row>
    <row r="35" customFormat="false" ht="15" hidden="false" customHeight="true" outlineLevel="0" collapsed="false">
      <c r="A35" s="50"/>
      <c r="B35" s="50" t="s">
        <v>93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</row>
    <row r="36" customFormat="false" ht="15" hidden="false" customHeight="true" outlineLevel="0" collapsed="false">
      <c r="A36" s="50"/>
      <c r="B36" s="50" t="s">
        <v>94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</row>
    <row r="37" customFormat="false" ht="15" hidden="false" customHeight="true" outlineLevel="0" collapsed="false">
      <c r="A37" s="50"/>
      <c r="B37" s="50" t="s">
        <v>95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</row>
    <row r="38" customFormat="false" ht="15" hidden="false" customHeight="true" outlineLevel="0" collapsed="false">
      <c r="A38" s="50"/>
      <c r="B38" s="50" t="s">
        <v>96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</row>
    <row r="39" customFormat="false" ht="15" hidden="false" customHeight="true" outlineLevel="0" collapsed="false">
      <c r="A39" s="50"/>
      <c r="B39" s="50" t="s">
        <v>97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67"/>
    </row>
    <row r="40" customFormat="false" ht="15" hidden="false" customHeight="true" outlineLevel="0" collapsed="false">
      <c r="A40" s="50"/>
      <c r="B40" s="50" t="s">
        <v>98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48"/>
    </row>
    <row r="41" customFormat="false" ht="15" hidden="false" customHeight="true" outlineLevel="0" collapsed="false">
      <c r="A41" s="50"/>
      <c r="B41" s="50" t="s">
        <v>99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48"/>
    </row>
    <row r="42" customFormat="false" ht="15" hidden="false" customHeight="true" outlineLevel="0" collapsed="false"/>
    <row r="43" customFormat="false" ht="15" hidden="false" customHeight="true" outlineLevel="0" collapsed="false"/>
    <row r="44" customFormat="false" ht="15" hidden="false" customHeight="true" outlineLevel="0" collapsed="false"/>
    <row r="45" customFormat="false" ht="15" hidden="false" customHeight="true" outlineLevel="0" collapsed="false"/>
  </sheetData>
  <mergeCells count="40">
    <mergeCell ref="E1:H1"/>
    <mergeCell ref="N2:P2"/>
    <mergeCell ref="A3:O3"/>
    <mergeCell ref="A5:A7"/>
    <mergeCell ref="B5:B7"/>
    <mergeCell ref="C5:C7"/>
    <mergeCell ref="D5:D7"/>
    <mergeCell ref="E5:G5"/>
    <mergeCell ref="H5:L5"/>
    <mergeCell ref="M5:M7"/>
    <mergeCell ref="N5:N7"/>
    <mergeCell ref="O5:O7"/>
    <mergeCell ref="P5:P7"/>
    <mergeCell ref="Q5:Q7"/>
    <mergeCell ref="B22:L22"/>
    <mergeCell ref="M22:O22"/>
    <mergeCell ref="Q22:R22"/>
    <mergeCell ref="B23:L23"/>
    <mergeCell ref="M23:O23"/>
    <mergeCell ref="Q23:R23"/>
    <mergeCell ref="B24:L24"/>
    <mergeCell ref="M24:O24"/>
    <mergeCell ref="Q24:R24"/>
    <mergeCell ref="B25:L25"/>
    <mergeCell ref="M25:O25"/>
    <mergeCell ref="Q25:R25"/>
    <mergeCell ref="B26:L26"/>
    <mergeCell ref="M26:O26"/>
    <mergeCell ref="Q26:R26"/>
    <mergeCell ref="B27:L27"/>
    <mergeCell ref="M27:O27"/>
    <mergeCell ref="Q27:R27"/>
    <mergeCell ref="B28:L28"/>
    <mergeCell ref="M28:O28"/>
    <mergeCell ref="Q28:R28"/>
    <mergeCell ref="B29:L29"/>
    <mergeCell ref="M29:O29"/>
    <mergeCell ref="B30:L30"/>
    <mergeCell ref="M30:O30"/>
    <mergeCell ref="C33:D33"/>
  </mergeCells>
  <conditionalFormatting sqref="I8:K9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5:K15 I10:K1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H9 L8:L9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6:M17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H15 E10:H12 L15 L10:L12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3:H14 L13:L14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3:K1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5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R63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8" activeCellId="0" sqref="C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29"/>
    <col collapsed="false" customWidth="true" hidden="false" outlineLevel="0" max="3" min="3" style="0" width="17.57"/>
    <col collapsed="false" customWidth="true" hidden="false" outlineLevel="0" max="15" min="15" style="0" width="8"/>
    <col collapsed="false" customWidth="true" hidden="false" outlineLevel="0" max="16" min="16" style="0" width="8.15"/>
    <col collapsed="false" customWidth="true" hidden="false" outlineLevel="0" max="17" min="17" style="0" width="16.71"/>
    <col collapsed="false" customWidth="true" hidden="false" outlineLevel="0" max="18" min="18" style="0" width="6.29"/>
  </cols>
  <sheetData>
    <row r="1" customFormat="false" ht="19.7" hidden="false" customHeight="false" outlineLevel="0" collapsed="false">
      <c r="G1" s="3"/>
      <c r="H1" s="216" t="s">
        <v>0</v>
      </c>
      <c r="I1" s="216"/>
      <c r="J1" s="216"/>
      <c r="K1" s="2" t="n">
        <f aca="false">set!B1</f>
        <v>2</v>
      </c>
      <c r="L1" s="3"/>
      <c r="M1" s="3"/>
    </row>
    <row r="2" customFormat="false" ht="15" hidden="false" customHeight="false" outlineLevel="0" collapsed="false">
      <c r="J2" s="4"/>
      <c r="N2" s="5" t="s">
        <v>1</v>
      </c>
      <c r="O2" s="5"/>
      <c r="P2" s="5"/>
      <c r="Q2" s="523" t="n">
        <f aca="false">set!B4</f>
        <v>45608</v>
      </c>
    </row>
    <row r="3" customFormat="false" ht="15" hidden="false" customHeight="false" outlineLevel="0" collapsed="false">
      <c r="A3" s="524" t="str">
        <f aca="false">"Успеваемость студентов за "&amp;(set!B2)&amp;" "&amp;"семестр"&amp;" "&amp;(set!B3) &amp;" "&amp; "учебного года по группе ИУК4-11Б факультета ИУК МГТУ им. Н.Э. Баумана"</f>
        <v>Успеваемость студентов за 1 семестр 24/25 учебного года по группе ИУК4-11Б факультета ИУК МГТУ им. Н.Э. Баумана</v>
      </c>
      <c r="B3" s="524"/>
      <c r="C3" s="524"/>
      <c r="D3" s="524"/>
      <c r="E3" s="524"/>
      <c r="F3" s="524"/>
      <c r="G3" s="524"/>
      <c r="H3" s="524"/>
      <c r="I3" s="524"/>
      <c r="J3" s="524"/>
      <c r="K3" s="524"/>
    </row>
    <row r="4" customFormat="false" ht="15" hidden="false" customHeight="false" outlineLevel="0" collapsed="false">
      <c r="B4" s="7"/>
      <c r="C4" s="7"/>
    </row>
    <row r="5" customFormat="false" ht="15.7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417" t="s">
        <v>11</v>
      </c>
      <c r="R5" s="525" t="s">
        <v>12</v>
      </c>
    </row>
    <row r="6" customFormat="false" ht="90" hidden="false" customHeight="true" outlineLevel="0" collapsed="false">
      <c r="A6" s="8"/>
      <c r="B6" s="8"/>
      <c r="C6" s="8"/>
      <c r="D6" s="9"/>
      <c r="E6" s="339" t="s">
        <v>542</v>
      </c>
      <c r="F6" s="340" t="s">
        <v>1454</v>
      </c>
      <c r="G6" s="340" t="s">
        <v>543</v>
      </c>
      <c r="H6" s="342" t="s">
        <v>544</v>
      </c>
      <c r="I6" s="340" t="s">
        <v>18</v>
      </c>
      <c r="J6" s="340" t="s">
        <v>144</v>
      </c>
      <c r="K6" s="340" t="s">
        <v>1455</v>
      </c>
      <c r="L6" s="340" t="s">
        <v>546</v>
      </c>
      <c r="M6" s="342" t="s">
        <v>147</v>
      </c>
      <c r="N6" s="391"/>
      <c r="O6" s="392"/>
      <c r="P6" s="392"/>
      <c r="Q6" s="417"/>
      <c r="R6" s="525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1084</v>
      </c>
      <c r="G7" s="344" t="s">
        <v>25</v>
      </c>
      <c r="H7" s="346" t="s">
        <v>24</v>
      </c>
      <c r="I7" s="407" t="s">
        <v>27</v>
      </c>
      <c r="J7" s="344" t="s">
        <v>149</v>
      </c>
      <c r="K7" s="407" t="s">
        <v>1456</v>
      </c>
      <c r="L7" s="344" t="s">
        <v>549</v>
      </c>
      <c r="M7" s="346" t="s">
        <v>30</v>
      </c>
      <c r="N7" s="391"/>
      <c r="O7" s="392"/>
      <c r="P7" s="392"/>
      <c r="Q7" s="417"/>
      <c r="R7" s="525"/>
    </row>
    <row r="8" customFormat="false" ht="15" hidden="false" customHeight="true" outlineLevel="0" collapsed="false">
      <c r="A8" s="103" t="n">
        <v>1</v>
      </c>
      <c r="B8" s="25" t="s">
        <v>1457</v>
      </c>
      <c r="C8" s="25" t="s">
        <v>1458</v>
      </c>
      <c r="D8" s="526"/>
      <c r="E8" s="527"/>
      <c r="F8" s="528"/>
      <c r="G8" s="528"/>
      <c r="H8" s="529"/>
      <c r="I8" s="530"/>
      <c r="J8" s="528"/>
      <c r="K8" s="528"/>
      <c r="L8" s="528"/>
      <c r="M8" s="531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85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118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1459</v>
      </c>
      <c r="C9" s="37" t="s">
        <v>1460</v>
      </c>
      <c r="D9" s="526"/>
      <c r="E9" s="527"/>
      <c r="F9" s="528"/>
      <c r="G9" s="528"/>
      <c r="H9" s="529"/>
      <c r="I9" s="530"/>
      <c r="J9" s="528"/>
      <c r="K9" s="528"/>
      <c r="L9" s="528"/>
      <c r="M9" s="532"/>
      <c r="N9" s="394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1461</v>
      </c>
      <c r="C10" s="37" t="s">
        <v>1462</v>
      </c>
      <c r="D10" s="526"/>
      <c r="E10" s="527"/>
      <c r="F10" s="528"/>
      <c r="G10" s="528"/>
      <c r="H10" s="529"/>
      <c r="I10" s="530"/>
      <c r="J10" s="528"/>
      <c r="K10" s="528"/>
      <c r="L10" s="528"/>
      <c r="M10" s="532"/>
      <c r="N10" s="394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1463</v>
      </c>
      <c r="C11" s="37" t="s">
        <v>1464</v>
      </c>
      <c r="D11" s="526"/>
      <c r="E11" s="527"/>
      <c r="F11" s="528"/>
      <c r="G11" s="528"/>
      <c r="H11" s="529"/>
      <c r="I11" s="530"/>
      <c r="J11" s="528"/>
      <c r="K11" s="528"/>
      <c r="L11" s="528"/>
      <c r="M11" s="532"/>
      <c r="N11" s="394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1465</v>
      </c>
      <c r="C12" s="37" t="s">
        <v>1466</v>
      </c>
      <c r="D12" s="526"/>
      <c r="E12" s="527"/>
      <c r="F12" s="528"/>
      <c r="G12" s="528"/>
      <c r="H12" s="529"/>
      <c r="I12" s="530"/>
      <c r="J12" s="528"/>
      <c r="K12" s="528"/>
      <c r="L12" s="528"/>
      <c r="M12" s="532"/>
      <c r="N12" s="394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1467</v>
      </c>
      <c r="C13" s="37" t="s">
        <v>1468</v>
      </c>
      <c r="D13" s="526"/>
      <c r="E13" s="527"/>
      <c r="F13" s="528"/>
      <c r="G13" s="528"/>
      <c r="H13" s="529"/>
      <c r="I13" s="530"/>
      <c r="J13" s="528"/>
      <c r="K13" s="528"/>
      <c r="L13" s="528"/>
      <c r="M13" s="532"/>
      <c r="N13" s="394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1469</v>
      </c>
      <c r="C14" s="37" t="s">
        <v>1470</v>
      </c>
      <c r="D14" s="526"/>
      <c r="E14" s="527"/>
      <c r="F14" s="528"/>
      <c r="G14" s="528"/>
      <c r="H14" s="529"/>
      <c r="I14" s="530"/>
      <c r="J14" s="528"/>
      <c r="K14" s="528"/>
      <c r="L14" s="528"/>
      <c r="M14" s="532"/>
      <c r="N14" s="394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1471</v>
      </c>
      <c r="C15" s="37" t="s">
        <v>1472</v>
      </c>
      <c r="D15" s="526"/>
      <c r="E15" s="527"/>
      <c r="F15" s="528"/>
      <c r="G15" s="528"/>
      <c r="H15" s="529"/>
      <c r="I15" s="530"/>
      <c r="J15" s="528"/>
      <c r="K15" s="528"/>
      <c r="L15" s="528"/>
      <c r="M15" s="532"/>
      <c r="N15" s="394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85" t="n">
        <v>9</v>
      </c>
      <c r="B16" s="37" t="s">
        <v>1473</v>
      </c>
      <c r="C16" s="37" t="s">
        <v>1474</v>
      </c>
      <c r="D16" s="526"/>
      <c r="E16" s="527"/>
      <c r="F16" s="528"/>
      <c r="G16" s="528"/>
      <c r="H16" s="529"/>
      <c r="I16" s="530"/>
      <c r="J16" s="528"/>
      <c r="K16" s="528"/>
      <c r="L16" s="528"/>
      <c r="M16" s="532"/>
      <c r="N16" s="394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1475</v>
      </c>
      <c r="C17" s="37" t="s">
        <v>1476</v>
      </c>
      <c r="D17" s="526"/>
      <c r="E17" s="527"/>
      <c r="F17" s="528"/>
      <c r="G17" s="528"/>
      <c r="H17" s="529"/>
      <c r="I17" s="530"/>
      <c r="J17" s="528"/>
      <c r="K17" s="528"/>
      <c r="L17" s="528"/>
      <c r="M17" s="532"/>
      <c r="N17" s="394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1477</v>
      </c>
      <c r="C18" s="37" t="s">
        <v>1478</v>
      </c>
      <c r="D18" s="526"/>
      <c r="E18" s="527"/>
      <c r="F18" s="528"/>
      <c r="G18" s="528"/>
      <c r="H18" s="529"/>
      <c r="I18" s="530"/>
      <c r="J18" s="528"/>
      <c r="K18" s="528"/>
      <c r="L18" s="528"/>
      <c r="M18" s="532"/>
      <c r="N18" s="394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1479</v>
      </c>
      <c r="C19" s="37" t="s">
        <v>1480</v>
      </c>
      <c r="D19" s="526"/>
      <c r="E19" s="527"/>
      <c r="F19" s="528"/>
      <c r="G19" s="528"/>
      <c r="H19" s="529"/>
      <c r="I19" s="530"/>
      <c r="J19" s="528"/>
      <c r="K19" s="528"/>
      <c r="L19" s="528"/>
      <c r="M19" s="532"/>
      <c r="N19" s="394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1481</v>
      </c>
      <c r="C20" s="37" t="s">
        <v>1482</v>
      </c>
      <c r="D20" s="526"/>
      <c r="E20" s="527"/>
      <c r="F20" s="528"/>
      <c r="G20" s="528"/>
      <c r="H20" s="529"/>
      <c r="I20" s="530"/>
      <c r="J20" s="528"/>
      <c r="K20" s="528"/>
      <c r="L20" s="528"/>
      <c r="M20" s="532"/>
      <c r="N20" s="394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85" t="n">
        <v>14</v>
      </c>
      <c r="B21" s="37" t="s">
        <v>1483</v>
      </c>
      <c r="C21" s="37" t="s">
        <v>1484</v>
      </c>
      <c r="D21" s="526"/>
      <c r="E21" s="527"/>
      <c r="F21" s="528"/>
      <c r="G21" s="528"/>
      <c r="H21" s="529"/>
      <c r="I21" s="530"/>
      <c r="J21" s="528"/>
      <c r="K21" s="528"/>
      <c r="L21" s="528"/>
      <c r="M21" s="532"/>
      <c r="N21" s="394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1485</v>
      </c>
      <c r="C22" s="37" t="s">
        <v>1486</v>
      </c>
      <c r="D22" s="526"/>
      <c r="E22" s="527"/>
      <c r="F22" s="528"/>
      <c r="G22" s="528"/>
      <c r="H22" s="529"/>
      <c r="I22" s="530"/>
      <c r="J22" s="528"/>
      <c r="K22" s="528"/>
      <c r="L22" s="528"/>
      <c r="M22" s="532"/>
      <c r="N22" s="394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85" t="n">
        <v>16</v>
      </c>
      <c r="B23" s="37" t="s">
        <v>1487</v>
      </c>
      <c r="C23" s="37" t="s">
        <v>1488</v>
      </c>
      <c r="D23" s="526"/>
      <c r="E23" s="527"/>
      <c r="F23" s="528"/>
      <c r="G23" s="528"/>
      <c r="H23" s="529"/>
      <c r="I23" s="530"/>
      <c r="J23" s="528"/>
      <c r="K23" s="528"/>
      <c r="L23" s="528"/>
      <c r="M23" s="532"/>
      <c r="N23" s="394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true" outlineLevel="0" collapsed="false">
      <c r="A24" s="85" t="n">
        <v>17</v>
      </c>
      <c r="B24" s="37" t="s">
        <v>1489</v>
      </c>
      <c r="C24" s="37" t="s">
        <v>1490</v>
      </c>
      <c r="D24" s="526"/>
      <c r="E24" s="527"/>
      <c r="F24" s="528"/>
      <c r="G24" s="528"/>
      <c r="H24" s="529"/>
      <c r="I24" s="530"/>
      <c r="J24" s="528"/>
      <c r="K24" s="528"/>
      <c r="L24" s="528"/>
      <c r="M24" s="532"/>
      <c r="N24" s="394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1491</v>
      </c>
      <c r="C25" s="37" t="s">
        <v>1492</v>
      </c>
      <c r="D25" s="526"/>
      <c r="E25" s="527"/>
      <c r="F25" s="528"/>
      <c r="G25" s="528"/>
      <c r="H25" s="529"/>
      <c r="I25" s="530"/>
      <c r="J25" s="528"/>
      <c r="K25" s="528"/>
      <c r="L25" s="528"/>
      <c r="M25" s="532"/>
      <c r="N25" s="394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customFormat="false" ht="15" hidden="false" customHeight="true" outlineLevel="0" collapsed="false">
      <c r="A26" s="85" t="n">
        <v>19</v>
      </c>
      <c r="B26" s="37" t="s">
        <v>1493</v>
      </c>
      <c r="C26" s="37" t="s">
        <v>1494</v>
      </c>
      <c r="D26" s="526"/>
      <c r="E26" s="527"/>
      <c r="F26" s="528"/>
      <c r="G26" s="528"/>
      <c r="H26" s="529"/>
      <c r="I26" s="530"/>
      <c r="J26" s="528"/>
      <c r="K26" s="528"/>
      <c r="L26" s="528"/>
      <c r="M26" s="532"/>
      <c r="N26" s="394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20</v>
      </c>
      <c r="B27" s="37" t="s">
        <v>1495</v>
      </c>
      <c r="C27" s="37" t="s">
        <v>1496</v>
      </c>
      <c r="D27" s="526"/>
      <c r="E27" s="527"/>
      <c r="F27" s="528"/>
      <c r="G27" s="528"/>
      <c r="H27" s="529"/>
      <c r="I27" s="530"/>
      <c r="J27" s="528"/>
      <c r="K27" s="528"/>
      <c r="L27" s="528"/>
      <c r="M27" s="532"/>
      <c r="N27" s="394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118" t="n">
        <f aca="false">COUNTIF(E27:M27,2)+COUNTIF(E27:M27,1)+COUNTIF(E27:M27,0)</f>
        <v>0</v>
      </c>
    </row>
    <row r="28" s="45" customFormat="true" ht="15" hidden="false" customHeight="true" outlineLevel="0" collapsed="false">
      <c r="A28" s="85" t="n">
        <v>21</v>
      </c>
      <c r="B28" s="37" t="s">
        <v>1497</v>
      </c>
      <c r="C28" s="37" t="s">
        <v>1498</v>
      </c>
      <c r="D28" s="526"/>
      <c r="E28" s="527"/>
      <c r="F28" s="528"/>
      <c r="G28" s="528"/>
      <c r="H28" s="529"/>
      <c r="I28" s="530"/>
      <c r="J28" s="528"/>
      <c r="K28" s="528"/>
      <c r="L28" s="528"/>
      <c r="M28" s="532"/>
      <c r="N28" s="394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118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1499</v>
      </c>
      <c r="C29" s="37" t="s">
        <v>1500</v>
      </c>
      <c r="D29" s="526"/>
      <c r="E29" s="527"/>
      <c r="F29" s="528"/>
      <c r="G29" s="528"/>
      <c r="H29" s="529"/>
      <c r="I29" s="530"/>
      <c r="J29" s="528"/>
      <c r="K29" s="528"/>
      <c r="L29" s="528"/>
      <c r="M29" s="532"/>
      <c r="N29" s="394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118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1501</v>
      </c>
      <c r="C30" s="37" t="s">
        <v>1502</v>
      </c>
      <c r="D30" s="526"/>
      <c r="E30" s="527"/>
      <c r="F30" s="528"/>
      <c r="G30" s="528"/>
      <c r="H30" s="529"/>
      <c r="I30" s="530"/>
      <c r="J30" s="528"/>
      <c r="K30" s="528"/>
      <c r="L30" s="528"/>
      <c r="M30" s="532"/>
      <c r="N30" s="394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118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24</v>
      </c>
      <c r="B31" s="37" t="s">
        <v>1503</v>
      </c>
      <c r="C31" s="37" t="s">
        <v>1504</v>
      </c>
      <c r="D31" s="526"/>
      <c r="E31" s="527"/>
      <c r="F31" s="528"/>
      <c r="G31" s="528"/>
      <c r="H31" s="529"/>
      <c r="I31" s="530"/>
      <c r="J31" s="528"/>
      <c r="K31" s="528"/>
      <c r="L31" s="528"/>
      <c r="M31" s="532"/>
      <c r="N31" s="394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118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1505</v>
      </c>
      <c r="C32" s="37" t="s">
        <v>1506</v>
      </c>
      <c r="D32" s="526"/>
      <c r="E32" s="527"/>
      <c r="F32" s="528"/>
      <c r="G32" s="528"/>
      <c r="H32" s="529"/>
      <c r="I32" s="530"/>
      <c r="J32" s="528"/>
      <c r="K32" s="528"/>
      <c r="L32" s="528"/>
      <c r="M32" s="532"/>
      <c r="N32" s="394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118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26</v>
      </c>
      <c r="B33" s="37" t="s">
        <v>1507</v>
      </c>
      <c r="C33" s="37" t="s">
        <v>1508</v>
      </c>
      <c r="D33" s="526"/>
      <c r="E33" s="527"/>
      <c r="F33" s="528"/>
      <c r="G33" s="528"/>
      <c r="H33" s="529"/>
      <c r="I33" s="530"/>
      <c r="J33" s="528"/>
      <c r="K33" s="528"/>
      <c r="L33" s="528"/>
      <c r="M33" s="532"/>
      <c r="N33" s="394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118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27</v>
      </c>
      <c r="B34" s="37" t="s">
        <v>1509</v>
      </c>
      <c r="C34" s="37" t="s">
        <v>1510</v>
      </c>
      <c r="D34" s="526"/>
      <c r="E34" s="527"/>
      <c r="F34" s="528"/>
      <c r="G34" s="528"/>
      <c r="H34" s="529"/>
      <c r="I34" s="530"/>
      <c r="J34" s="528"/>
      <c r="K34" s="528"/>
      <c r="L34" s="528"/>
      <c r="M34" s="532"/>
      <c r="N34" s="394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5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118" t="n">
        <f aca="false">COUNTIF(E34:M34,2)+COUNTIF(E34:M34,1)+COUNTIF(E34:M34,0)</f>
        <v>0</v>
      </c>
    </row>
    <row r="35" s="45" customFormat="true" ht="15" hidden="false" customHeight="true" outlineLevel="0" collapsed="false">
      <c r="A35" s="37" t="n">
        <v>28</v>
      </c>
      <c r="B35" s="37" t="s">
        <v>1511</v>
      </c>
      <c r="C35" s="37" t="s">
        <v>1512</v>
      </c>
      <c r="D35" s="526"/>
      <c r="E35" s="527"/>
      <c r="F35" s="528"/>
      <c r="G35" s="528"/>
      <c r="H35" s="529"/>
      <c r="I35" s="530"/>
      <c r="J35" s="528"/>
      <c r="K35" s="528"/>
      <c r="L35" s="528"/>
      <c r="M35" s="532"/>
      <c r="N35" s="394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85" t="str">
        <f aca="false" t="array" ref="Q35:Q35">IF(E35&lt;&gt;"",IF(N35&lt;1.85,"Выговор",IF(N35=1.85,"Выговор",IF(AND(N35&gt;1.85,N35&lt;3),"Предупреждение",IF(AND(N35&gt;3,N35&lt;4.65),"Нормально",IF(AND(N35&gt;4.65,N35&lt;5.1,E35:M35&gt;=4),"Благодарность","Нормально"))))),"")</f>
        <v/>
      </c>
      <c r="R35" s="118" t="n">
        <f aca="false">COUNTIF(E35:M35,2)+COUNTIF(E35:M35,1)+COUNTIF(E35:M35,0)</f>
        <v>0</v>
      </c>
    </row>
    <row r="36" customFormat="false" ht="13.5" hidden="false" customHeight="true" outlineLevel="0" collapsed="false">
      <c r="A36" s="37" t="n">
        <v>29</v>
      </c>
      <c r="B36" s="37" t="s">
        <v>1513</v>
      </c>
      <c r="C36" s="37" t="s">
        <v>1514</v>
      </c>
      <c r="D36" s="526"/>
      <c r="E36" s="527"/>
      <c r="F36" s="528"/>
      <c r="G36" s="528"/>
      <c r="H36" s="529"/>
      <c r="I36" s="530"/>
      <c r="J36" s="528"/>
      <c r="K36" s="528"/>
      <c r="L36" s="528"/>
      <c r="M36" s="532"/>
      <c r="N36" s="394" t="str">
        <f aca="false">IFERROR(AVERAGE(E36:M36),"")</f>
        <v/>
      </c>
      <c r="O36" s="84" t="str">
        <f aca="false">IF(E36&lt;&gt;"",IF(COUNTIF(E36:M36,"&lt;3"),"Не успевает","Успевает"),"")</f>
        <v/>
      </c>
      <c r="P36" s="241" t="str">
        <f aca="false">IF(D36&lt;&gt;"",(30*(set!B$5)-D36)/(30*(set!B$5))*100,"")</f>
        <v/>
      </c>
      <c r="Q36" s="85" t="str">
        <f aca="false" t="array" ref="Q36:Q36">IF(E36&lt;&gt;"",IF(N36&lt;1.85,"Выговор",IF(N36=1.85,"Выговор",IF(AND(N36&gt;1.85,N36&lt;3),"Предупреждение",IF(AND(N36&gt;3,N36&lt;4.65),"Нормально",IF(AND(N36&gt;4.65,N36&lt;5.1,E36:M36&gt;=4),"Благодарность","Нормально"))))),"")</f>
        <v/>
      </c>
      <c r="R36" s="118" t="n">
        <f aca="false">COUNTIF(E36:M36,2)+COUNTIF(E36:M36,1)+COUNTIF(E36:M36,0)</f>
        <v>0</v>
      </c>
    </row>
    <row r="37" customFormat="false" ht="15" hidden="false" customHeight="true" outlineLevel="0" collapsed="false">
      <c r="A37" s="0" t="s">
        <v>77</v>
      </c>
      <c r="D37" s="533"/>
      <c r="E37" s="534" t="e">
        <f aca="false">AVERAGE(E8:E36)</f>
        <v>#DIV/0!</v>
      </c>
      <c r="F37" s="534" t="e">
        <f aca="false">AVERAGE(F8:F36)</f>
        <v>#DIV/0!</v>
      </c>
      <c r="G37" s="534" t="e">
        <f aca="false">AVERAGE(G8:G36)</f>
        <v>#DIV/0!</v>
      </c>
      <c r="H37" s="534" t="e">
        <f aca="false">AVERAGE(H8:H36)</f>
        <v>#DIV/0!</v>
      </c>
      <c r="I37" s="534" t="e">
        <f aca="false">AVERAGE(I8:I36)</f>
        <v>#DIV/0!</v>
      </c>
      <c r="J37" s="534" t="e">
        <f aca="false">AVERAGE(J8:J36)</f>
        <v>#DIV/0!</v>
      </c>
      <c r="K37" s="534" t="e">
        <f aca="false">AVERAGE(K8:K36)</f>
        <v>#DIV/0!</v>
      </c>
      <c r="L37" s="534" t="e">
        <f aca="false">AVERAGE(L8:L36)</f>
        <v>#DIV/0!</v>
      </c>
      <c r="M37" s="534" t="e">
        <f aca="false">AVERAGE(M8:M36)</f>
        <v>#DIV/0!</v>
      </c>
      <c r="N37" s="535"/>
      <c r="P37" s="423"/>
      <c r="Q37" s="423"/>
    </row>
    <row r="38" customFormat="false" ht="15" hidden="false" customHeight="true" outlineLevel="0" collapsed="false">
      <c r="A38" s="0" t="s">
        <v>78</v>
      </c>
      <c r="D38" s="536"/>
      <c r="E38" s="137" t="e">
        <f aca="false">(COUNTIF(E8:E36,5)+COUNTIF(E8:E36,4)+COUNTIF(E8:E36,3))/$P$43*100</f>
        <v>#DIV/0!</v>
      </c>
      <c r="F38" s="137" t="e">
        <f aca="false">(COUNTIF(F8:F36,5)+COUNTIF(F8:F36,4)+COUNTIF(F8:F36,3))/$P$43*100</f>
        <v>#DIV/0!</v>
      </c>
      <c r="G38" s="137" t="e">
        <f aca="false">(COUNTIF(G8:G36,5)+COUNTIF(G8:G36,4)+COUNTIF(G8:G36,3))/$P$43*100</f>
        <v>#DIV/0!</v>
      </c>
      <c r="H38" s="137" t="e">
        <f aca="false">(COUNTIF(H8:H36,5)+COUNTIF(H8:H36,4)+COUNTIF(H8:H36,3))/$P$43*100</f>
        <v>#DIV/0!</v>
      </c>
      <c r="I38" s="137" t="e">
        <f aca="false">(COUNTIF(I8:I36,5)+COUNTIF(I8:I36,4)+COUNTIF(I8:I36,3))/$P$43*100</f>
        <v>#DIV/0!</v>
      </c>
      <c r="J38" s="137" t="e">
        <f aca="false">(COUNTIF(J8:J36,5)+COUNTIF(J8:J36,4)+COUNTIF(J8:J36,3))/$P$43*100</f>
        <v>#DIV/0!</v>
      </c>
      <c r="K38" s="137" t="e">
        <f aca="false">(COUNTIF(K8:K36,5)+COUNTIF(K8:K36,4)+COUNTIF(K8:K36,3))/$P$43*100</f>
        <v>#DIV/0!</v>
      </c>
      <c r="L38" s="137" t="e">
        <f aca="false">(COUNTIF(L8:L36,5)+COUNTIF(L8:L36,4)+COUNTIF(L8:L36,3))/$P$43*100</f>
        <v>#DIV/0!</v>
      </c>
      <c r="M38" s="137" t="e">
        <f aca="false">(COUNTIF(M8:M36,5)+COUNTIF(M8:M36,4)+COUNTIF(M8:M36,3))/$P$43*100</f>
        <v>#DIV/0!</v>
      </c>
      <c r="N38" s="48"/>
      <c r="O38" s="49"/>
      <c r="Q38" s="423"/>
    </row>
    <row r="39" customFormat="false" ht="15" hidden="false" customHeight="true" outlineLevel="0" collapsed="false">
      <c r="D39" s="537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9"/>
      <c r="Q39" s="423"/>
    </row>
    <row r="40" customFormat="false" ht="15" hidden="false" customHeight="true" outlineLevel="0" collapsed="false">
      <c r="D40" s="537"/>
      <c r="E40" s="48"/>
      <c r="F40" s="48"/>
      <c r="G40" s="48"/>
      <c r="H40" s="48"/>
      <c r="I40" s="48"/>
      <c r="J40" s="48"/>
      <c r="K40" s="48"/>
      <c r="L40" s="48"/>
      <c r="M40" s="48"/>
    </row>
    <row r="41" customFormat="false" ht="15" hidden="false" customHeight="true" outlineLevel="0" collapsed="false">
      <c r="B41" s="50"/>
      <c r="C41" s="50" t="s">
        <v>8</v>
      </c>
      <c r="D41" s="51" t="str">
        <f aca="false">IFERROR(AVERAGE(N8:N36),"")</f>
        <v/>
      </c>
      <c r="E41" s="52" t="s">
        <v>9</v>
      </c>
      <c r="G41" s="53" t="str">
        <f aca="false">IFERROR(COUNTIF(O8:O36,"Успевает")/P43*100,"")</f>
        <v/>
      </c>
      <c r="H41" s="161" t="s">
        <v>79</v>
      </c>
      <c r="I41" s="55"/>
      <c r="J41" s="454" t="str">
        <f aca="false">IFERROR(AVERAGE(P8:P36),"")</f>
        <v/>
      </c>
      <c r="K41" s="48"/>
      <c r="L41" s="48"/>
      <c r="M41" s="48"/>
      <c r="N41" s="48"/>
    </row>
    <row r="42" customFormat="false" ht="15" hidden="false" customHeight="true" outlineLevel="0" collapsed="false">
      <c r="D42" s="537"/>
      <c r="E42" s="48"/>
      <c r="F42" s="48"/>
      <c r="G42" s="48"/>
      <c r="H42" s="48"/>
      <c r="I42" s="48"/>
      <c r="L42" s="48"/>
      <c r="M42" s="48"/>
      <c r="N42" s="48"/>
    </row>
    <row r="43" customFormat="false" ht="15" hidden="false" customHeight="true" outlineLevel="0" collapsed="false">
      <c r="A43" s="61" t="s">
        <v>81</v>
      </c>
      <c r="B43" s="61"/>
      <c r="C43" s="61"/>
      <c r="D43" s="61"/>
      <c r="E43" s="61"/>
      <c r="F43" s="61"/>
      <c r="G43" s="61"/>
      <c r="H43" s="61"/>
      <c r="I43" s="61"/>
      <c r="J43" s="61" t="s">
        <v>82</v>
      </c>
      <c r="K43" s="61"/>
      <c r="L43" s="61"/>
      <c r="M43" s="62"/>
      <c r="N43" s="490" t="s">
        <v>80</v>
      </c>
      <c r="O43" s="490"/>
      <c r="P43" s="58" t="n">
        <f aca="false">SUM(P44,P45)</f>
        <v>0</v>
      </c>
    </row>
    <row r="44" customFormat="false" ht="15" hidden="false" customHeight="true" outlineLevel="0" collapsed="false">
      <c r="A44" s="65" t="str">
        <f aca="false">$E$6</f>
        <v> Аналитическая геометрия и линейная алгебра</v>
      </c>
      <c r="B44" s="65"/>
      <c r="C44" s="65"/>
      <c r="D44" s="65"/>
      <c r="E44" s="65"/>
      <c r="F44" s="65"/>
      <c r="G44" s="65"/>
      <c r="H44" s="65"/>
      <c r="I44" s="65"/>
      <c r="J44" s="538"/>
      <c r="K44" s="538"/>
      <c r="L44" s="538"/>
      <c r="M44" s="539"/>
      <c r="N44" s="490" t="s">
        <v>83</v>
      </c>
      <c r="O44" s="490"/>
      <c r="P44" s="58" t="n">
        <f aca="false">COUNTIF(O8:O36,"Успевает")</f>
        <v>0</v>
      </c>
    </row>
    <row r="45" customFormat="false" ht="15" hidden="false" customHeight="true" outlineLevel="0" collapsed="false">
      <c r="A45" s="65" t="str">
        <f aca="false">$F$6</f>
        <v> Высокоуровневое программирование</v>
      </c>
      <c r="B45" s="65"/>
      <c r="C45" s="65"/>
      <c r="D45" s="65"/>
      <c r="E45" s="65"/>
      <c r="F45" s="65"/>
      <c r="G45" s="65"/>
      <c r="H45" s="65"/>
      <c r="I45" s="65"/>
      <c r="J45" s="538"/>
      <c r="K45" s="538"/>
      <c r="L45" s="538"/>
      <c r="M45" s="539"/>
      <c r="N45" s="491" t="s">
        <v>84</v>
      </c>
      <c r="O45" s="491"/>
      <c r="P45" s="58" t="n">
        <f aca="false">COUNTIF(O8:O36,"Не успевает")</f>
        <v>0</v>
      </c>
    </row>
    <row r="46" customFormat="false" ht="15" hidden="false" customHeight="true" outlineLevel="0" collapsed="false">
      <c r="A46" s="65" t="str">
        <f aca="false">$G$6</f>
        <v> Инженерная графика</v>
      </c>
      <c r="B46" s="65"/>
      <c r="C46" s="65"/>
      <c r="D46" s="65"/>
      <c r="E46" s="65"/>
      <c r="F46" s="65"/>
      <c r="G46" s="65"/>
      <c r="H46" s="65"/>
      <c r="I46" s="65"/>
      <c r="J46" s="538"/>
      <c r="K46" s="538"/>
      <c r="L46" s="538"/>
      <c r="M46" s="539"/>
      <c r="N46" s="491" t="s">
        <v>85</v>
      </c>
      <c r="O46" s="491"/>
      <c r="P46" s="58" t="n">
        <f aca="false">COUNTIF(Q8:Q36,"Благодарность")</f>
        <v>0</v>
      </c>
    </row>
    <row r="47" customFormat="false" ht="15" hidden="false" customHeight="true" outlineLevel="0" collapsed="false">
      <c r="A47" s="65" t="str">
        <f aca="false">$H$6</f>
        <v> Математический анализ</v>
      </c>
      <c r="B47" s="65"/>
      <c r="C47" s="65"/>
      <c r="D47" s="65"/>
      <c r="E47" s="65"/>
      <c r="F47" s="65"/>
      <c r="G47" s="65"/>
      <c r="H47" s="65"/>
      <c r="I47" s="65"/>
      <c r="J47" s="538"/>
      <c r="K47" s="538"/>
      <c r="L47" s="538"/>
      <c r="M47" s="539"/>
      <c r="N47" s="491" t="s">
        <v>86</v>
      </c>
      <c r="O47" s="491"/>
      <c r="P47" s="58" t="n">
        <f aca="false">COUNTIF(Q8:Q36,"Нормально")</f>
        <v>0</v>
      </c>
    </row>
    <row r="48" customFormat="false" ht="15" hidden="false" customHeight="true" outlineLevel="0" collapsed="false">
      <c r="A48" s="65" t="str">
        <f aca="false">$I$6</f>
        <v>Иностранный язык</v>
      </c>
      <c r="B48" s="65"/>
      <c r="C48" s="65"/>
      <c r="D48" s="65"/>
      <c r="E48" s="65"/>
      <c r="F48" s="65"/>
      <c r="G48" s="65"/>
      <c r="H48" s="65"/>
      <c r="I48" s="65"/>
      <c r="J48" s="538"/>
      <c r="K48" s="538"/>
      <c r="L48" s="538"/>
      <c r="M48" s="539"/>
      <c r="N48" s="491" t="s">
        <v>87</v>
      </c>
      <c r="O48" s="491"/>
      <c r="P48" s="58" t="n">
        <f aca="false">COUNTIF(Q8:Q36,"Предупреждение")</f>
        <v>0</v>
      </c>
    </row>
    <row r="49" customFormat="false" ht="15" hidden="false" customHeight="true" outlineLevel="0" collapsed="false">
      <c r="A49" s="65" t="str">
        <f aca="false">$J$6</f>
        <v> История России</v>
      </c>
      <c r="B49" s="65"/>
      <c r="C49" s="65"/>
      <c r="D49" s="65"/>
      <c r="E49" s="65"/>
      <c r="F49" s="65"/>
      <c r="G49" s="65"/>
      <c r="H49" s="65"/>
      <c r="I49" s="65"/>
      <c r="J49" s="538"/>
      <c r="K49" s="538"/>
      <c r="L49" s="538"/>
      <c r="M49" s="539"/>
      <c r="N49" s="491" t="s">
        <v>88</v>
      </c>
      <c r="O49" s="491"/>
      <c r="P49" s="58" t="n">
        <f aca="false">COUNTIF(Q8:Q36,"Выговор")</f>
        <v>0</v>
      </c>
    </row>
    <row r="50" customFormat="false" ht="15" hidden="false" customHeight="true" outlineLevel="0" collapsed="false">
      <c r="A50" s="65" t="str">
        <f aca="false">$K$6</f>
        <v> Ознакомительная практика</v>
      </c>
      <c r="B50" s="65"/>
      <c r="C50" s="65"/>
      <c r="D50" s="65"/>
      <c r="E50" s="65"/>
      <c r="F50" s="65"/>
      <c r="G50" s="65"/>
      <c r="H50" s="65"/>
      <c r="I50" s="65"/>
      <c r="J50" s="540"/>
      <c r="K50" s="540"/>
      <c r="L50" s="540"/>
      <c r="M50" s="539"/>
      <c r="N50" s="541" t="s">
        <v>539</v>
      </c>
      <c r="O50" s="541"/>
      <c r="P50" s="143" t="n">
        <f aca="false">SUM(R8:R36)</f>
        <v>0</v>
      </c>
    </row>
    <row r="51" customFormat="false" ht="15" hidden="false" customHeight="true" outlineLevel="0" collapsed="false">
      <c r="A51" s="65" t="str">
        <f aca="false">$L$6</f>
        <v> Теоретическая информатика</v>
      </c>
      <c r="B51" s="65"/>
      <c r="C51" s="65"/>
      <c r="D51" s="65"/>
      <c r="E51" s="65"/>
      <c r="F51" s="65"/>
      <c r="G51" s="65"/>
      <c r="H51" s="65"/>
      <c r="I51" s="65"/>
      <c r="J51" s="540"/>
      <c r="K51" s="540"/>
      <c r="L51" s="540"/>
      <c r="M51" s="539"/>
      <c r="O51" s="542"/>
      <c r="P51" s="378"/>
      <c r="Q51" s="64"/>
    </row>
    <row r="52" customFormat="false" ht="15" hidden="false" customHeight="true" outlineLevel="0" collapsed="false">
      <c r="A52" s="65" t="str">
        <f aca="false">$M$6</f>
        <v>Физическая культура и спорт</v>
      </c>
      <c r="B52" s="65"/>
      <c r="C52" s="65"/>
      <c r="D52" s="65"/>
      <c r="E52" s="65"/>
      <c r="F52" s="65"/>
      <c r="G52" s="65"/>
      <c r="H52" s="65"/>
      <c r="I52" s="65"/>
      <c r="J52" s="540"/>
      <c r="K52" s="540"/>
      <c r="L52" s="540"/>
      <c r="M52" s="539"/>
      <c r="O52" s="542"/>
      <c r="P52" s="378"/>
      <c r="Q52" s="64"/>
    </row>
    <row r="53" customFormat="false" ht="15" hidden="false" customHeight="true" outlineLevel="0" collapsed="false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</row>
    <row r="54" customFormat="false" ht="15" hidden="false" customHeight="true" outlineLevel="0" collapsed="false">
      <c r="B54" s="428" t="s">
        <v>405</v>
      </c>
      <c r="C54" s="455" t="s">
        <v>1515</v>
      </c>
      <c r="D54" s="455"/>
      <c r="E54" s="52" t="s">
        <v>407</v>
      </c>
      <c r="F54" s="381" t="s">
        <v>1516</v>
      </c>
      <c r="G54" s="300"/>
      <c r="H54" s="300"/>
      <c r="I54" s="52"/>
      <c r="J54" s="52"/>
      <c r="K54" s="52"/>
      <c r="L54" s="50"/>
      <c r="M54" s="50"/>
      <c r="N54" s="48"/>
    </row>
    <row r="55" customFormat="false" ht="15" hidden="false" customHeight="true" outlineLevel="0" collapsed="false">
      <c r="A55" s="50"/>
      <c r="B55" s="50"/>
      <c r="C55" s="50"/>
      <c r="D55" s="50"/>
      <c r="E55" s="50"/>
      <c r="H55" s="50"/>
      <c r="I55" s="50"/>
      <c r="J55" s="50"/>
      <c r="K55" s="50"/>
      <c r="L55" s="50"/>
      <c r="M55" s="50"/>
      <c r="N55" s="48"/>
    </row>
    <row r="56" customFormat="false" ht="15" hidden="false" customHeight="true" outlineLevel="0" collapsed="false">
      <c r="A56" s="50" t="s">
        <v>93</v>
      </c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48"/>
    </row>
    <row r="57" customFormat="false" ht="15" hidden="false" customHeight="true" outlineLevel="0" collapsed="false">
      <c r="A57" s="50" t="s">
        <v>94</v>
      </c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8"/>
    </row>
    <row r="58" customFormat="false" ht="15" hidden="false" customHeight="true" outlineLevel="0" collapsed="false">
      <c r="A58" s="50" t="s">
        <v>95</v>
      </c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48"/>
    </row>
    <row r="59" customFormat="false" ht="15" hidden="false" customHeight="true" outlineLevel="0" collapsed="false">
      <c r="A59" s="50" t="s">
        <v>96</v>
      </c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48"/>
    </row>
    <row r="60" customFormat="false" ht="15" hidden="false" customHeight="true" outlineLevel="0" collapsed="false">
      <c r="A60" s="50" t="s">
        <v>97</v>
      </c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48"/>
    </row>
    <row r="61" customFormat="false" ht="15" hidden="false" customHeight="true" outlineLevel="0" collapsed="false">
      <c r="A61" s="50" t="s">
        <v>98</v>
      </c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</row>
    <row r="62" customFormat="false" ht="15" hidden="false" customHeight="true" outlineLevel="0" collapsed="false">
      <c r="A62" s="50" t="s">
        <v>99</v>
      </c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</row>
    <row r="63" customFormat="false" ht="15" hidden="false" customHeight="true" outlineLevel="0" collapsed="false"/>
  </sheetData>
  <mergeCells count="43">
    <mergeCell ref="H1:J1"/>
    <mergeCell ref="N2:P2"/>
    <mergeCell ref="A3:K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A43:I43"/>
    <mergeCell ref="J43:L43"/>
    <mergeCell ref="N43:O43"/>
    <mergeCell ref="A44:I44"/>
    <mergeCell ref="J44:L44"/>
    <mergeCell ref="N44:O44"/>
    <mergeCell ref="A45:I45"/>
    <mergeCell ref="J45:L45"/>
    <mergeCell ref="N45:O45"/>
    <mergeCell ref="A46:I46"/>
    <mergeCell ref="J46:L46"/>
    <mergeCell ref="N46:O46"/>
    <mergeCell ref="A47:I47"/>
    <mergeCell ref="J47:L47"/>
    <mergeCell ref="N47:O47"/>
    <mergeCell ref="A48:I48"/>
    <mergeCell ref="J48:L48"/>
    <mergeCell ref="N48:O48"/>
    <mergeCell ref="A49:I49"/>
    <mergeCell ref="J49:L49"/>
    <mergeCell ref="N49:O49"/>
    <mergeCell ref="A50:I50"/>
    <mergeCell ref="J50:L50"/>
    <mergeCell ref="N50:O50"/>
    <mergeCell ref="A51:I51"/>
    <mergeCell ref="J51:L51"/>
    <mergeCell ref="A52:I52"/>
    <mergeCell ref="J52:L52"/>
    <mergeCell ref="C54:D54"/>
  </mergeCells>
  <conditionalFormatting sqref="J4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6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42:M42 E42:I42 J43 K41:M41 E39:M40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27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8:M36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64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36" activeCellId="0" sqref="C36"/>
    </sheetView>
  </sheetViews>
  <sheetFormatPr defaultColWidth="9.1484375" defaultRowHeight="15" zeroHeight="false" outlineLevelRow="0" outlineLevelCol="0"/>
  <cols>
    <col collapsed="false" customWidth="true" hidden="false" outlineLevel="0" max="2" min="2" style="0" width="13"/>
    <col collapsed="false" customWidth="true" hidden="false" outlineLevel="0" max="3" min="3" style="0" width="17.57"/>
    <col collapsed="false" customWidth="true" hidden="false" outlineLevel="0" max="5" min="5" style="0" width="10"/>
    <col collapsed="false" customWidth="true" hidden="false" outlineLevel="0" max="16" min="16" style="0" width="9.29"/>
    <col collapsed="false" customWidth="true" hidden="false" outlineLevel="0" max="17" min="17" style="0" width="16.71"/>
    <col collapsed="false" customWidth="true" hidden="false" outlineLevel="0" max="18" min="18" style="0" width="7.86"/>
    <col collapsed="false" customWidth="true" hidden="false" outlineLevel="0" max="19" min="19" style="0" width="4.57"/>
    <col collapsed="false" customWidth="true" hidden="false" outlineLevel="0" max="20" min="20" style="0" width="4.29"/>
    <col collapsed="false" customWidth="true" hidden="false" outlineLevel="0" max="21" min="21" style="0" width="4.57"/>
  </cols>
  <sheetData>
    <row r="1" customFormat="false" ht="19.7" hidden="false" customHeight="false" outlineLevel="0" collapsed="false">
      <c r="E1" s="3" t="s">
        <v>0</v>
      </c>
      <c r="F1" s="3"/>
      <c r="G1" s="3"/>
      <c r="H1" s="2" t="n">
        <f aca="false">set!B1</f>
        <v>2</v>
      </c>
      <c r="I1" s="3"/>
      <c r="J1" s="3"/>
      <c r="L1" s="3"/>
      <c r="M1" s="3"/>
      <c r="N1" s="3"/>
    </row>
    <row r="2" customFormat="false" ht="15" hidden="false" customHeight="false" outlineLevel="0" collapsed="false">
      <c r="J2" s="4"/>
      <c r="L2" s="5" t="s">
        <v>1</v>
      </c>
      <c r="M2" s="5"/>
      <c r="N2" s="415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ИУК4-12Б факультета ИУК МГТУ им. Н.Э. Баумана"</f>
        <v>Успеваемость студентов за 1 семестр 24/25 учебного года по группе ИУК4-12Б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542</v>
      </c>
      <c r="F6" s="340" t="s">
        <v>1454</v>
      </c>
      <c r="G6" s="340" t="s">
        <v>543</v>
      </c>
      <c r="H6" s="342" t="s">
        <v>544</v>
      </c>
      <c r="I6" s="340" t="s">
        <v>18</v>
      </c>
      <c r="J6" s="340" t="s">
        <v>144</v>
      </c>
      <c r="K6" s="340" t="s">
        <v>1455</v>
      </c>
      <c r="L6" s="340" t="s">
        <v>546</v>
      </c>
      <c r="M6" s="342" t="s">
        <v>147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1084</v>
      </c>
      <c r="G7" s="344" t="s">
        <v>25</v>
      </c>
      <c r="H7" s="346" t="s">
        <v>24</v>
      </c>
      <c r="I7" s="407" t="s">
        <v>27</v>
      </c>
      <c r="J7" s="344" t="s">
        <v>149</v>
      </c>
      <c r="K7" s="407" t="s">
        <v>1456</v>
      </c>
      <c r="L7" s="344" t="s">
        <v>549</v>
      </c>
      <c r="M7" s="406" t="s">
        <v>30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1517</v>
      </c>
      <c r="C8" s="25" t="s">
        <v>1518</v>
      </c>
      <c r="D8" s="77"/>
      <c r="E8" s="81"/>
      <c r="F8" s="82"/>
      <c r="G8" s="82"/>
      <c r="H8" s="125"/>
      <c r="I8" s="78"/>
      <c r="J8" s="79"/>
      <c r="K8" s="79"/>
      <c r="L8" s="79"/>
      <c r="M8" s="80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1519</v>
      </c>
      <c r="C9" s="37" t="s">
        <v>1520</v>
      </c>
      <c r="D9" s="77"/>
      <c r="E9" s="86"/>
      <c r="F9" s="87"/>
      <c r="G9" s="87"/>
      <c r="H9" s="125"/>
      <c r="I9" s="86"/>
      <c r="J9" s="87"/>
      <c r="K9" s="87"/>
      <c r="L9" s="87"/>
      <c r="M9" s="89"/>
      <c r="N9" s="394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7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1521</v>
      </c>
      <c r="C10" s="37" t="s">
        <v>1522</v>
      </c>
      <c r="D10" s="77"/>
      <c r="E10" s="86"/>
      <c r="F10" s="87"/>
      <c r="G10" s="87"/>
      <c r="H10" s="125"/>
      <c r="I10" s="86"/>
      <c r="J10" s="87"/>
      <c r="K10" s="87"/>
      <c r="L10" s="87"/>
      <c r="M10" s="89"/>
      <c r="N10" s="394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7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1523</v>
      </c>
      <c r="C11" s="37" t="s">
        <v>1524</v>
      </c>
      <c r="D11" s="77"/>
      <c r="E11" s="86"/>
      <c r="F11" s="87"/>
      <c r="G11" s="87"/>
      <c r="H11" s="125"/>
      <c r="I11" s="86"/>
      <c r="J11" s="87"/>
      <c r="K11" s="87"/>
      <c r="L11" s="87"/>
      <c r="M11" s="89"/>
      <c r="N11" s="394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7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1525</v>
      </c>
      <c r="C12" s="37" t="s">
        <v>1526</v>
      </c>
      <c r="D12" s="77"/>
      <c r="E12" s="86"/>
      <c r="F12" s="87"/>
      <c r="G12" s="87"/>
      <c r="H12" s="125"/>
      <c r="I12" s="86"/>
      <c r="J12" s="87"/>
      <c r="K12" s="87"/>
      <c r="L12" s="87"/>
      <c r="M12" s="89"/>
      <c r="N12" s="394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7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1527</v>
      </c>
      <c r="C13" s="37" t="s">
        <v>1528</v>
      </c>
      <c r="D13" s="77"/>
      <c r="E13" s="86"/>
      <c r="F13" s="87"/>
      <c r="G13" s="87"/>
      <c r="H13" s="125"/>
      <c r="I13" s="86"/>
      <c r="J13" s="87"/>
      <c r="K13" s="87"/>
      <c r="L13" s="87"/>
      <c r="M13" s="89"/>
      <c r="N13" s="394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7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85" t="n">
        <v>7</v>
      </c>
      <c r="B14" s="37" t="s">
        <v>1529</v>
      </c>
      <c r="C14" s="37" t="s">
        <v>1530</v>
      </c>
      <c r="D14" s="77"/>
      <c r="E14" s="86"/>
      <c r="F14" s="87"/>
      <c r="G14" s="87"/>
      <c r="H14" s="125"/>
      <c r="I14" s="86"/>
      <c r="J14" s="87"/>
      <c r="K14" s="87"/>
      <c r="L14" s="87"/>
      <c r="M14" s="89"/>
      <c r="N14" s="394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7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1531</v>
      </c>
      <c r="C15" s="37" t="s">
        <v>1532</v>
      </c>
      <c r="D15" s="77"/>
      <c r="E15" s="86"/>
      <c r="F15" s="87"/>
      <c r="G15" s="87"/>
      <c r="H15" s="125"/>
      <c r="I15" s="86"/>
      <c r="J15" s="87"/>
      <c r="K15" s="87"/>
      <c r="L15" s="87"/>
      <c r="M15" s="89"/>
      <c r="N15" s="394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7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1533</v>
      </c>
      <c r="C16" s="37" t="s">
        <v>1534</v>
      </c>
      <c r="D16" s="77"/>
      <c r="E16" s="86"/>
      <c r="F16" s="87"/>
      <c r="G16" s="87"/>
      <c r="H16" s="125"/>
      <c r="I16" s="86"/>
      <c r="J16" s="87"/>
      <c r="K16" s="87"/>
      <c r="L16" s="87"/>
      <c r="M16" s="89"/>
      <c r="N16" s="394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7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1535</v>
      </c>
      <c r="C17" s="37" t="s">
        <v>1536</v>
      </c>
      <c r="D17" s="77"/>
      <c r="E17" s="86"/>
      <c r="F17" s="87"/>
      <c r="G17" s="87"/>
      <c r="H17" s="125"/>
      <c r="I17" s="86"/>
      <c r="J17" s="87"/>
      <c r="K17" s="87"/>
      <c r="L17" s="87"/>
      <c r="M17" s="89"/>
      <c r="N17" s="394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7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1537</v>
      </c>
      <c r="C18" s="37" t="s">
        <v>1538</v>
      </c>
      <c r="D18" s="77"/>
      <c r="E18" s="86"/>
      <c r="F18" s="87"/>
      <c r="G18" s="87"/>
      <c r="H18" s="125"/>
      <c r="I18" s="86"/>
      <c r="J18" s="87"/>
      <c r="K18" s="87"/>
      <c r="L18" s="87"/>
      <c r="M18" s="89"/>
      <c r="N18" s="394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7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1539</v>
      </c>
      <c r="C19" s="37" t="s">
        <v>1540</v>
      </c>
      <c r="D19" s="77"/>
      <c r="E19" s="86"/>
      <c r="F19" s="87"/>
      <c r="G19" s="87"/>
      <c r="H19" s="125"/>
      <c r="I19" s="86"/>
      <c r="J19" s="87"/>
      <c r="K19" s="87"/>
      <c r="L19" s="87"/>
      <c r="M19" s="89"/>
      <c r="N19" s="394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7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1541</v>
      </c>
      <c r="C20" s="37" t="s">
        <v>1542</v>
      </c>
      <c r="D20" s="77"/>
      <c r="E20" s="86"/>
      <c r="F20" s="87"/>
      <c r="G20" s="87"/>
      <c r="H20" s="125"/>
      <c r="I20" s="86"/>
      <c r="J20" s="87"/>
      <c r="K20" s="87"/>
      <c r="L20" s="87"/>
      <c r="M20" s="89"/>
      <c r="N20" s="394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7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85" t="n">
        <v>14</v>
      </c>
      <c r="B21" s="37" t="s">
        <v>1543</v>
      </c>
      <c r="C21" s="37" t="s">
        <v>1544</v>
      </c>
      <c r="D21" s="77"/>
      <c r="E21" s="86"/>
      <c r="F21" s="87"/>
      <c r="G21" s="87"/>
      <c r="H21" s="125"/>
      <c r="I21" s="86"/>
      <c r="J21" s="87"/>
      <c r="K21" s="87"/>
      <c r="L21" s="87"/>
      <c r="M21" s="89"/>
      <c r="N21" s="394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7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1545</v>
      </c>
      <c r="C22" s="37" t="s">
        <v>1546</v>
      </c>
      <c r="D22" s="77"/>
      <c r="E22" s="86"/>
      <c r="F22" s="87"/>
      <c r="G22" s="87"/>
      <c r="H22" s="125"/>
      <c r="I22" s="86"/>
      <c r="J22" s="87"/>
      <c r="K22" s="87"/>
      <c r="L22" s="87"/>
      <c r="M22" s="89"/>
      <c r="N22" s="394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7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85" t="n">
        <v>16</v>
      </c>
      <c r="B23" s="37" t="s">
        <v>1547</v>
      </c>
      <c r="C23" s="37" t="s">
        <v>1548</v>
      </c>
      <c r="D23" s="77"/>
      <c r="E23" s="86"/>
      <c r="F23" s="87"/>
      <c r="G23" s="87"/>
      <c r="H23" s="125"/>
      <c r="I23" s="86"/>
      <c r="J23" s="87"/>
      <c r="K23" s="87"/>
      <c r="L23" s="87"/>
      <c r="M23" s="89"/>
      <c r="N23" s="394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7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1549</v>
      </c>
      <c r="C24" s="37" t="s">
        <v>1550</v>
      </c>
      <c r="D24" s="77"/>
      <c r="E24" s="86"/>
      <c r="F24" s="87"/>
      <c r="G24" s="87"/>
      <c r="H24" s="125"/>
      <c r="I24" s="86"/>
      <c r="J24" s="87"/>
      <c r="K24" s="87"/>
      <c r="L24" s="87"/>
      <c r="M24" s="89"/>
      <c r="N24" s="394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77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85" t="n">
        <v>18</v>
      </c>
      <c r="B25" s="37" t="s">
        <v>1551</v>
      </c>
      <c r="C25" s="37" t="s">
        <v>1552</v>
      </c>
      <c r="D25" s="77"/>
      <c r="E25" s="86"/>
      <c r="F25" s="87"/>
      <c r="G25" s="87"/>
      <c r="H25" s="125"/>
      <c r="I25" s="86"/>
      <c r="J25" s="87"/>
      <c r="K25" s="87"/>
      <c r="L25" s="87"/>
      <c r="M25" s="89"/>
      <c r="N25" s="394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77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36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1553</v>
      </c>
      <c r="C26" s="37" t="s">
        <v>1554</v>
      </c>
      <c r="D26" s="77"/>
      <c r="E26" s="86"/>
      <c r="F26" s="87"/>
      <c r="G26" s="87"/>
      <c r="H26" s="125"/>
      <c r="I26" s="86"/>
      <c r="J26" s="87"/>
      <c r="K26" s="87"/>
      <c r="L26" s="87"/>
      <c r="M26" s="89"/>
      <c r="N26" s="394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77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36" t="n">
        <f aca="false">COUNTIF(E26:M26,2)+COUNTIF(E26:M26,1)+COUNTIF(E26:M26,0)</f>
        <v>0</v>
      </c>
    </row>
    <row r="27" customFormat="false" ht="15" hidden="false" customHeight="true" outlineLevel="0" collapsed="false">
      <c r="A27" s="85" t="n">
        <v>20</v>
      </c>
      <c r="B27" s="37" t="s">
        <v>1555</v>
      </c>
      <c r="C27" s="37" t="s">
        <v>1556</v>
      </c>
      <c r="D27" s="77"/>
      <c r="E27" s="86"/>
      <c r="F27" s="87"/>
      <c r="G27" s="87"/>
      <c r="H27" s="125"/>
      <c r="I27" s="86"/>
      <c r="J27" s="87"/>
      <c r="K27" s="87"/>
      <c r="L27" s="87"/>
      <c r="M27" s="89"/>
      <c r="N27" s="394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77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36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1557</v>
      </c>
      <c r="C28" s="37" t="s">
        <v>1558</v>
      </c>
      <c r="D28" s="77"/>
      <c r="E28" s="86"/>
      <c r="F28" s="87"/>
      <c r="G28" s="87"/>
      <c r="H28" s="125"/>
      <c r="I28" s="86"/>
      <c r="J28" s="87"/>
      <c r="K28" s="87"/>
      <c r="L28" s="87"/>
      <c r="M28" s="89"/>
      <c r="N28" s="394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77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36" t="n">
        <f aca="false">COUNTIF(E28:M28,2)+COUNTIF(E28:M28,1)+COUNTIF(E28:M28,0)</f>
        <v>0</v>
      </c>
    </row>
    <row r="29" customFormat="false" ht="15" hidden="false" customHeight="true" outlineLevel="0" collapsed="false">
      <c r="A29" s="85" t="n">
        <v>22</v>
      </c>
      <c r="B29" s="37" t="s">
        <v>1559</v>
      </c>
      <c r="C29" s="37" t="s">
        <v>1560</v>
      </c>
      <c r="D29" s="77"/>
      <c r="E29" s="86"/>
      <c r="F29" s="87"/>
      <c r="G29" s="87"/>
      <c r="H29" s="125"/>
      <c r="I29" s="86"/>
      <c r="J29" s="87"/>
      <c r="K29" s="87"/>
      <c r="L29" s="87"/>
      <c r="M29" s="89"/>
      <c r="N29" s="394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77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36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23</v>
      </c>
      <c r="B30" s="37" t="s">
        <v>1561</v>
      </c>
      <c r="C30" s="37" t="s">
        <v>1562</v>
      </c>
      <c r="D30" s="77"/>
      <c r="E30" s="86"/>
      <c r="F30" s="87"/>
      <c r="G30" s="87"/>
      <c r="H30" s="125"/>
      <c r="I30" s="86"/>
      <c r="J30" s="87"/>
      <c r="K30" s="87"/>
      <c r="L30" s="87"/>
      <c r="M30" s="89"/>
      <c r="N30" s="394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77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36" t="n">
        <f aca="false">COUNTIF(E30:M30,2)+COUNTIF(E30:M30,1)+COUNTIF(E30:M30,0)</f>
        <v>0</v>
      </c>
    </row>
    <row r="31" s="45" customFormat="true" ht="15" hidden="false" customHeight="true" outlineLevel="0" collapsed="false">
      <c r="A31" s="85" t="n">
        <v>24</v>
      </c>
      <c r="B31" s="37" t="s">
        <v>1563</v>
      </c>
      <c r="C31" s="37" t="s">
        <v>1564</v>
      </c>
      <c r="D31" s="77"/>
      <c r="E31" s="86"/>
      <c r="F31" s="87"/>
      <c r="G31" s="87"/>
      <c r="H31" s="125"/>
      <c r="I31" s="86"/>
      <c r="J31" s="87"/>
      <c r="K31" s="87"/>
      <c r="L31" s="87"/>
      <c r="M31" s="89"/>
      <c r="N31" s="394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77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36" t="n">
        <f aca="false">COUNTIF(E31:M31,2)+COUNTIF(E31:M31,1)+COUNTIF(E31:M31,0)</f>
        <v>0</v>
      </c>
    </row>
    <row r="32" s="45" customFormat="true" ht="15" hidden="false" customHeight="true" outlineLevel="0" collapsed="false">
      <c r="A32" s="85" t="n">
        <v>25</v>
      </c>
      <c r="B32" s="37" t="s">
        <v>1565</v>
      </c>
      <c r="C32" s="37" t="s">
        <v>1566</v>
      </c>
      <c r="D32" s="77"/>
      <c r="E32" s="86"/>
      <c r="F32" s="87"/>
      <c r="G32" s="87"/>
      <c r="H32" s="125"/>
      <c r="I32" s="86"/>
      <c r="J32" s="87"/>
      <c r="K32" s="87"/>
      <c r="L32" s="87"/>
      <c r="M32" s="89"/>
      <c r="N32" s="394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77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36" t="n">
        <f aca="false">COUNTIF(E32:M32,2)+COUNTIF(E32:M32,1)+COUNTIF(E32:M32,0)</f>
        <v>0</v>
      </c>
    </row>
    <row r="33" s="45" customFormat="true" ht="15" hidden="false" customHeight="true" outlineLevel="0" collapsed="false">
      <c r="A33" s="85" t="n">
        <v>26</v>
      </c>
      <c r="B33" s="37" t="s">
        <v>1567</v>
      </c>
      <c r="C33" s="37" t="s">
        <v>1568</v>
      </c>
      <c r="D33" s="77"/>
      <c r="E33" s="86"/>
      <c r="F33" s="87"/>
      <c r="G33" s="87"/>
      <c r="H33" s="125"/>
      <c r="I33" s="86"/>
      <c r="J33" s="87"/>
      <c r="K33" s="87"/>
      <c r="L33" s="87"/>
      <c r="M33" s="89"/>
      <c r="N33" s="394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77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36" t="n">
        <f aca="false">COUNTIF(E33:M33,2)+COUNTIF(E33:M33,1)+COUNTIF(E33:M33,0)</f>
        <v>0</v>
      </c>
    </row>
    <row r="34" s="45" customFormat="true" ht="15" hidden="false" customHeight="true" outlineLevel="0" collapsed="false">
      <c r="A34" s="85" t="n">
        <v>27</v>
      </c>
      <c r="B34" s="37" t="s">
        <v>1569</v>
      </c>
      <c r="C34" s="37" t="s">
        <v>1570</v>
      </c>
      <c r="D34" s="77"/>
      <c r="E34" s="86"/>
      <c r="F34" s="87"/>
      <c r="G34" s="87"/>
      <c r="H34" s="125"/>
      <c r="I34" s="86"/>
      <c r="J34" s="87"/>
      <c r="K34" s="87"/>
      <c r="L34" s="87"/>
      <c r="M34" s="89"/>
      <c r="N34" s="394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77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36" t="n">
        <f aca="false">COUNTIF(E34:M34,2)+COUNTIF(E34:M34,1)+COUNTIF(E34:M34,0)</f>
        <v>0</v>
      </c>
    </row>
    <row r="35" s="45" customFormat="true" ht="15" hidden="false" customHeight="true" outlineLevel="0" collapsed="false">
      <c r="A35" s="85" t="n">
        <v>28</v>
      </c>
      <c r="B35" s="37" t="s">
        <v>1571</v>
      </c>
      <c r="C35" s="37" t="s">
        <v>1572</v>
      </c>
      <c r="D35" s="77"/>
      <c r="E35" s="86"/>
      <c r="F35" s="87"/>
      <c r="G35" s="87"/>
      <c r="H35" s="125"/>
      <c r="I35" s="86"/>
      <c r="J35" s="87"/>
      <c r="K35" s="87"/>
      <c r="L35" s="87"/>
      <c r="M35" s="89"/>
      <c r="N35" s="394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77" t="str">
        <f aca="false" t="array" ref="Q35:Q35">IF(E35&lt;&gt;"",IF(N35&lt;1.85,"Выговор",IF(N35=1.85,"Выговор",IF(AND(N35&gt;1.85,N35&lt;3),"Предупреждение",IF(AND(N35&gt;3,N35&lt;4.65),"Нормально",IF(AND(N35&gt;4.65,N35&lt;5.1,E35:M35&gt;=4),"Благодарность","Нормально"))))),"")</f>
        <v/>
      </c>
      <c r="R35" s="36" t="n">
        <f aca="false">COUNTIF(E35:M35,2)+COUNTIF(E35:M35,1)+COUNTIF(E35:M35,0)</f>
        <v>0</v>
      </c>
    </row>
    <row r="36" customFormat="false" ht="15" hidden="false" customHeight="true" outlineLevel="0" collapsed="false">
      <c r="A36" s="37" t="n">
        <v>29</v>
      </c>
      <c r="B36" s="37" t="s">
        <v>1573</v>
      </c>
      <c r="C36" s="37" t="s">
        <v>1574</v>
      </c>
      <c r="D36" s="543"/>
      <c r="E36" s="130"/>
      <c r="F36" s="131"/>
      <c r="G36" s="131"/>
      <c r="H36" s="355"/>
      <c r="I36" s="86"/>
      <c r="J36" s="87"/>
      <c r="K36" s="87"/>
      <c r="L36" s="87"/>
      <c r="M36" s="89"/>
      <c r="N36" s="394" t="str">
        <f aca="false">IFERROR(AVERAGE(E36:M36),"")</f>
        <v/>
      </c>
      <c r="O36" s="84" t="str">
        <f aca="false">IF(E36&lt;&gt;"",IF(COUNTIF(E36:M36,"&lt;3"),"Не успевает","Успевает"),"")</f>
        <v/>
      </c>
      <c r="P36" s="241" t="str">
        <f aca="false">IF(D36&lt;&gt;"",(30*(set!B$5)-D36)/(30*(set!B$5))*100,"")</f>
        <v/>
      </c>
      <c r="Q36" s="77" t="str">
        <f aca="false" t="array" ref="Q36:Q36">IF(E36&lt;&gt;"",IF(N36&lt;1.85,"Выговор",IF(N36=1.85,"Выговор",IF(AND(N36&gt;1.85,N36&lt;3),"Предупреждение",IF(AND(N36&gt;3,N36&lt;4.65),"Нормально",IF(AND(N36&gt;4.65,N36&lt;5.1,E36:M36&gt;=4),"Благодарность","Нормально"))))),"")</f>
        <v/>
      </c>
      <c r="R36" s="36" t="n">
        <f aca="false">COUNTIF(E36:M36,2)+COUNTIF(E36:M36,1)+COUNTIF(E36:M36,0)</f>
        <v>0</v>
      </c>
    </row>
    <row r="37" customFormat="false" ht="15" hidden="false" customHeight="true" outlineLevel="0" collapsed="false">
      <c r="A37" s="0" t="s">
        <v>77</v>
      </c>
      <c r="D37" s="533"/>
      <c r="E37" s="534" t="e">
        <f aca="false">AVERAGE(E8:E36)</f>
        <v>#DIV/0!</v>
      </c>
      <c r="F37" s="534" t="e">
        <f aca="false">AVERAGE(F8:F36)</f>
        <v>#DIV/0!</v>
      </c>
      <c r="G37" s="534" t="e">
        <f aca="false">AVERAGE(G8:G36)</f>
        <v>#DIV/0!</v>
      </c>
      <c r="H37" s="534" t="e">
        <f aca="false">AVERAGE(H8:H36)</f>
        <v>#DIV/0!</v>
      </c>
      <c r="I37" s="534" t="e">
        <f aca="false">AVERAGE(I8:I36)</f>
        <v>#DIV/0!</v>
      </c>
      <c r="J37" s="534" t="e">
        <f aca="false">AVERAGE(J8:J36)</f>
        <v>#DIV/0!</v>
      </c>
      <c r="K37" s="534" t="e">
        <f aca="false">AVERAGE(K8:K36)</f>
        <v>#DIV/0!</v>
      </c>
      <c r="L37" s="534" t="e">
        <f aca="false">AVERAGE(L8:L36)</f>
        <v>#DIV/0!</v>
      </c>
      <c r="M37" s="534" t="e">
        <f aca="false">AVERAGE(M8:M36)</f>
        <v>#DIV/0!</v>
      </c>
      <c r="N37" s="49"/>
      <c r="P37" s="423"/>
      <c r="Q37" s="423"/>
    </row>
    <row r="38" customFormat="false" ht="15" hidden="false" customHeight="true" outlineLevel="0" collapsed="false">
      <c r="A38" s="0" t="s">
        <v>78</v>
      </c>
      <c r="D38" s="536"/>
      <c r="E38" s="137" t="e">
        <f aca="false">(COUNTIF(E8:E36,5)+COUNTIF(E8:E36,4)+COUNTIF(E8:E36,3))/$O$43*100</f>
        <v>#DIV/0!</v>
      </c>
      <c r="F38" s="137" t="e">
        <f aca="false">(COUNTIF(F8:F36,5)+COUNTIF(F8:F36,4)+COUNTIF(F8:F36,3))/$O$43*100</f>
        <v>#DIV/0!</v>
      </c>
      <c r="G38" s="137" t="e">
        <f aca="false">(COUNTIF(G8:G36,5)+COUNTIF(G8:G36,4)+COUNTIF(G8:G36,3))/$O$43*100</f>
        <v>#DIV/0!</v>
      </c>
      <c r="H38" s="137" t="e">
        <f aca="false">(COUNTIF(H8:H36,5)+COUNTIF(H8:H36,4)+COUNTIF(H8:H36,3))/$O$43*100</f>
        <v>#DIV/0!</v>
      </c>
      <c r="I38" s="137" t="e">
        <f aca="false">(COUNTIF(I8:I36,5)+COUNTIF(I8:I36,4)+COUNTIF(I8:I36,3))/$O$43*100</f>
        <v>#DIV/0!</v>
      </c>
      <c r="J38" s="137" t="e">
        <f aca="false">(COUNTIF(J8:J36,5)+COUNTIF(J8:J36,4)+COUNTIF(J8:J36,3))/$O$43*100</f>
        <v>#DIV/0!</v>
      </c>
      <c r="K38" s="137" t="e">
        <f aca="false">(COUNTIF(K8:K36,5)+COUNTIF(K8:K36,4)+COUNTIF(K8:K36,3))/$O$43*100</f>
        <v>#DIV/0!</v>
      </c>
      <c r="L38" s="137" t="e">
        <f aca="false">(COUNTIF(L8:L36,5)+COUNTIF(L8:L36,4)+COUNTIF(L8:L36,3))/$O$43*100</f>
        <v>#DIV/0!</v>
      </c>
      <c r="M38" s="137" t="e">
        <f aca="false">(COUNTIF(M8:M36,5)+COUNTIF(M8:M36,4)+COUNTIF(M8:M36,3))/$O$43*100</f>
        <v>#DIV/0!</v>
      </c>
      <c r="N38" s="48"/>
      <c r="O38" s="49"/>
      <c r="Q38" s="423"/>
    </row>
    <row r="39" customFormat="false" ht="15" hidden="false" customHeight="true" outlineLevel="0" collapsed="false">
      <c r="D39" s="537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9"/>
      <c r="R39" s="423"/>
    </row>
    <row r="40" customFormat="false" ht="15" hidden="false" customHeight="true" outlineLevel="0" collapsed="false">
      <c r="D40" s="537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</row>
    <row r="41" customFormat="false" ht="15" hidden="false" customHeight="true" outlineLevel="0" collapsed="false">
      <c r="C41" s="50" t="s">
        <v>8</v>
      </c>
      <c r="D41" s="51" t="str">
        <f aca="false">IFERROR(AVERAGE(N8:N36),"")</f>
        <v/>
      </c>
      <c r="E41" s="52" t="s">
        <v>9</v>
      </c>
      <c r="G41" s="53" t="str">
        <f aca="false">IFERROR(COUNTIF(O8:O36,"Успевает")/O43*100,"")</f>
        <v/>
      </c>
      <c r="H41" s="161" t="s">
        <v>79</v>
      </c>
      <c r="I41" s="55"/>
      <c r="J41" s="454" t="str">
        <f aca="false">IFERROR(AVERAGE(P8:P36),"")</f>
        <v/>
      </c>
      <c r="M41" s="48"/>
      <c r="N41" s="48"/>
      <c r="O41" s="48"/>
    </row>
    <row r="42" customFormat="false" ht="15" hidden="false" customHeight="true" outlineLevel="0" collapsed="false">
      <c r="D42" s="537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</row>
    <row r="43" customFormat="false" ht="15" hidden="false" customHeight="true" outlineLevel="0" collapsed="false">
      <c r="A43" s="61" t="s">
        <v>81</v>
      </c>
      <c r="B43" s="61"/>
      <c r="C43" s="61"/>
      <c r="D43" s="61"/>
      <c r="E43" s="61"/>
      <c r="F43" s="61"/>
      <c r="G43" s="61"/>
      <c r="H43" s="61"/>
      <c r="I43" s="61"/>
      <c r="J43" s="61" t="s">
        <v>82</v>
      </c>
      <c r="K43" s="61"/>
      <c r="L43" s="61"/>
      <c r="M43" s="490" t="s">
        <v>80</v>
      </c>
      <c r="N43" s="490"/>
      <c r="O43" s="58" t="n">
        <f aca="false">SUM(O44,O45)</f>
        <v>0</v>
      </c>
      <c r="P43" s="193"/>
      <c r="Q43" s="193"/>
    </row>
    <row r="44" customFormat="false" ht="15" hidden="false" customHeight="true" outlineLevel="0" collapsed="false">
      <c r="A44" s="65" t="str">
        <f aca="false">$E$6</f>
        <v> Аналитическая геометрия и линейная алгебра</v>
      </c>
      <c r="B44" s="65"/>
      <c r="C44" s="65"/>
      <c r="D44" s="65"/>
      <c r="E44" s="65"/>
      <c r="F44" s="65"/>
      <c r="G44" s="65"/>
      <c r="H44" s="65"/>
      <c r="I44" s="65"/>
      <c r="J44" s="538"/>
      <c r="K44" s="538"/>
      <c r="L44" s="538"/>
      <c r="M44" s="490" t="s">
        <v>83</v>
      </c>
      <c r="N44" s="490"/>
      <c r="O44" s="58" t="n">
        <f aca="false">COUNTIF(O8:O36,"Успевает")</f>
        <v>0</v>
      </c>
      <c r="P44" s="64"/>
      <c r="Q44" s="64"/>
    </row>
    <row r="45" customFormat="false" ht="15" hidden="false" customHeight="true" outlineLevel="0" collapsed="false">
      <c r="A45" s="65" t="str">
        <f aca="false">$F$6</f>
        <v> Высокоуровневое программирование</v>
      </c>
      <c r="B45" s="65"/>
      <c r="C45" s="65"/>
      <c r="D45" s="65"/>
      <c r="E45" s="65"/>
      <c r="F45" s="65"/>
      <c r="G45" s="65"/>
      <c r="H45" s="65"/>
      <c r="I45" s="65"/>
      <c r="J45" s="538"/>
      <c r="K45" s="538"/>
      <c r="L45" s="538"/>
      <c r="M45" s="491" t="s">
        <v>84</v>
      </c>
      <c r="N45" s="491"/>
      <c r="O45" s="58" t="n">
        <f aca="false">COUNTIF(O8:O36,"Не успевает")</f>
        <v>0</v>
      </c>
      <c r="P45" s="99"/>
      <c r="Q45" s="69"/>
    </row>
    <row r="46" customFormat="false" ht="15" hidden="false" customHeight="true" outlineLevel="0" collapsed="false">
      <c r="A46" s="65" t="str">
        <f aca="false">$G$6</f>
        <v> Инженерная графика</v>
      </c>
      <c r="B46" s="65"/>
      <c r="C46" s="65"/>
      <c r="D46" s="65"/>
      <c r="E46" s="65"/>
      <c r="F46" s="65"/>
      <c r="G46" s="65"/>
      <c r="H46" s="65"/>
      <c r="I46" s="65"/>
      <c r="J46" s="538"/>
      <c r="K46" s="538"/>
      <c r="L46" s="538"/>
      <c r="M46" s="491" t="s">
        <v>85</v>
      </c>
      <c r="N46" s="491"/>
      <c r="O46" s="58" t="n">
        <f aca="false">COUNTIF(Q8:Q36,"Благодарность")</f>
        <v>0</v>
      </c>
    </row>
    <row r="47" customFormat="false" ht="15" hidden="false" customHeight="true" outlineLevel="0" collapsed="false">
      <c r="A47" s="65" t="str">
        <f aca="false">$H$6</f>
        <v> Математический анализ</v>
      </c>
      <c r="B47" s="65"/>
      <c r="C47" s="65"/>
      <c r="D47" s="65"/>
      <c r="E47" s="65"/>
      <c r="F47" s="65"/>
      <c r="G47" s="65"/>
      <c r="H47" s="65"/>
      <c r="I47" s="65"/>
      <c r="J47" s="538"/>
      <c r="K47" s="538"/>
      <c r="L47" s="538"/>
      <c r="M47" s="491" t="s">
        <v>86</v>
      </c>
      <c r="N47" s="491"/>
      <c r="O47" s="58" t="n">
        <f aca="false">COUNTIF(Q8:Q36,"Нормально")</f>
        <v>0</v>
      </c>
    </row>
    <row r="48" customFormat="false" ht="15" hidden="false" customHeight="true" outlineLevel="0" collapsed="false">
      <c r="A48" s="65" t="str">
        <f aca="false">$I$6</f>
        <v>Иностранный язык</v>
      </c>
      <c r="B48" s="65"/>
      <c r="C48" s="65"/>
      <c r="D48" s="65"/>
      <c r="E48" s="65"/>
      <c r="F48" s="65"/>
      <c r="G48" s="65"/>
      <c r="H48" s="65"/>
      <c r="I48" s="65"/>
      <c r="J48" s="538"/>
      <c r="K48" s="538"/>
      <c r="L48" s="538"/>
      <c r="M48" s="491" t="s">
        <v>87</v>
      </c>
      <c r="N48" s="491"/>
      <c r="O48" s="58" t="n">
        <f aca="false">COUNTIF(Q8:Q36,"Предупреждение")</f>
        <v>0</v>
      </c>
    </row>
    <row r="49" customFormat="false" ht="15" hidden="false" customHeight="true" outlineLevel="0" collapsed="false">
      <c r="A49" s="65" t="str">
        <f aca="false">$J$6</f>
        <v> История России</v>
      </c>
      <c r="B49" s="65"/>
      <c r="C49" s="65"/>
      <c r="D49" s="65"/>
      <c r="E49" s="65"/>
      <c r="F49" s="65"/>
      <c r="G49" s="65"/>
      <c r="H49" s="65"/>
      <c r="I49" s="65"/>
      <c r="J49" s="538"/>
      <c r="K49" s="538"/>
      <c r="L49" s="538"/>
      <c r="M49" s="491" t="s">
        <v>88</v>
      </c>
      <c r="N49" s="491"/>
      <c r="O49" s="58" t="n">
        <f aca="false">COUNTIF(Q8:Q36,"Выговор")</f>
        <v>0</v>
      </c>
    </row>
    <row r="50" customFormat="false" ht="15" hidden="false" customHeight="true" outlineLevel="0" collapsed="false">
      <c r="A50" s="65" t="str">
        <f aca="false">$K$6</f>
        <v> Ознакомительная практика</v>
      </c>
      <c r="B50" s="65"/>
      <c r="C50" s="65"/>
      <c r="D50" s="65"/>
      <c r="E50" s="65"/>
      <c r="F50" s="65"/>
      <c r="G50" s="65"/>
      <c r="H50" s="65"/>
      <c r="I50" s="65"/>
      <c r="J50" s="540"/>
      <c r="K50" s="540"/>
      <c r="L50" s="540"/>
      <c r="M50" s="541" t="s">
        <v>1575</v>
      </c>
      <c r="N50" s="541"/>
      <c r="O50" s="143" t="n">
        <f aca="false">SUM(R8:R36)</f>
        <v>0</v>
      </c>
      <c r="P50" s="542"/>
    </row>
    <row r="51" customFormat="false" ht="15" hidden="false" customHeight="true" outlineLevel="0" collapsed="false">
      <c r="A51" s="65" t="str">
        <f aca="false">$L$6</f>
        <v> Теоретическая информатика</v>
      </c>
      <c r="B51" s="65"/>
      <c r="C51" s="65"/>
      <c r="D51" s="65"/>
      <c r="E51" s="65"/>
      <c r="F51" s="65"/>
      <c r="G51" s="65"/>
      <c r="H51" s="65"/>
      <c r="I51" s="65"/>
      <c r="J51" s="540"/>
      <c r="K51" s="540"/>
      <c r="L51" s="540"/>
      <c r="M51" s="193"/>
      <c r="N51" s="64"/>
      <c r="P51" s="542"/>
    </row>
    <row r="52" customFormat="false" ht="15" hidden="false" customHeight="true" outlineLevel="0" collapsed="false">
      <c r="A52" s="65" t="str">
        <f aca="false">$M$6</f>
        <v>Физическая культура и спорт</v>
      </c>
      <c r="B52" s="65"/>
      <c r="C52" s="65"/>
      <c r="D52" s="65"/>
      <c r="E52" s="65"/>
      <c r="F52" s="65"/>
      <c r="G52" s="65"/>
      <c r="H52" s="65"/>
      <c r="I52" s="65"/>
      <c r="J52" s="540"/>
      <c r="K52" s="540"/>
      <c r="L52" s="540"/>
      <c r="M52" s="193"/>
      <c r="N52" s="64"/>
      <c r="P52" s="542"/>
    </row>
    <row r="53" customFormat="false" ht="15" hidden="false" customHeight="true" outlineLevel="0" collapsed="false">
      <c r="M53" s="50"/>
      <c r="N53" s="50"/>
    </row>
    <row r="54" customFormat="false" ht="15" hidden="false" customHeight="true" outlineLevel="0" collapsed="false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48"/>
      <c r="P54" s="48"/>
    </row>
    <row r="55" customFormat="false" ht="15" hidden="false" customHeight="true" outlineLevel="0" collapsed="false">
      <c r="A55" s="428" t="s">
        <v>405</v>
      </c>
      <c r="B55" s="455" t="s">
        <v>1576</v>
      </c>
      <c r="C55" s="455"/>
      <c r="D55" s="67"/>
      <c r="E55" s="52" t="s">
        <v>407</v>
      </c>
      <c r="F55" s="300" t="s">
        <v>1577</v>
      </c>
      <c r="G55" s="300"/>
      <c r="H55" s="52"/>
      <c r="I55" s="52"/>
      <c r="J55" s="52"/>
      <c r="K55" s="52"/>
      <c r="L55" s="50"/>
      <c r="M55" s="50"/>
      <c r="N55" s="50"/>
      <c r="O55" s="48"/>
      <c r="P55" s="48"/>
    </row>
    <row r="56" customFormat="false" ht="15" hidden="false" customHeight="true" outlineLevel="0" collapsed="false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48"/>
      <c r="P56" s="48"/>
    </row>
    <row r="57" customFormat="false" ht="15" hidden="false" customHeight="true" outlineLevel="0" collapsed="false">
      <c r="A57" s="50" t="s">
        <v>93</v>
      </c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48"/>
      <c r="P57" s="48"/>
    </row>
    <row r="58" customFormat="false" ht="15" hidden="false" customHeight="true" outlineLevel="0" collapsed="false">
      <c r="A58" s="50" t="s">
        <v>94</v>
      </c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48"/>
      <c r="P58" s="48"/>
    </row>
    <row r="59" customFormat="false" ht="15" hidden="false" customHeight="true" outlineLevel="0" collapsed="false">
      <c r="A59" s="50" t="s">
        <v>95</v>
      </c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48"/>
      <c r="P59" s="48"/>
    </row>
    <row r="60" customFormat="false" ht="15" hidden="false" customHeight="true" outlineLevel="0" collapsed="false">
      <c r="A60" s="50" t="s">
        <v>96</v>
      </c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48"/>
      <c r="P60" s="48"/>
    </row>
    <row r="61" customFormat="false" ht="15" hidden="false" customHeight="true" outlineLevel="0" collapsed="false">
      <c r="A61" s="50" t="s">
        <v>97</v>
      </c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</row>
    <row r="62" customFormat="false" ht="15" hidden="false" customHeight="true" outlineLevel="0" collapsed="false">
      <c r="A62" s="50" t="s">
        <v>98</v>
      </c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</row>
    <row r="63" customFormat="false" ht="15" hidden="false" customHeight="true" outlineLevel="0" collapsed="false">
      <c r="A63" s="50" t="s">
        <v>99</v>
      </c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</row>
    <row r="64" customFormat="false" ht="15" hidden="false" customHeight="true" outlineLevel="0" collapsed="false"/>
  </sheetData>
  <mergeCells count="41">
    <mergeCell ref="L2:M2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A43:I43"/>
    <mergeCell ref="J43:L43"/>
    <mergeCell ref="M43:N43"/>
    <mergeCell ref="A44:I44"/>
    <mergeCell ref="J44:L44"/>
    <mergeCell ref="M44:N44"/>
    <mergeCell ref="A45:I45"/>
    <mergeCell ref="J45:L45"/>
    <mergeCell ref="M45:N45"/>
    <mergeCell ref="A46:I46"/>
    <mergeCell ref="J46:L46"/>
    <mergeCell ref="M46:N46"/>
    <mergeCell ref="A47:I47"/>
    <mergeCell ref="J47:L47"/>
    <mergeCell ref="M47:N47"/>
    <mergeCell ref="A48:I48"/>
    <mergeCell ref="J48:L48"/>
    <mergeCell ref="M48:N48"/>
    <mergeCell ref="A49:I49"/>
    <mergeCell ref="J49:L49"/>
    <mergeCell ref="M49:N49"/>
    <mergeCell ref="A50:I50"/>
    <mergeCell ref="J50:L50"/>
    <mergeCell ref="M50:N50"/>
    <mergeCell ref="A51:I51"/>
    <mergeCell ref="J51:L51"/>
    <mergeCell ref="A52:I52"/>
    <mergeCell ref="J52:L52"/>
    <mergeCell ref="B55:C55"/>
  </mergeCells>
  <conditionalFormatting sqref="J4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3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41:N41 E42:N42 E39:N40 E38:M38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6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7:M3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30 E36:M36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1:M35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63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8" activeCellId="0" sqref="C8"/>
    </sheetView>
  </sheetViews>
  <sheetFormatPr defaultColWidth="9.1484375" defaultRowHeight="15" zeroHeight="false" outlineLevelRow="0" outlineLevelCol="0"/>
  <cols>
    <col collapsed="false" customWidth="true" hidden="false" outlineLevel="0" max="2" min="2" style="0" width="13"/>
    <col collapsed="false" customWidth="true" hidden="false" outlineLevel="0" max="3" min="3" style="0" width="17.57"/>
    <col collapsed="false" customWidth="true" hidden="false" outlineLevel="0" max="5" min="5" style="0" width="10"/>
    <col collapsed="false" customWidth="true" hidden="false" outlineLevel="0" max="16" min="16" style="0" width="8.42"/>
    <col collapsed="false" customWidth="true" hidden="false" outlineLevel="0" max="17" min="17" style="0" width="17.71"/>
    <col collapsed="false" customWidth="true" hidden="false" outlineLevel="0" max="18" min="18" style="0" width="8.15"/>
    <col collapsed="false" customWidth="true" hidden="false" outlineLevel="0" max="19" min="19" style="0" width="4.57"/>
    <col collapsed="false" customWidth="true" hidden="false" outlineLevel="0" max="20" min="20" style="0" width="4.29"/>
    <col collapsed="false" customWidth="true" hidden="false" outlineLevel="0" max="21" min="21" style="0" width="4.57"/>
  </cols>
  <sheetData>
    <row r="1" customFormat="false" ht="19.7" hidden="false" customHeight="false" outlineLevel="0" collapsed="false">
      <c r="F1" s="3"/>
      <c r="G1" s="3" t="s">
        <v>0</v>
      </c>
      <c r="I1" s="3"/>
      <c r="J1" s="2" t="n">
        <f aca="false">set!B1</f>
        <v>2</v>
      </c>
      <c r="L1" s="3"/>
      <c r="M1" s="3"/>
      <c r="N1" s="3"/>
    </row>
    <row r="2" customFormat="false" ht="15" hidden="false" customHeight="false" outlineLevel="0" collapsed="false">
      <c r="J2" s="4"/>
      <c r="M2" s="123"/>
      <c r="N2" s="123"/>
      <c r="O2" s="415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ИУК4-13Б факультета ИУК МГТУ им. Н.Э. Баумана"</f>
        <v>Успеваемость студентов за 1 семестр 24/25 учебного года по группе ИУК4-13Б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2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08.75" hidden="false" customHeight="true" outlineLevel="0" collapsed="false">
      <c r="A6" s="8"/>
      <c r="B6" s="8"/>
      <c r="C6" s="8"/>
      <c r="D6" s="9"/>
      <c r="E6" s="339" t="s">
        <v>542</v>
      </c>
      <c r="F6" s="340" t="s">
        <v>1454</v>
      </c>
      <c r="G6" s="340" t="s">
        <v>543</v>
      </c>
      <c r="H6" s="342" t="s">
        <v>544</v>
      </c>
      <c r="I6" s="340" t="s">
        <v>18</v>
      </c>
      <c r="J6" s="340" t="s">
        <v>144</v>
      </c>
      <c r="K6" s="340" t="s">
        <v>1455</v>
      </c>
      <c r="L6" s="340" t="s">
        <v>546</v>
      </c>
      <c r="M6" s="342" t="s">
        <v>147</v>
      </c>
      <c r="N6" s="12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1084</v>
      </c>
      <c r="G7" s="344" t="s">
        <v>25</v>
      </c>
      <c r="H7" s="346" t="s">
        <v>24</v>
      </c>
      <c r="I7" s="407" t="s">
        <v>27</v>
      </c>
      <c r="J7" s="344" t="s">
        <v>149</v>
      </c>
      <c r="K7" s="407" t="s">
        <v>1456</v>
      </c>
      <c r="L7" s="344" t="s">
        <v>549</v>
      </c>
      <c r="M7" s="346" t="s">
        <v>30</v>
      </c>
      <c r="N7" s="12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1578</v>
      </c>
      <c r="C8" s="25" t="s">
        <v>1579</v>
      </c>
      <c r="D8" s="408"/>
      <c r="E8" s="544"/>
      <c r="F8" s="37"/>
      <c r="G8" s="37"/>
      <c r="H8" s="408"/>
      <c r="I8" s="545"/>
      <c r="J8" s="77"/>
      <c r="K8" s="77"/>
      <c r="L8" s="77"/>
      <c r="M8" s="408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1580</v>
      </c>
      <c r="C9" s="37" t="s">
        <v>1581</v>
      </c>
      <c r="D9" s="90"/>
      <c r="E9" s="544"/>
      <c r="F9" s="37"/>
      <c r="G9" s="37"/>
      <c r="H9" s="90"/>
      <c r="I9" s="544"/>
      <c r="J9" s="37"/>
      <c r="K9" s="37"/>
      <c r="L9" s="37"/>
      <c r="M9" s="90"/>
      <c r="N9" s="394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1582</v>
      </c>
      <c r="C10" s="37" t="s">
        <v>1583</v>
      </c>
      <c r="D10" s="90"/>
      <c r="E10" s="544"/>
      <c r="F10" s="37"/>
      <c r="G10" s="37"/>
      <c r="H10" s="90"/>
      <c r="I10" s="544"/>
      <c r="J10" s="37"/>
      <c r="K10" s="37"/>
      <c r="L10" s="37"/>
      <c r="M10" s="90"/>
      <c r="N10" s="394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1584</v>
      </c>
      <c r="C11" s="37" t="s">
        <v>1585</v>
      </c>
      <c r="D11" s="90"/>
      <c r="E11" s="544"/>
      <c r="F11" s="37"/>
      <c r="G11" s="37"/>
      <c r="H11" s="90"/>
      <c r="I11" s="544"/>
      <c r="J11" s="37"/>
      <c r="K11" s="37"/>
      <c r="L11" s="37"/>
      <c r="M11" s="90"/>
      <c r="N11" s="394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1586</v>
      </c>
      <c r="C12" s="37" t="s">
        <v>1587</v>
      </c>
      <c r="D12" s="90"/>
      <c r="E12" s="544"/>
      <c r="F12" s="37"/>
      <c r="G12" s="37"/>
      <c r="H12" s="90"/>
      <c r="I12" s="544"/>
      <c r="J12" s="37"/>
      <c r="K12" s="37"/>
      <c r="L12" s="37"/>
      <c r="M12" s="90"/>
      <c r="N12" s="394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1588</v>
      </c>
      <c r="C13" s="37" t="s">
        <v>1589</v>
      </c>
      <c r="D13" s="90"/>
      <c r="E13" s="544"/>
      <c r="F13" s="37"/>
      <c r="G13" s="37"/>
      <c r="H13" s="90"/>
      <c r="I13" s="544"/>
      <c r="J13" s="37"/>
      <c r="K13" s="37"/>
      <c r="L13" s="37"/>
      <c r="M13" s="90"/>
      <c r="N13" s="394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1590</v>
      </c>
      <c r="C14" s="37" t="s">
        <v>1591</v>
      </c>
      <c r="D14" s="90"/>
      <c r="E14" s="544"/>
      <c r="F14" s="37"/>
      <c r="G14" s="37"/>
      <c r="H14" s="90"/>
      <c r="I14" s="544"/>
      <c r="J14" s="37"/>
      <c r="K14" s="37"/>
      <c r="L14" s="37"/>
      <c r="M14" s="90"/>
      <c r="N14" s="394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1592</v>
      </c>
      <c r="C15" s="37" t="s">
        <v>1593</v>
      </c>
      <c r="D15" s="90"/>
      <c r="E15" s="544"/>
      <c r="F15" s="37"/>
      <c r="G15" s="37"/>
      <c r="H15" s="90"/>
      <c r="I15" s="544"/>
      <c r="J15" s="37"/>
      <c r="K15" s="37"/>
      <c r="L15" s="37"/>
      <c r="M15" s="90"/>
      <c r="N15" s="394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1594</v>
      </c>
      <c r="C16" s="37" t="s">
        <v>1595</v>
      </c>
      <c r="D16" s="90"/>
      <c r="E16" s="544"/>
      <c r="F16" s="37"/>
      <c r="G16" s="37"/>
      <c r="H16" s="90"/>
      <c r="I16" s="544"/>
      <c r="J16" s="37"/>
      <c r="K16" s="37"/>
      <c r="L16" s="37"/>
      <c r="M16" s="90"/>
      <c r="N16" s="394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1596</v>
      </c>
      <c r="C17" s="37" t="s">
        <v>1597</v>
      </c>
      <c r="D17" s="90"/>
      <c r="E17" s="544"/>
      <c r="F17" s="37"/>
      <c r="G17" s="37"/>
      <c r="H17" s="90"/>
      <c r="I17" s="544"/>
      <c r="J17" s="37"/>
      <c r="K17" s="37"/>
      <c r="L17" s="37"/>
      <c r="M17" s="90"/>
      <c r="N17" s="394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85" t="n">
        <v>11</v>
      </c>
      <c r="B18" s="37" t="s">
        <v>1598</v>
      </c>
      <c r="C18" s="37" t="s">
        <v>1599</v>
      </c>
      <c r="D18" s="90"/>
      <c r="E18" s="544"/>
      <c r="F18" s="37"/>
      <c r="G18" s="37"/>
      <c r="H18" s="90"/>
      <c r="I18" s="544"/>
      <c r="J18" s="37"/>
      <c r="K18" s="37"/>
      <c r="L18" s="37"/>
      <c r="M18" s="90"/>
      <c r="N18" s="394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1600</v>
      </c>
      <c r="C19" s="37" t="s">
        <v>1601</v>
      </c>
      <c r="D19" s="90"/>
      <c r="E19" s="544"/>
      <c r="F19" s="37"/>
      <c r="G19" s="37"/>
      <c r="H19" s="90"/>
      <c r="I19" s="544"/>
      <c r="J19" s="37"/>
      <c r="K19" s="37"/>
      <c r="L19" s="37"/>
      <c r="M19" s="90"/>
      <c r="N19" s="394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85" t="n">
        <v>13</v>
      </c>
      <c r="B20" s="37" t="s">
        <v>1602</v>
      </c>
      <c r="C20" s="37" t="s">
        <v>1603</v>
      </c>
      <c r="D20" s="90"/>
      <c r="E20" s="544"/>
      <c r="F20" s="37"/>
      <c r="G20" s="37"/>
      <c r="H20" s="90"/>
      <c r="I20" s="544"/>
      <c r="J20" s="37"/>
      <c r="K20" s="37"/>
      <c r="L20" s="37"/>
      <c r="M20" s="90"/>
      <c r="N20" s="394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1604</v>
      </c>
      <c r="C21" s="37" t="s">
        <v>1605</v>
      </c>
      <c r="D21" s="90"/>
      <c r="E21" s="544"/>
      <c r="F21" s="37"/>
      <c r="G21" s="37"/>
      <c r="H21" s="90"/>
      <c r="I21" s="544"/>
      <c r="J21" s="37"/>
      <c r="K21" s="37"/>
      <c r="L21" s="37"/>
      <c r="M21" s="90"/>
      <c r="N21" s="394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85" t="n">
        <v>15</v>
      </c>
      <c r="B22" s="37" t="s">
        <v>1606</v>
      </c>
      <c r="C22" s="37" t="s">
        <v>1607</v>
      </c>
      <c r="D22" s="90"/>
      <c r="E22" s="544"/>
      <c r="F22" s="37"/>
      <c r="G22" s="37"/>
      <c r="H22" s="90"/>
      <c r="I22" s="544"/>
      <c r="J22" s="37"/>
      <c r="K22" s="37"/>
      <c r="L22" s="37"/>
      <c r="M22" s="90"/>
      <c r="N22" s="394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1608</v>
      </c>
      <c r="C23" s="37" t="s">
        <v>1609</v>
      </c>
      <c r="D23" s="90"/>
      <c r="E23" s="544"/>
      <c r="F23" s="37"/>
      <c r="G23" s="37"/>
      <c r="H23" s="90"/>
      <c r="I23" s="544"/>
      <c r="J23" s="37"/>
      <c r="K23" s="37"/>
      <c r="L23" s="37"/>
      <c r="M23" s="90"/>
      <c r="N23" s="394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true" outlineLevel="0" collapsed="false">
      <c r="A24" s="85" t="n">
        <v>17</v>
      </c>
      <c r="B24" s="37" t="s">
        <v>1610</v>
      </c>
      <c r="C24" s="37" t="s">
        <v>1611</v>
      </c>
      <c r="D24" s="90"/>
      <c r="E24" s="544"/>
      <c r="F24" s="37"/>
      <c r="G24" s="37"/>
      <c r="H24" s="90"/>
      <c r="I24" s="544"/>
      <c r="J24" s="37"/>
      <c r="K24" s="37"/>
      <c r="L24" s="37"/>
      <c r="M24" s="90"/>
      <c r="N24" s="394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1612</v>
      </c>
      <c r="C25" s="37" t="s">
        <v>1613</v>
      </c>
      <c r="D25" s="90"/>
      <c r="E25" s="544"/>
      <c r="F25" s="37"/>
      <c r="G25" s="37"/>
      <c r="H25" s="90"/>
      <c r="I25" s="544"/>
      <c r="J25" s="37"/>
      <c r="K25" s="37"/>
      <c r="L25" s="37"/>
      <c r="M25" s="90"/>
      <c r="N25" s="394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19</v>
      </c>
      <c r="B26" s="37" t="s">
        <v>1614</v>
      </c>
      <c r="C26" s="37" t="s">
        <v>1615</v>
      </c>
      <c r="D26" s="90"/>
      <c r="E26" s="544"/>
      <c r="F26" s="37"/>
      <c r="G26" s="37"/>
      <c r="H26" s="90"/>
      <c r="I26" s="544"/>
      <c r="J26" s="37"/>
      <c r="K26" s="37"/>
      <c r="L26" s="37"/>
      <c r="M26" s="90"/>
      <c r="N26" s="394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s="45" customFormat="true" ht="15" hidden="false" customHeight="true" outlineLevel="0" collapsed="false">
      <c r="A27" s="37" t="n">
        <v>20</v>
      </c>
      <c r="B27" s="37" t="s">
        <v>1616</v>
      </c>
      <c r="C27" s="37" t="s">
        <v>1617</v>
      </c>
      <c r="D27" s="90"/>
      <c r="E27" s="544"/>
      <c r="F27" s="37"/>
      <c r="G27" s="37"/>
      <c r="H27" s="90"/>
      <c r="I27" s="544"/>
      <c r="J27" s="37"/>
      <c r="K27" s="37"/>
      <c r="L27" s="37"/>
      <c r="M27" s="90"/>
      <c r="N27" s="394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118" t="n">
        <f aca="false">COUNTIF(E27:M27,2)+COUNTIF(E27:M27,1)+COUNTIF(E27:M27,0)</f>
        <v>0</v>
      </c>
    </row>
    <row r="28" s="45" customFormat="true" ht="15" hidden="false" customHeight="true" outlineLevel="0" collapsed="false">
      <c r="A28" s="37" t="n">
        <v>21</v>
      </c>
      <c r="B28" s="37" t="s">
        <v>1618</v>
      </c>
      <c r="C28" s="37" t="s">
        <v>1619</v>
      </c>
      <c r="D28" s="90"/>
      <c r="E28" s="544"/>
      <c r="F28" s="37"/>
      <c r="G28" s="37"/>
      <c r="H28" s="90"/>
      <c r="I28" s="544"/>
      <c r="J28" s="37"/>
      <c r="K28" s="37"/>
      <c r="L28" s="37"/>
      <c r="M28" s="90"/>
      <c r="N28" s="394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118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1620</v>
      </c>
      <c r="C29" s="37" t="s">
        <v>1621</v>
      </c>
      <c r="D29" s="90"/>
      <c r="E29" s="544"/>
      <c r="F29" s="37"/>
      <c r="G29" s="37"/>
      <c r="H29" s="90"/>
      <c r="I29" s="544"/>
      <c r="J29" s="37"/>
      <c r="K29" s="37"/>
      <c r="L29" s="37"/>
      <c r="M29" s="90"/>
      <c r="N29" s="394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118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1622</v>
      </c>
      <c r="C30" s="37" t="s">
        <v>1623</v>
      </c>
      <c r="D30" s="90"/>
      <c r="E30" s="544"/>
      <c r="F30" s="37"/>
      <c r="G30" s="37"/>
      <c r="H30" s="90"/>
      <c r="I30" s="544"/>
      <c r="J30" s="37"/>
      <c r="K30" s="37"/>
      <c r="L30" s="37"/>
      <c r="M30" s="90"/>
      <c r="N30" s="394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118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24</v>
      </c>
      <c r="B31" s="37" t="s">
        <v>1624</v>
      </c>
      <c r="C31" s="37" t="s">
        <v>1625</v>
      </c>
      <c r="D31" s="90"/>
      <c r="E31" s="544"/>
      <c r="F31" s="37"/>
      <c r="G31" s="37"/>
      <c r="H31" s="90"/>
      <c r="I31" s="544"/>
      <c r="J31" s="37"/>
      <c r="K31" s="37"/>
      <c r="L31" s="37"/>
      <c r="M31" s="90"/>
      <c r="N31" s="394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118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1626</v>
      </c>
      <c r="C32" s="37" t="s">
        <v>1627</v>
      </c>
      <c r="D32" s="90"/>
      <c r="E32" s="544"/>
      <c r="F32" s="37"/>
      <c r="G32" s="37"/>
      <c r="H32" s="90"/>
      <c r="I32" s="544"/>
      <c r="J32" s="37"/>
      <c r="K32" s="37"/>
      <c r="L32" s="37"/>
      <c r="M32" s="90"/>
      <c r="N32" s="394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118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26</v>
      </c>
      <c r="B33" s="37" t="s">
        <v>1628</v>
      </c>
      <c r="C33" s="37" t="s">
        <v>1629</v>
      </c>
      <c r="D33" s="90"/>
      <c r="E33" s="544"/>
      <c r="F33" s="37"/>
      <c r="G33" s="37"/>
      <c r="H33" s="90"/>
      <c r="I33" s="544"/>
      <c r="J33" s="37"/>
      <c r="K33" s="37"/>
      <c r="L33" s="37"/>
      <c r="M33" s="90"/>
      <c r="N33" s="394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118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27</v>
      </c>
      <c r="B34" s="37" t="s">
        <v>1630</v>
      </c>
      <c r="C34" s="37" t="s">
        <v>1631</v>
      </c>
      <c r="D34" s="90"/>
      <c r="E34" s="544"/>
      <c r="F34" s="37"/>
      <c r="G34" s="37"/>
      <c r="H34" s="90"/>
      <c r="I34" s="544"/>
      <c r="J34" s="37"/>
      <c r="K34" s="37"/>
      <c r="L34" s="37"/>
      <c r="M34" s="90"/>
      <c r="N34" s="394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5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118" t="n">
        <f aca="false">COUNTIF(E34:M34,2)+COUNTIF(E34:M34,1)+COUNTIF(E34:M34,0)</f>
        <v>0</v>
      </c>
    </row>
    <row r="35" customFormat="false" ht="15" hidden="false" customHeight="true" outlineLevel="0" collapsed="false">
      <c r="A35" s="85" t="n">
        <v>28</v>
      </c>
      <c r="B35" s="37" t="s">
        <v>1632</v>
      </c>
      <c r="C35" s="37" t="s">
        <v>1633</v>
      </c>
      <c r="D35" s="90"/>
      <c r="E35" s="546"/>
      <c r="F35" s="547"/>
      <c r="G35" s="547"/>
      <c r="H35" s="90"/>
      <c r="I35" s="546"/>
      <c r="J35" s="547"/>
      <c r="K35" s="547"/>
      <c r="L35" s="547"/>
      <c r="M35" s="90"/>
      <c r="N35" s="394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85" t="str">
        <f aca="false" t="array" ref="Q35:Q35">IF(E35&lt;&gt;"",IF(N35&lt;1.85,"Выговор",IF(N35=1.85,"Выговор",IF(AND(N35&gt;1.85,N35&lt;3),"Предупреждение",IF(AND(N35&gt;3,N35&lt;4.65),"Нормально",IF(AND(N35&gt;4.65,N35&lt;5.1,E35:M35&gt;=4),"Благодарность","Нормально"))))),"")</f>
        <v/>
      </c>
      <c r="R35" s="118" t="n">
        <f aca="false">COUNTIF(E35:M35,2)+COUNTIF(E35:M35,1)+COUNTIF(E35:M35,0)</f>
        <v>0</v>
      </c>
    </row>
    <row r="36" customFormat="false" ht="15" hidden="false" customHeight="true" outlineLevel="0" collapsed="false">
      <c r="A36" s="0" t="s">
        <v>77</v>
      </c>
      <c r="D36" s="533"/>
      <c r="E36" s="534" t="e">
        <f aca="false">AVERAGE(E8:E35)</f>
        <v>#DIV/0!</v>
      </c>
      <c r="F36" s="534" t="e">
        <f aca="false">AVERAGE(F8:F35)</f>
        <v>#DIV/0!</v>
      </c>
      <c r="G36" s="534" t="e">
        <f aca="false">AVERAGE(G8:G35)</f>
        <v>#DIV/0!</v>
      </c>
      <c r="H36" s="534" t="e">
        <f aca="false">AVERAGE(H8:H35)</f>
        <v>#DIV/0!</v>
      </c>
      <c r="I36" s="534" t="e">
        <f aca="false">AVERAGE(I8:I35)</f>
        <v>#DIV/0!</v>
      </c>
      <c r="J36" s="534" t="e">
        <f aca="false">AVERAGE(J8:J35)</f>
        <v>#DIV/0!</v>
      </c>
      <c r="K36" s="534" t="e">
        <f aca="false">AVERAGE(K8:K35)</f>
        <v>#DIV/0!</v>
      </c>
      <c r="L36" s="534" t="e">
        <f aca="false">AVERAGE(L8:L35)</f>
        <v>#DIV/0!</v>
      </c>
      <c r="M36" s="534" t="e">
        <f aca="false">AVERAGE(M8:M35)</f>
        <v>#DIV/0!</v>
      </c>
      <c r="N36" s="49"/>
      <c r="P36" s="423"/>
      <c r="Q36" s="423"/>
    </row>
    <row r="37" customFormat="false" ht="15" hidden="false" customHeight="true" outlineLevel="0" collapsed="false">
      <c r="A37" s="0" t="s">
        <v>78</v>
      </c>
      <c r="D37" s="536"/>
      <c r="E37" s="137" t="e">
        <f aca="false">(COUNTIF(E8:E35,5)+COUNTIF(E8:E35,4)+COUNTIF(E8:E35,3))/$P$42*100</f>
        <v>#DIV/0!</v>
      </c>
      <c r="F37" s="137" t="e">
        <f aca="false">(COUNTIF(F8:F35,5)+COUNTIF(F8:F35,4)+COUNTIF(F8:F35,3))/$P$42*100</f>
        <v>#DIV/0!</v>
      </c>
      <c r="G37" s="137" t="e">
        <f aca="false">(COUNTIF(G8:G35,5)+COUNTIF(G8:G35,4)+COUNTIF(G8:G35,3))/$P$42*100</f>
        <v>#DIV/0!</v>
      </c>
      <c r="H37" s="137" t="e">
        <f aca="false">(COUNTIF(H8:H35,5)+COUNTIF(H8:H35,4)+COUNTIF(H8:H35,3))/$P$42*100</f>
        <v>#DIV/0!</v>
      </c>
      <c r="I37" s="137" t="e">
        <f aca="false">(COUNTIF(I8:I35,5)+COUNTIF(I8:I35,4)+COUNTIF(I8:I35,3))/$P$42*100</f>
        <v>#DIV/0!</v>
      </c>
      <c r="J37" s="137" t="e">
        <f aca="false">(COUNTIF(J8:J35,5)+COUNTIF(J8:J35,4)+COUNTIF(J8:J35,3))/$P$42*100</f>
        <v>#DIV/0!</v>
      </c>
      <c r="K37" s="137" t="e">
        <f aca="false">(COUNTIF(K8:K35,5)+COUNTIF(K8:K35,4)+COUNTIF(K8:K35,3))/$P$42*100</f>
        <v>#DIV/0!</v>
      </c>
      <c r="L37" s="137" t="e">
        <f aca="false">(COUNTIF(L8:L35,5)+COUNTIF(L8:L35,4)+COUNTIF(L8:L35,3))/$P$42*100</f>
        <v>#DIV/0!</v>
      </c>
      <c r="M37" s="137" t="e">
        <f aca="false">(COUNTIF(M8:M35,5)+COUNTIF(M8:M35,4)+COUNTIF(M8:M35,3))/$P$42*100</f>
        <v>#DIV/0!</v>
      </c>
      <c r="N37" s="48"/>
      <c r="O37" s="49"/>
      <c r="Q37" s="423"/>
    </row>
    <row r="38" customFormat="false" ht="15" hidden="false" customHeight="true" outlineLevel="0" collapsed="false">
      <c r="D38" s="537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9"/>
      <c r="R38" s="423"/>
    </row>
    <row r="39" customFormat="false" ht="15" hidden="false" customHeight="true" outlineLevel="0" collapsed="false">
      <c r="D39" s="537"/>
      <c r="E39" s="48"/>
      <c r="F39" s="48"/>
      <c r="I39" s="48"/>
      <c r="J39" s="48"/>
      <c r="K39" s="48"/>
      <c r="L39" s="48"/>
      <c r="M39" s="48"/>
      <c r="N39" s="48"/>
      <c r="O39" s="48"/>
    </row>
    <row r="40" customFormat="false" ht="15" hidden="false" customHeight="true" outlineLevel="0" collapsed="false">
      <c r="C40" s="50" t="s">
        <v>8</v>
      </c>
      <c r="D40" s="51" t="str">
        <f aca="false">IFERROR(AVERAGE(N8:N35),"")</f>
        <v/>
      </c>
      <c r="F40" s="52" t="s">
        <v>9</v>
      </c>
      <c r="G40" s="52"/>
      <c r="H40" s="53" t="str">
        <f aca="false">IFERROR(COUNTIF(O8:O35,"Успевает")/P42*100,"")</f>
        <v/>
      </c>
      <c r="I40" s="161" t="s">
        <v>79</v>
      </c>
      <c r="J40" s="55"/>
      <c r="K40" s="55" t="str">
        <f aca="false">IFERROR(AVERAGE(P8:P35),"")</f>
        <v/>
      </c>
      <c r="N40" s="48"/>
      <c r="O40" s="48"/>
    </row>
    <row r="41" customFormat="false" ht="15" hidden="false" customHeight="true" outlineLevel="0" collapsed="false">
      <c r="D41" s="537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</row>
    <row r="42" customFormat="false" ht="15" hidden="false" customHeight="true" outlineLevel="0" collapsed="false">
      <c r="A42" s="61" t="s">
        <v>81</v>
      </c>
      <c r="B42" s="61"/>
      <c r="C42" s="61"/>
      <c r="D42" s="61"/>
      <c r="E42" s="61"/>
      <c r="F42" s="61"/>
      <c r="G42" s="61"/>
      <c r="H42" s="61"/>
      <c r="I42" s="61"/>
      <c r="J42" s="61" t="s">
        <v>82</v>
      </c>
      <c r="K42" s="61"/>
      <c r="L42" s="61"/>
      <c r="M42" s="48"/>
      <c r="N42" s="490" t="s">
        <v>80</v>
      </c>
      <c r="O42" s="490"/>
      <c r="P42" s="58" t="n">
        <f aca="false">SUM(P43,P44)</f>
        <v>0</v>
      </c>
      <c r="Q42" s="193"/>
    </row>
    <row r="43" customFormat="false" ht="15" hidden="false" customHeight="true" outlineLevel="0" collapsed="false">
      <c r="A43" s="65" t="str">
        <f aca="false">$E$6</f>
        <v> Аналитическая геометрия и линейная алгебра</v>
      </c>
      <c r="B43" s="65"/>
      <c r="C43" s="65"/>
      <c r="D43" s="65"/>
      <c r="E43" s="65"/>
      <c r="F43" s="65"/>
      <c r="G43" s="65"/>
      <c r="H43" s="65"/>
      <c r="I43" s="65"/>
      <c r="J43" s="548" t="s">
        <v>1634</v>
      </c>
      <c r="K43" s="548"/>
      <c r="L43" s="548"/>
      <c r="M43" s="48"/>
      <c r="N43" s="490" t="s">
        <v>83</v>
      </c>
      <c r="O43" s="490"/>
      <c r="P43" s="58" t="n">
        <f aca="false">COUNTIF(O8:O35,"Успевает")</f>
        <v>0</v>
      </c>
      <c r="Q43" s="64"/>
    </row>
    <row r="44" customFormat="false" ht="15" hidden="false" customHeight="true" outlineLevel="0" collapsed="false">
      <c r="A44" s="65" t="str">
        <f aca="false">$F$6</f>
        <v> Высокоуровневое программирование</v>
      </c>
      <c r="B44" s="65"/>
      <c r="C44" s="65"/>
      <c r="D44" s="65"/>
      <c r="E44" s="65"/>
      <c r="F44" s="65"/>
      <c r="G44" s="65"/>
      <c r="H44" s="65"/>
      <c r="I44" s="65"/>
      <c r="J44" s="548" t="s">
        <v>1635</v>
      </c>
      <c r="K44" s="548"/>
      <c r="L44" s="548"/>
      <c r="M44" s="48"/>
      <c r="N44" s="491" t="s">
        <v>84</v>
      </c>
      <c r="O44" s="491"/>
      <c r="P44" s="58" t="n">
        <f aca="false">COUNTIF(O8:O35,"Не успевает")</f>
        <v>0</v>
      </c>
      <c r="Q44" s="69"/>
    </row>
    <row r="45" customFormat="false" ht="15" hidden="false" customHeight="true" outlineLevel="0" collapsed="false">
      <c r="A45" s="65" t="str">
        <f aca="false">$G$6</f>
        <v> Инженерная графика</v>
      </c>
      <c r="B45" s="65"/>
      <c r="C45" s="65"/>
      <c r="D45" s="65"/>
      <c r="E45" s="65"/>
      <c r="F45" s="65"/>
      <c r="G45" s="65"/>
      <c r="H45" s="65"/>
      <c r="I45" s="65"/>
      <c r="J45" s="548" t="s">
        <v>1636</v>
      </c>
      <c r="K45" s="548"/>
      <c r="L45" s="548"/>
      <c r="M45" s="48"/>
      <c r="N45" s="491" t="s">
        <v>85</v>
      </c>
      <c r="O45" s="491"/>
      <c r="P45" s="58" t="n">
        <f aca="false">COUNTIF(Q8:Q35,"Благодарность")</f>
        <v>0</v>
      </c>
    </row>
    <row r="46" customFormat="false" ht="15" hidden="false" customHeight="true" outlineLevel="0" collapsed="false">
      <c r="A46" s="65" t="str">
        <f aca="false">$H$6</f>
        <v> Математический анализ</v>
      </c>
      <c r="B46" s="65"/>
      <c r="C46" s="65"/>
      <c r="D46" s="65"/>
      <c r="E46" s="65"/>
      <c r="F46" s="65"/>
      <c r="G46" s="65"/>
      <c r="H46" s="65"/>
      <c r="I46" s="65"/>
      <c r="J46" s="548" t="s">
        <v>1637</v>
      </c>
      <c r="K46" s="548"/>
      <c r="L46" s="548"/>
      <c r="M46" s="542"/>
      <c r="N46" s="491" t="s">
        <v>86</v>
      </c>
      <c r="O46" s="491"/>
      <c r="P46" s="58" t="n">
        <f aca="false">COUNTIF(Q8:Q35,"Нормально")</f>
        <v>0</v>
      </c>
    </row>
    <row r="47" customFormat="false" ht="15" hidden="false" customHeight="true" outlineLevel="0" collapsed="false">
      <c r="A47" s="65" t="str">
        <f aca="false">$I$6</f>
        <v>Иностранный язык</v>
      </c>
      <c r="B47" s="65"/>
      <c r="C47" s="65"/>
      <c r="D47" s="65"/>
      <c r="E47" s="65"/>
      <c r="F47" s="65"/>
      <c r="G47" s="65"/>
      <c r="H47" s="65"/>
      <c r="I47" s="65"/>
      <c r="J47" s="548" t="s">
        <v>1638</v>
      </c>
      <c r="K47" s="548"/>
      <c r="L47" s="548"/>
      <c r="M47" s="542"/>
      <c r="N47" s="491" t="s">
        <v>87</v>
      </c>
      <c r="O47" s="491"/>
      <c r="P47" s="58" t="n">
        <f aca="false">COUNTIF(Q8:Q35,"Предупреждение")</f>
        <v>0</v>
      </c>
    </row>
    <row r="48" customFormat="false" ht="15" hidden="false" customHeight="true" outlineLevel="0" collapsed="false">
      <c r="A48" s="65" t="str">
        <f aca="false">$J$6</f>
        <v> История России</v>
      </c>
      <c r="B48" s="65"/>
      <c r="C48" s="65"/>
      <c r="D48" s="65"/>
      <c r="E48" s="65"/>
      <c r="F48" s="65"/>
      <c r="G48" s="65"/>
      <c r="H48" s="65"/>
      <c r="I48" s="65"/>
      <c r="J48" s="548" t="s">
        <v>1639</v>
      </c>
      <c r="K48" s="548"/>
      <c r="L48" s="548"/>
      <c r="M48" s="542"/>
      <c r="N48" s="491" t="s">
        <v>88</v>
      </c>
      <c r="O48" s="491"/>
      <c r="P48" s="58" t="n">
        <f aca="false">COUNTIF(Q8:Q35,"Выговор")</f>
        <v>0</v>
      </c>
    </row>
    <row r="49" customFormat="false" ht="15" hidden="false" customHeight="true" outlineLevel="0" collapsed="false">
      <c r="A49" s="65" t="str">
        <f aca="false">$K$6</f>
        <v> Ознакомительная практика</v>
      </c>
      <c r="B49" s="65"/>
      <c r="C49" s="65"/>
      <c r="D49" s="65"/>
      <c r="E49" s="65"/>
      <c r="F49" s="65"/>
      <c r="G49" s="65"/>
      <c r="H49" s="65"/>
      <c r="I49" s="65"/>
      <c r="J49" s="540" t="s">
        <v>1640</v>
      </c>
      <c r="K49" s="540"/>
      <c r="L49" s="540"/>
      <c r="M49" s="542"/>
      <c r="N49" s="541" t="s">
        <v>1346</v>
      </c>
      <c r="O49" s="541"/>
      <c r="P49" s="143" t="n">
        <f aca="false">SUM(R8:R35)</f>
        <v>0</v>
      </c>
    </row>
    <row r="50" customFormat="false" ht="15" hidden="false" customHeight="true" outlineLevel="0" collapsed="false">
      <c r="A50" s="65" t="str">
        <f aca="false">$L$6</f>
        <v> Теоретическая информатика</v>
      </c>
      <c r="B50" s="65"/>
      <c r="C50" s="65"/>
      <c r="D50" s="65"/>
      <c r="E50" s="65"/>
      <c r="F50" s="65"/>
      <c r="G50" s="65"/>
      <c r="H50" s="65"/>
      <c r="I50" s="65"/>
      <c r="J50" s="540" t="s">
        <v>1641</v>
      </c>
      <c r="K50" s="540"/>
      <c r="L50" s="540"/>
      <c r="M50" s="542"/>
      <c r="N50" s="542"/>
      <c r="O50" s="542"/>
      <c r="P50" s="542"/>
    </row>
    <row r="51" customFormat="false" ht="15" hidden="false" customHeight="true" outlineLevel="0" collapsed="false">
      <c r="A51" s="65" t="str">
        <f aca="false">$M$6</f>
        <v>Физическая культура и спорт</v>
      </c>
      <c r="B51" s="65"/>
      <c r="C51" s="65"/>
      <c r="D51" s="65"/>
      <c r="E51" s="65"/>
      <c r="F51" s="65"/>
      <c r="G51" s="65"/>
      <c r="H51" s="65"/>
      <c r="I51" s="65"/>
      <c r="J51" s="540" t="s">
        <v>1642</v>
      </c>
      <c r="K51" s="540"/>
      <c r="L51" s="540"/>
      <c r="M51" s="542"/>
      <c r="N51" s="542"/>
      <c r="O51" s="542"/>
      <c r="P51" s="542"/>
    </row>
    <row r="52" customFormat="false" ht="15" hidden="false" customHeight="true" outlineLevel="0" collapsed="false">
      <c r="M52" s="50"/>
      <c r="N52" s="50"/>
    </row>
    <row r="53" customFormat="false" ht="15" hidden="false" customHeight="true" outlineLevel="0" collapsed="false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48"/>
      <c r="P53" s="48"/>
    </row>
    <row r="54" customFormat="false" ht="15" hidden="false" customHeight="true" outlineLevel="0" collapsed="false">
      <c r="A54" s="428" t="s">
        <v>405</v>
      </c>
      <c r="B54" s="455" t="s">
        <v>1643</v>
      </c>
      <c r="C54" s="455"/>
      <c r="D54" s="67"/>
      <c r="E54" s="52" t="s">
        <v>407</v>
      </c>
      <c r="F54" s="300" t="s">
        <v>1644</v>
      </c>
      <c r="G54" s="300"/>
      <c r="H54" s="300"/>
      <c r="I54" s="52"/>
      <c r="J54" s="52"/>
      <c r="K54" s="52"/>
      <c r="L54" s="50"/>
      <c r="M54" s="50"/>
      <c r="N54" s="50"/>
      <c r="O54" s="48"/>
      <c r="P54" s="48"/>
    </row>
    <row r="55" customFormat="false" ht="15" hidden="false" customHeight="true" outlineLevel="0" collapsed="false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48"/>
      <c r="P55" s="48"/>
    </row>
    <row r="56" customFormat="false" ht="15" hidden="false" customHeight="true" outlineLevel="0" collapsed="false">
      <c r="A56" s="50" t="s">
        <v>93</v>
      </c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48"/>
      <c r="P56" s="48"/>
    </row>
    <row r="57" customFormat="false" ht="15" hidden="false" customHeight="true" outlineLevel="0" collapsed="false">
      <c r="A57" s="50" t="s">
        <v>94</v>
      </c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48"/>
      <c r="P57" s="48"/>
    </row>
    <row r="58" customFormat="false" ht="15" hidden="false" customHeight="true" outlineLevel="0" collapsed="false">
      <c r="A58" s="50" t="s">
        <v>95</v>
      </c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48"/>
      <c r="P58" s="48"/>
    </row>
    <row r="59" customFormat="false" ht="15" hidden="false" customHeight="true" outlineLevel="0" collapsed="false">
      <c r="A59" s="50" t="s">
        <v>96</v>
      </c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48"/>
      <c r="P59" s="48"/>
    </row>
    <row r="60" customFormat="false" ht="15" hidden="false" customHeight="true" outlineLevel="0" collapsed="false">
      <c r="A60" s="50" t="s">
        <v>97</v>
      </c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</row>
    <row r="61" customFormat="false" ht="15" hidden="false" customHeight="true" outlineLevel="0" collapsed="false">
      <c r="A61" s="50" t="s">
        <v>98</v>
      </c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</row>
    <row r="62" customFormat="false" ht="15" hidden="false" customHeight="true" outlineLevel="0" collapsed="false">
      <c r="A62" s="50" t="s">
        <v>99</v>
      </c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</row>
    <row r="63" customFormat="false" ht="15" hidden="false" customHeight="true" outlineLevel="0" collapsed="false"/>
  </sheetData>
  <mergeCells count="41">
    <mergeCell ref="M2:N2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A42:I42"/>
    <mergeCell ref="J42:L42"/>
    <mergeCell ref="N42:O42"/>
    <mergeCell ref="A43:I43"/>
    <mergeCell ref="J43:L43"/>
    <mergeCell ref="N43:O43"/>
    <mergeCell ref="A44:I44"/>
    <mergeCell ref="J44:L44"/>
    <mergeCell ref="N44:O44"/>
    <mergeCell ref="A45:I45"/>
    <mergeCell ref="J45:L45"/>
    <mergeCell ref="N45:O45"/>
    <mergeCell ref="A46:I46"/>
    <mergeCell ref="J46:L46"/>
    <mergeCell ref="N46:O46"/>
    <mergeCell ref="A47:I47"/>
    <mergeCell ref="J47:L47"/>
    <mergeCell ref="N47:O47"/>
    <mergeCell ref="A48:I48"/>
    <mergeCell ref="J48:L48"/>
    <mergeCell ref="N48:O48"/>
    <mergeCell ref="A49:I49"/>
    <mergeCell ref="J49:L49"/>
    <mergeCell ref="N49:O49"/>
    <mergeCell ref="A50:I50"/>
    <mergeCell ref="J50:L50"/>
    <mergeCell ref="A51:I51"/>
    <mergeCell ref="J51:L51"/>
    <mergeCell ref="B54:C54"/>
  </mergeCells>
  <conditionalFormatting sqref="J4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41:N41 N40 E38:H38 E39:F39 I38:N3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25 E35:M35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6:M34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6"/>
  <sheetViews>
    <sheetView showFormulas="false" showGridLines="true" showRowColHeaders="true" showZeros="true" rightToLeft="false" tabSelected="true" showOutlineSymbols="true" defaultGridColor="true" view="normal" topLeftCell="A1" colorId="64" zoomScale="140" zoomScaleNormal="140" zoomScalePageLayoutView="100" workbookViewId="0">
      <selection pane="topLeft" activeCell="K48" activeCellId="0" sqref="K4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71"/>
    <col collapsed="false" customWidth="true" hidden="false" outlineLevel="0" max="3" min="3" style="0" width="17.86"/>
    <col collapsed="false" customWidth="true" hidden="false" outlineLevel="0" max="5" min="5" style="0" width="10"/>
    <col collapsed="false" customWidth="true" hidden="false" outlineLevel="0" max="13" min="13" style="0" width="12"/>
    <col collapsed="false" customWidth="true" hidden="false" outlineLevel="0" max="16" min="16" style="0" width="7.15"/>
    <col collapsed="false" customWidth="true" hidden="false" outlineLevel="0" max="17" min="17" style="0" width="12.86"/>
    <col collapsed="false" customWidth="true" hidden="false" outlineLevel="0" max="18" min="18" style="0" width="5.57"/>
    <col collapsed="false" customWidth="true" hidden="false" outlineLevel="0" max="19" min="19" style="0" width="4.86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 t="s">
        <v>1</v>
      </c>
      <c r="M2" s="146" t="n">
        <f aca="false">set!B4</f>
        <v>45608</v>
      </c>
      <c r="N2" s="72"/>
      <c r="O2" s="72"/>
      <c r="P2" s="72"/>
      <c r="Q2" s="75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ИУК4-41Б факультета ИУК МГТУ им. Н.Э. Баумана"</f>
        <v>Успеваемость студентов за 1 семестр 24/25 учебного года по группе ИУК4-41Б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0" t="s">
        <v>7</v>
      </c>
      <c r="J5" s="10"/>
      <c r="K5" s="10"/>
      <c r="L5" s="10"/>
      <c r="M5" s="10"/>
      <c r="N5" s="429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43.25" hidden="false" customHeight="true" outlineLevel="0" collapsed="false">
      <c r="A6" s="8"/>
      <c r="B6" s="8"/>
      <c r="C6" s="8"/>
      <c r="D6" s="9"/>
      <c r="E6" s="339" t="s">
        <v>734</v>
      </c>
      <c r="F6" s="340" t="s">
        <v>1645</v>
      </c>
      <c r="G6" s="340" t="s">
        <v>735</v>
      </c>
      <c r="H6" s="342" t="s">
        <v>736</v>
      </c>
      <c r="I6" s="405" t="s">
        <v>1646</v>
      </c>
      <c r="J6" s="340" t="s">
        <v>18</v>
      </c>
      <c r="K6" s="340" t="s">
        <v>1647</v>
      </c>
      <c r="L6" s="340" t="s">
        <v>170</v>
      </c>
      <c r="M6" s="342" t="s">
        <v>147</v>
      </c>
      <c r="N6" s="429"/>
      <c r="O6" s="13"/>
      <c r="P6" s="13"/>
      <c r="Q6" s="14"/>
      <c r="R6" s="14"/>
    </row>
    <row r="7" customFormat="false" ht="24" hidden="false" customHeight="true" outlineLevel="0" collapsed="false">
      <c r="A7" s="8"/>
      <c r="B7" s="8"/>
      <c r="C7" s="8"/>
      <c r="D7" s="9"/>
      <c r="E7" s="343" t="s">
        <v>509</v>
      </c>
      <c r="F7" s="344" t="s">
        <v>1084</v>
      </c>
      <c r="G7" s="344" t="s">
        <v>741</v>
      </c>
      <c r="H7" s="345" t="s">
        <v>22</v>
      </c>
      <c r="I7" s="343" t="s">
        <v>742</v>
      </c>
      <c r="J7" s="366" t="s">
        <v>27</v>
      </c>
      <c r="K7" s="366" t="s">
        <v>742</v>
      </c>
      <c r="L7" s="366" t="s">
        <v>175</v>
      </c>
      <c r="M7" s="346" t="s">
        <v>176</v>
      </c>
      <c r="N7" s="429"/>
      <c r="O7" s="13"/>
      <c r="P7" s="13"/>
      <c r="Q7" s="14"/>
      <c r="R7" s="14"/>
    </row>
    <row r="8" customFormat="false" ht="15" hidden="false" customHeight="true" outlineLevel="0" collapsed="false">
      <c r="A8" s="77" t="n">
        <v>1</v>
      </c>
      <c r="B8" s="77" t="s">
        <v>1648</v>
      </c>
      <c r="C8" s="77" t="s">
        <v>1649</v>
      </c>
      <c r="D8" s="549" t="n">
        <v>86</v>
      </c>
      <c r="E8" s="550" t="n">
        <v>2</v>
      </c>
      <c r="F8" s="551" t="n">
        <v>1</v>
      </c>
      <c r="G8" s="551" t="n">
        <v>1</v>
      </c>
      <c r="H8" s="552" t="n">
        <v>2</v>
      </c>
      <c r="I8" s="553" t="n">
        <v>2</v>
      </c>
      <c r="J8" s="554"/>
      <c r="K8" s="554" t="n">
        <v>4</v>
      </c>
      <c r="L8" s="554" t="n">
        <v>0</v>
      </c>
      <c r="M8" s="181" t="n">
        <v>0</v>
      </c>
      <c r="N8" s="394" t="n">
        <f aca="false">IFERROR(AVERAGE(E8:M8),"")</f>
        <v>1.5</v>
      </c>
      <c r="O8" s="84" t="str">
        <f aca="false">IF(E8&lt;&gt;"",IF(COUNTIF(E8:M8,"&lt;3"),"Не успевает","Успевает"),"")</f>
        <v>Не успевает</v>
      </c>
      <c r="P8" s="241" t="n">
        <f aca="false">IF(D8&lt;&gt;"",(30*(set!B$5)-D8)/(30*(set!B$5))*100,"")</f>
        <v>68.1481481481482</v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>Выговор</v>
      </c>
      <c r="R8" s="36" t="n">
        <f aca="false">COUNTIF(E8:M8,2)+COUNTIF(E8:M8,1)+COUNTIF(E8:M8,0)</f>
        <v>7</v>
      </c>
    </row>
    <row r="9" customFormat="false" ht="15" hidden="false" customHeight="true" outlineLevel="0" collapsed="false">
      <c r="A9" s="85" t="n">
        <v>2</v>
      </c>
      <c r="B9" s="77" t="s">
        <v>1650</v>
      </c>
      <c r="C9" s="77" t="s">
        <v>1651</v>
      </c>
      <c r="D9" s="549" t="n">
        <v>124</v>
      </c>
      <c r="E9" s="555" t="n">
        <v>0</v>
      </c>
      <c r="F9" s="556" t="n">
        <v>0</v>
      </c>
      <c r="G9" s="556" t="n">
        <v>0</v>
      </c>
      <c r="H9" s="557" t="n">
        <v>0</v>
      </c>
      <c r="I9" s="555" t="n">
        <v>0</v>
      </c>
      <c r="J9" s="556" t="n">
        <v>0</v>
      </c>
      <c r="K9" s="556" t="n">
        <v>0</v>
      </c>
      <c r="L9" s="556" t="n">
        <v>0</v>
      </c>
      <c r="M9" s="152" t="n">
        <v>0</v>
      </c>
      <c r="N9" s="394" t="n">
        <f aca="false">IFERROR(AVERAGE(E9:M9),"")</f>
        <v>0</v>
      </c>
      <c r="O9" s="84" t="str">
        <f aca="false">IF(E9&lt;&gt;"",IF(COUNTIF(E9:M9,"&lt;3"),"Не успевает","Успевает"),"")</f>
        <v>Не успевает</v>
      </c>
      <c r="P9" s="241" t="n">
        <f aca="false">IF(D9&lt;&gt;"",(30*(set!B$5)-D9)/(30*(set!B$5))*100,"")</f>
        <v>54.0740740740741</v>
      </c>
      <c r="Q9" s="7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>Выговор</v>
      </c>
      <c r="R9" s="36" t="n">
        <f aca="false">COUNTIF(E9:M9,2)+COUNTIF(E9:M9,1)+COUNTIF(E9:M9,0)</f>
        <v>9</v>
      </c>
    </row>
    <row r="10" customFormat="false" ht="15" hidden="false" customHeight="true" outlineLevel="0" collapsed="false">
      <c r="A10" s="77" t="n">
        <v>3</v>
      </c>
      <c r="B10" s="37" t="s">
        <v>1652</v>
      </c>
      <c r="C10" s="37" t="s">
        <v>1653</v>
      </c>
      <c r="D10" s="549" t="n">
        <v>2</v>
      </c>
      <c r="E10" s="555" t="n">
        <v>4</v>
      </c>
      <c r="F10" s="556" t="n">
        <v>5</v>
      </c>
      <c r="G10" s="556" t="n">
        <v>4</v>
      </c>
      <c r="H10" s="557" t="n">
        <v>4</v>
      </c>
      <c r="I10" s="555" t="n">
        <v>4</v>
      </c>
      <c r="J10" s="556" t="n">
        <v>5</v>
      </c>
      <c r="K10" s="556" t="n">
        <v>5</v>
      </c>
      <c r="L10" s="556" t="n">
        <v>5</v>
      </c>
      <c r="M10" s="152" t="n">
        <v>5</v>
      </c>
      <c r="N10" s="394" t="n">
        <f aca="false">IFERROR(AVERAGE(E10:M10),"")</f>
        <v>4.55555555555556</v>
      </c>
      <c r="O10" s="84" t="str">
        <f aca="false">IF(E10&lt;&gt;"",IF(COUNTIF(E10:M10,"&lt;3"),"Не успевает","Успевает"),"")</f>
        <v>Успевает</v>
      </c>
      <c r="P10" s="241" t="n">
        <f aca="false">IF(D10&lt;&gt;"",(30*(set!B$5)-D10)/(30*(set!B$5))*100,"")</f>
        <v>99.2592592592593</v>
      </c>
      <c r="Q10" s="7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>Нормально</v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1654</v>
      </c>
      <c r="C11" s="37" t="s">
        <v>1655</v>
      </c>
      <c r="D11" s="549" t="n">
        <v>2</v>
      </c>
      <c r="E11" s="555" t="n">
        <v>5</v>
      </c>
      <c r="F11" s="556" t="n">
        <v>5</v>
      </c>
      <c r="G11" s="556" t="n">
        <v>4</v>
      </c>
      <c r="H11" s="557" t="n">
        <v>4</v>
      </c>
      <c r="I11" s="555" t="n">
        <v>5</v>
      </c>
      <c r="J11" s="556" t="n">
        <v>5</v>
      </c>
      <c r="K11" s="556" t="n">
        <v>5</v>
      </c>
      <c r="L11" s="556" t="n">
        <v>5</v>
      </c>
      <c r="M11" s="152" t="n">
        <v>4</v>
      </c>
      <c r="N11" s="394" t="n">
        <f aca="false">IFERROR(AVERAGE(E11:M11),"")</f>
        <v>4.66666666666667</v>
      </c>
      <c r="O11" s="84" t="str">
        <f aca="false">IF(E11&lt;&gt;"",IF(COUNTIF(E11:M11,"&lt;3"),"Не успевает","Успевает"),"")</f>
        <v>Успевает</v>
      </c>
      <c r="P11" s="241" t="n">
        <f aca="false">IF(D11&lt;&gt;"",(30*(set!B$5)-D11)/(30*(set!B$5))*100,"")</f>
        <v>99.2592592592593</v>
      </c>
      <c r="Q11" s="7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>Благодарность</v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77" t="n">
        <v>5</v>
      </c>
      <c r="B12" s="37" t="s">
        <v>1656</v>
      </c>
      <c r="C12" s="37" t="s">
        <v>1657</v>
      </c>
      <c r="D12" s="549" t="n">
        <v>10</v>
      </c>
      <c r="E12" s="555" t="n">
        <v>3</v>
      </c>
      <c r="F12" s="556" t="n">
        <v>0</v>
      </c>
      <c r="G12" s="556" t="n">
        <v>1</v>
      </c>
      <c r="H12" s="557" t="n">
        <v>3</v>
      </c>
      <c r="I12" s="555" t="n">
        <v>3</v>
      </c>
      <c r="J12" s="556" t="n">
        <v>4</v>
      </c>
      <c r="K12" s="556" t="n">
        <v>2</v>
      </c>
      <c r="L12" s="556" t="n">
        <v>4</v>
      </c>
      <c r="M12" s="152" t="n">
        <v>5</v>
      </c>
      <c r="N12" s="394" t="n">
        <f aca="false">IFERROR(AVERAGE(E12:M12),"")</f>
        <v>2.77777777777778</v>
      </c>
      <c r="O12" s="84" t="str">
        <f aca="false">IF(E12&lt;&gt;"",IF(COUNTIF(E12:M12,"&lt;3"),"Не успевает","Успевает"),"")</f>
        <v>Не успевает</v>
      </c>
      <c r="P12" s="241" t="n">
        <f aca="false">IF(D12&lt;&gt;"",(30*(set!B$5)-D12)/(30*(set!B$5))*100,"")</f>
        <v>96.2962962962963</v>
      </c>
      <c r="Q12" s="7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>Предупреждение</v>
      </c>
      <c r="R12" s="36" t="n">
        <f aca="false">COUNTIF(E12:M12,2)+COUNTIF(E12:M12,1)+COUNTIF(E12:M12,0)</f>
        <v>3</v>
      </c>
    </row>
    <row r="13" customFormat="false" ht="15" hidden="false" customHeight="true" outlineLevel="0" collapsed="false">
      <c r="A13" s="85" t="n">
        <v>6</v>
      </c>
      <c r="B13" s="37" t="s">
        <v>1658</v>
      </c>
      <c r="C13" s="37" t="s">
        <v>1659</v>
      </c>
      <c r="D13" s="549" t="n">
        <v>4</v>
      </c>
      <c r="E13" s="555" t="n">
        <v>5</v>
      </c>
      <c r="F13" s="556" t="n">
        <v>5</v>
      </c>
      <c r="G13" s="556" t="n">
        <v>4</v>
      </c>
      <c r="H13" s="557" t="n">
        <v>3</v>
      </c>
      <c r="I13" s="555" t="n">
        <v>5</v>
      </c>
      <c r="J13" s="556" t="n">
        <v>5</v>
      </c>
      <c r="K13" s="556" t="n">
        <v>5</v>
      </c>
      <c r="L13" s="556" t="n">
        <v>5</v>
      </c>
      <c r="M13" s="152" t="n">
        <v>5</v>
      </c>
      <c r="N13" s="394" t="n">
        <f aca="false">IFERROR(AVERAGE(E13:M13),"")</f>
        <v>4.66666666666667</v>
      </c>
      <c r="O13" s="84" t="str">
        <f aca="false">IF(E13&lt;&gt;"",IF(COUNTIF(E13:M13,"&lt;3"),"Не успевает","Успевает"),"")</f>
        <v>Успевает</v>
      </c>
      <c r="P13" s="241" t="n">
        <f aca="false">IF(D13&lt;&gt;"",(30*(set!B$5)-D13)/(30*(set!B$5))*100,"")</f>
        <v>98.5185185185185</v>
      </c>
      <c r="Q13" s="7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>Нормально</v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77" t="n">
        <v>7</v>
      </c>
      <c r="B14" s="37" t="s">
        <v>1660</v>
      </c>
      <c r="C14" s="37" t="s">
        <v>1661</v>
      </c>
      <c r="D14" s="549" t="n">
        <v>4</v>
      </c>
      <c r="E14" s="555" t="n">
        <v>5</v>
      </c>
      <c r="F14" s="556" t="n">
        <v>5</v>
      </c>
      <c r="G14" s="556" t="n">
        <v>3</v>
      </c>
      <c r="H14" s="557" t="n">
        <v>4</v>
      </c>
      <c r="I14" s="555" t="n">
        <v>5</v>
      </c>
      <c r="J14" s="556" t="n">
        <v>5</v>
      </c>
      <c r="K14" s="556" t="n">
        <v>5</v>
      </c>
      <c r="L14" s="556" t="n">
        <v>4</v>
      </c>
      <c r="M14" s="152" t="n">
        <v>5</v>
      </c>
      <c r="N14" s="394" t="n">
        <f aca="false">IFERROR(AVERAGE(E14:M14),"")</f>
        <v>4.55555555555556</v>
      </c>
      <c r="O14" s="84" t="str">
        <f aca="false">IF(E14&lt;&gt;"",IF(COUNTIF(E14:M14,"&lt;3"),"Не успевает","Успевает"),"")</f>
        <v>Успевает</v>
      </c>
      <c r="P14" s="241" t="n">
        <f aca="false">IF(D14&lt;&gt;"",(30*(set!B$5)-D14)/(30*(set!B$5))*100,"")</f>
        <v>98.5185185185185</v>
      </c>
      <c r="Q14" s="7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>Нормально</v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1662</v>
      </c>
      <c r="C15" s="37" t="s">
        <v>1663</v>
      </c>
      <c r="D15" s="549" t="n">
        <v>38</v>
      </c>
      <c r="E15" s="555" t="n">
        <v>4</v>
      </c>
      <c r="F15" s="556" t="n">
        <v>3</v>
      </c>
      <c r="G15" s="556" t="n">
        <v>3</v>
      </c>
      <c r="H15" s="557" t="n">
        <v>4</v>
      </c>
      <c r="I15" s="555" t="n">
        <v>5</v>
      </c>
      <c r="J15" s="556" t="n">
        <v>5</v>
      </c>
      <c r="K15" s="556" t="n">
        <v>4</v>
      </c>
      <c r="L15" s="556" t="n">
        <v>3</v>
      </c>
      <c r="M15" s="152" t="n">
        <v>4</v>
      </c>
      <c r="N15" s="394" t="n">
        <f aca="false">IFERROR(AVERAGE(E15:M15),"")</f>
        <v>3.88888888888889</v>
      </c>
      <c r="O15" s="84" t="str">
        <f aca="false">IF(E15&lt;&gt;"",IF(COUNTIF(E15:M15,"&lt;3"),"Не успевает","Успевает"),"")</f>
        <v>Успевает</v>
      </c>
      <c r="P15" s="241" t="n">
        <f aca="false">IF(D15&lt;&gt;"",(30*(set!B$5)-D15)/(30*(set!B$5))*100,"")</f>
        <v>85.9259259259259</v>
      </c>
      <c r="Q15" s="7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>Нормально</v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77" t="n">
        <v>9</v>
      </c>
      <c r="B16" s="37" t="s">
        <v>1664</v>
      </c>
      <c r="C16" s="37" t="s">
        <v>1665</v>
      </c>
      <c r="D16" s="549" t="n">
        <v>18</v>
      </c>
      <c r="E16" s="555" t="n">
        <v>5</v>
      </c>
      <c r="F16" s="556" t="n">
        <v>5</v>
      </c>
      <c r="G16" s="556" t="n">
        <v>3</v>
      </c>
      <c r="H16" s="557" t="n">
        <v>4</v>
      </c>
      <c r="I16" s="555" t="n">
        <v>5</v>
      </c>
      <c r="J16" s="556" t="n">
        <v>4</v>
      </c>
      <c r="K16" s="556" t="n">
        <v>4</v>
      </c>
      <c r="L16" s="556" t="n">
        <v>4</v>
      </c>
      <c r="M16" s="152" t="n">
        <v>5</v>
      </c>
      <c r="N16" s="394" t="n">
        <f aca="false">IFERROR(AVERAGE(E16:M16),"")</f>
        <v>4.33333333333333</v>
      </c>
      <c r="O16" s="84" t="str">
        <f aca="false">IF(E16&lt;&gt;"",IF(COUNTIF(E16:M16,"&lt;3"),"Не успевает","Успевает"),"")</f>
        <v>Успевает</v>
      </c>
      <c r="P16" s="241" t="n">
        <f aca="false">IF(D16&lt;&gt;"",(30*(set!B$5)-D16)/(30*(set!B$5))*100,"")</f>
        <v>93.3333333333333</v>
      </c>
      <c r="Q16" s="7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>Нормально</v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77" t="n">
        <v>11</v>
      </c>
      <c r="B17" s="37" t="s">
        <v>1666</v>
      </c>
      <c r="C17" s="37" t="s">
        <v>1667</v>
      </c>
      <c r="D17" s="549" t="n">
        <v>2</v>
      </c>
      <c r="E17" s="555" t="n">
        <v>5</v>
      </c>
      <c r="F17" s="556" t="n">
        <v>5</v>
      </c>
      <c r="G17" s="556" t="n">
        <v>3</v>
      </c>
      <c r="H17" s="557" t="n">
        <v>4</v>
      </c>
      <c r="I17" s="555" t="n">
        <v>5</v>
      </c>
      <c r="J17" s="556" t="n">
        <v>4</v>
      </c>
      <c r="K17" s="556" t="n">
        <v>4</v>
      </c>
      <c r="L17" s="556" t="n">
        <v>4</v>
      </c>
      <c r="M17" s="152" t="n">
        <v>5</v>
      </c>
      <c r="N17" s="394" t="n">
        <f aca="false">IFERROR(AVERAGE(E17:M17),"")</f>
        <v>4.33333333333333</v>
      </c>
      <c r="O17" s="84" t="str">
        <f aca="false">IF(E17&lt;&gt;"",IF(COUNTIF(E17:M17,"&lt;3"),"Не успевает","Успевает"),"")</f>
        <v>Успевает</v>
      </c>
      <c r="P17" s="241" t="n">
        <f aca="false">IF(D17&lt;&gt;"",(30*(set!B$5)-D17)/(30*(set!B$5))*100,"")</f>
        <v>99.2592592592593</v>
      </c>
      <c r="Q17" s="7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>Нормально</v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85" t="n">
        <v>12</v>
      </c>
      <c r="B18" s="37" t="s">
        <v>1668</v>
      </c>
      <c r="C18" s="37" t="s">
        <v>1669</v>
      </c>
      <c r="D18" s="549" t="n">
        <v>92</v>
      </c>
      <c r="E18" s="555" t="n">
        <v>2</v>
      </c>
      <c r="F18" s="556" t="n">
        <v>5</v>
      </c>
      <c r="G18" s="556" t="n">
        <v>1</v>
      </c>
      <c r="H18" s="557" t="n">
        <v>4</v>
      </c>
      <c r="I18" s="555" t="n">
        <v>3</v>
      </c>
      <c r="J18" s="556"/>
      <c r="K18" s="556" t="n">
        <v>5</v>
      </c>
      <c r="L18" s="556" t="n">
        <v>4</v>
      </c>
      <c r="M18" s="152" t="n">
        <v>4</v>
      </c>
      <c r="N18" s="394" t="n">
        <f aca="false">IFERROR(AVERAGE(E18:M18),"")</f>
        <v>3.5</v>
      </c>
      <c r="O18" s="84" t="str">
        <f aca="false">IF(E18&lt;&gt;"",IF(COUNTIF(E18:M18,"&lt;3"),"Не успевает","Успевает"),"")</f>
        <v>Не успевает</v>
      </c>
      <c r="P18" s="241" t="n">
        <f aca="false">IF(D18&lt;&gt;"",(30*(set!B$5)-D18)/(30*(set!B$5))*100,"")</f>
        <v>65.9259259259259</v>
      </c>
      <c r="Q18" s="7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>Нормально</v>
      </c>
      <c r="R18" s="36" t="n">
        <f aca="false">COUNTIF(E18:M18,2)+COUNTIF(E18:M18,1)+COUNTIF(E18:M18,0)</f>
        <v>2</v>
      </c>
    </row>
    <row r="19" customFormat="false" ht="15" hidden="false" customHeight="true" outlineLevel="0" collapsed="false">
      <c r="A19" s="77" t="n">
        <v>13</v>
      </c>
      <c r="B19" s="37" t="s">
        <v>1670</v>
      </c>
      <c r="C19" s="37" t="s">
        <v>1671</v>
      </c>
      <c r="D19" s="549" t="n">
        <v>4</v>
      </c>
      <c r="E19" s="555" t="n">
        <v>5</v>
      </c>
      <c r="F19" s="556" t="n">
        <v>5</v>
      </c>
      <c r="G19" s="556" t="n">
        <v>4</v>
      </c>
      <c r="H19" s="557" t="n">
        <v>5</v>
      </c>
      <c r="I19" s="555" t="n">
        <v>5</v>
      </c>
      <c r="J19" s="556" t="n">
        <v>5</v>
      </c>
      <c r="K19" s="556" t="n">
        <v>5</v>
      </c>
      <c r="L19" s="556" t="n">
        <v>5</v>
      </c>
      <c r="M19" s="152" t="n">
        <v>5</v>
      </c>
      <c r="N19" s="394" t="n">
        <f aca="false">IFERROR(AVERAGE(E19:M19),"")</f>
        <v>4.88888888888889</v>
      </c>
      <c r="O19" s="84" t="str">
        <f aca="false">IF(E19&lt;&gt;"",IF(COUNTIF(E19:M19,"&lt;3"),"Не успевает","Успевает"),"")</f>
        <v>Успевает</v>
      </c>
      <c r="P19" s="241" t="n">
        <f aca="false">IF(D19&lt;&gt;"",(30*(set!B$5)-D19)/(30*(set!B$5))*100,"")</f>
        <v>98.5185185185185</v>
      </c>
      <c r="Q19" s="7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>Благодарность</v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85" t="n">
        <v>14</v>
      </c>
      <c r="B20" s="37" t="s">
        <v>1672</v>
      </c>
      <c r="C20" s="37" t="s">
        <v>1673</v>
      </c>
      <c r="D20" s="549" t="n">
        <v>4</v>
      </c>
      <c r="E20" s="555" t="n">
        <v>4</v>
      </c>
      <c r="F20" s="556" t="n">
        <v>5</v>
      </c>
      <c r="G20" s="556" t="n">
        <v>4</v>
      </c>
      <c r="H20" s="557" t="n">
        <v>4</v>
      </c>
      <c r="I20" s="555" t="n">
        <v>5</v>
      </c>
      <c r="J20" s="556" t="n">
        <v>5</v>
      </c>
      <c r="K20" s="556" t="n">
        <v>4</v>
      </c>
      <c r="L20" s="556" t="n">
        <v>4</v>
      </c>
      <c r="M20" s="152" t="n">
        <v>5</v>
      </c>
      <c r="N20" s="394" t="n">
        <f aca="false">IFERROR(AVERAGE(E20:M20),"")</f>
        <v>4.44444444444445</v>
      </c>
      <c r="O20" s="84" t="str">
        <f aca="false">IF(E20&lt;&gt;"",IF(COUNTIF(E20:M20,"&lt;3"),"Не успевает","Успевает"),"")</f>
        <v>Успевает</v>
      </c>
      <c r="P20" s="241" t="n">
        <f aca="false">IF(D20&lt;&gt;"",(30*(set!B$5)-D20)/(30*(set!B$5))*100,"")</f>
        <v>98.5185185185185</v>
      </c>
      <c r="Q20" s="7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>Нормально</v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77" t="n">
        <v>15</v>
      </c>
      <c r="B21" s="37" t="s">
        <v>1674</v>
      </c>
      <c r="C21" s="37" t="s">
        <v>1675</v>
      </c>
      <c r="D21" s="549" t="n">
        <v>0</v>
      </c>
      <c r="E21" s="555" t="n">
        <v>5</v>
      </c>
      <c r="F21" s="556" t="n">
        <v>5</v>
      </c>
      <c r="G21" s="556" t="n">
        <v>5</v>
      </c>
      <c r="H21" s="557" t="n">
        <v>4</v>
      </c>
      <c r="I21" s="555" t="n">
        <v>5</v>
      </c>
      <c r="J21" s="556" t="n">
        <v>5</v>
      </c>
      <c r="K21" s="556" t="n">
        <v>5</v>
      </c>
      <c r="L21" s="556" t="n">
        <v>5</v>
      </c>
      <c r="M21" s="152" t="n">
        <v>4</v>
      </c>
      <c r="N21" s="394" t="n">
        <f aca="false">IFERROR(AVERAGE(E21:M21),"")</f>
        <v>4.77777777777778</v>
      </c>
      <c r="O21" s="84" t="str">
        <f aca="false">IF(E21&lt;&gt;"",IF(COUNTIF(E21:M21,"&lt;3"),"Не успевает","Успевает"),"")</f>
        <v>Успевает</v>
      </c>
      <c r="P21" s="241" t="n">
        <f aca="false">IF(D21&lt;&gt;"",(30*(set!B$5)-D21)/(30*(set!B$5))*100,"")</f>
        <v>100</v>
      </c>
      <c r="Q21" s="7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>Благодарность</v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85" t="n">
        <v>16</v>
      </c>
      <c r="B22" s="37" t="s">
        <v>1676</v>
      </c>
      <c r="C22" s="37" t="s">
        <v>1677</v>
      </c>
      <c r="D22" s="549" t="n">
        <v>2</v>
      </c>
      <c r="E22" s="555" t="n">
        <v>5</v>
      </c>
      <c r="F22" s="556" t="n">
        <v>5</v>
      </c>
      <c r="G22" s="556" t="n">
        <v>5</v>
      </c>
      <c r="H22" s="557" t="n">
        <v>4</v>
      </c>
      <c r="I22" s="555" t="n">
        <v>5</v>
      </c>
      <c r="J22" s="556" t="n">
        <v>5</v>
      </c>
      <c r="K22" s="556" t="n">
        <v>5</v>
      </c>
      <c r="L22" s="556" t="n">
        <v>5</v>
      </c>
      <c r="M22" s="152" t="n">
        <v>4</v>
      </c>
      <c r="N22" s="394" t="n">
        <f aca="false">IFERROR(AVERAGE(E22:M22),"")</f>
        <v>4.77777777777778</v>
      </c>
      <c r="O22" s="84" t="str">
        <f aca="false">IF(E22&lt;&gt;"",IF(COUNTIF(E22:M22,"&lt;3"),"Не успевает","Успевает"),"")</f>
        <v>Успевает</v>
      </c>
      <c r="P22" s="241" t="n">
        <f aca="false">IF(D22&lt;&gt;"",(30*(set!B$5)-D22)/(30*(set!B$5))*100,"")</f>
        <v>99.2592592592593</v>
      </c>
      <c r="Q22" s="7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>Благодарность</v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77" t="n">
        <v>17</v>
      </c>
      <c r="B23" s="37" t="s">
        <v>1678</v>
      </c>
      <c r="C23" s="37" t="s">
        <v>1679</v>
      </c>
      <c r="D23" s="549" t="n">
        <v>170</v>
      </c>
      <c r="E23" s="555" t="n">
        <v>0</v>
      </c>
      <c r="F23" s="556" t="n">
        <v>0</v>
      </c>
      <c r="G23" s="556" t="n">
        <v>0</v>
      </c>
      <c r="H23" s="557" t="n">
        <v>0</v>
      </c>
      <c r="I23" s="555" t="n">
        <v>0</v>
      </c>
      <c r="J23" s="556" t="n">
        <v>0</v>
      </c>
      <c r="K23" s="556" t="n">
        <v>0</v>
      </c>
      <c r="L23" s="556" t="n">
        <v>0</v>
      </c>
      <c r="M23" s="152" t="n">
        <v>0</v>
      </c>
      <c r="N23" s="394" t="n">
        <f aca="false">IFERROR(AVERAGE(E23:M23),"")</f>
        <v>0</v>
      </c>
      <c r="O23" s="84" t="str">
        <f aca="false">IF(E23&lt;&gt;"",IF(COUNTIF(E23:M23,"&lt;3"),"Не успевает","Успевает"),"")</f>
        <v>Не успевает</v>
      </c>
      <c r="P23" s="241" t="n">
        <f aca="false">IF(D23&lt;&gt;"",(30*(set!B$5)-D23)/(30*(set!B$5))*100,"")</f>
        <v>37.037037037037</v>
      </c>
      <c r="Q23" s="7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>Выговор</v>
      </c>
      <c r="R23" s="36" t="n">
        <f aca="false">COUNTIF(E23:M23,2)+COUNTIF(E23:M23,1)+COUNTIF(E23:M23,0)</f>
        <v>9</v>
      </c>
    </row>
    <row r="24" customFormat="false" ht="15" hidden="false" customHeight="true" outlineLevel="0" collapsed="false">
      <c r="A24" s="85" t="n">
        <v>18</v>
      </c>
      <c r="B24" s="37" t="s">
        <v>1680</v>
      </c>
      <c r="C24" s="37" t="s">
        <v>1681</v>
      </c>
      <c r="D24" s="549" t="n">
        <v>26</v>
      </c>
      <c r="E24" s="555" t="n">
        <v>5</v>
      </c>
      <c r="F24" s="556" t="n">
        <v>5</v>
      </c>
      <c r="G24" s="556" t="n">
        <v>3</v>
      </c>
      <c r="H24" s="557" t="n">
        <v>2</v>
      </c>
      <c r="I24" s="555" t="n">
        <v>5</v>
      </c>
      <c r="J24" s="556" t="n">
        <v>5</v>
      </c>
      <c r="K24" s="556" t="n">
        <v>5</v>
      </c>
      <c r="L24" s="556" t="n">
        <v>5</v>
      </c>
      <c r="M24" s="152" t="n">
        <v>4</v>
      </c>
      <c r="N24" s="394" t="n">
        <f aca="false">IFERROR(AVERAGE(E24:M24),"")</f>
        <v>4.33333333333333</v>
      </c>
      <c r="O24" s="84" t="str">
        <f aca="false">IF(E24&lt;&gt;"",IF(COUNTIF(E24:M24,"&lt;3"),"Не успевает","Успевает"),"")</f>
        <v>Не успевает</v>
      </c>
      <c r="P24" s="241" t="n">
        <f aca="false">IF(D24&lt;&gt;"",(30*(set!B$5)-D24)/(30*(set!B$5))*100,"")</f>
        <v>90.3703703703704</v>
      </c>
      <c r="Q24" s="77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>Нормально</v>
      </c>
      <c r="R24" s="36" t="n">
        <f aca="false">COUNTIF(E24:M24,2)+COUNTIF(E24:M24,1)+COUNTIF(E24:M24,0)</f>
        <v>1</v>
      </c>
    </row>
    <row r="25" customFormat="false" ht="15" hidden="false" customHeight="true" outlineLevel="0" collapsed="false">
      <c r="A25" s="77" t="n">
        <v>19</v>
      </c>
      <c r="B25" s="37" t="s">
        <v>1682</v>
      </c>
      <c r="C25" s="37" t="s">
        <v>1683</v>
      </c>
      <c r="D25" s="549" t="n">
        <v>62</v>
      </c>
      <c r="E25" s="555" t="n">
        <v>2</v>
      </c>
      <c r="F25" s="556" t="n">
        <v>3</v>
      </c>
      <c r="G25" s="556" t="n">
        <v>5</v>
      </c>
      <c r="H25" s="557" t="n">
        <v>0</v>
      </c>
      <c r="I25" s="555" t="n">
        <v>5</v>
      </c>
      <c r="J25" s="556" t="n">
        <v>2</v>
      </c>
      <c r="K25" s="556" t="n">
        <v>4</v>
      </c>
      <c r="L25" s="556" t="n">
        <v>3</v>
      </c>
      <c r="M25" s="152" t="n">
        <v>3</v>
      </c>
      <c r="N25" s="394" t="n">
        <f aca="false">IFERROR(AVERAGE(E25:M25),"")</f>
        <v>3</v>
      </c>
      <c r="O25" s="84" t="str">
        <f aca="false">IF(E25&lt;&gt;"",IF(COUNTIF(E25:M25,"&lt;3"),"Не успевает","Успевает"),"")</f>
        <v>Не успевает</v>
      </c>
      <c r="P25" s="241" t="n">
        <f aca="false">IF(D25&lt;&gt;"",(30*(set!B$5)-D25)/(30*(set!B$5))*100,"")</f>
        <v>77.037037037037</v>
      </c>
      <c r="Q25" s="77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>Нормально</v>
      </c>
      <c r="R25" s="36" t="n">
        <f aca="false">COUNTIF(E25:M25,2)+COUNTIF(E25:M25,1)+COUNTIF(E25:M25,0)</f>
        <v>3</v>
      </c>
    </row>
    <row r="26" customFormat="false" ht="15" hidden="false" customHeight="true" outlineLevel="0" collapsed="false">
      <c r="A26" s="85" t="n">
        <v>20</v>
      </c>
      <c r="B26" s="37" t="s">
        <v>1684</v>
      </c>
      <c r="C26" s="37" t="s">
        <v>1685</v>
      </c>
      <c r="D26" s="549" t="n">
        <v>52</v>
      </c>
      <c r="E26" s="555" t="n">
        <v>4</v>
      </c>
      <c r="F26" s="556" t="n">
        <v>5</v>
      </c>
      <c r="G26" s="556" t="n">
        <v>2</v>
      </c>
      <c r="H26" s="557" t="n">
        <v>5</v>
      </c>
      <c r="I26" s="555" t="n">
        <v>4</v>
      </c>
      <c r="J26" s="556" t="n">
        <v>4</v>
      </c>
      <c r="K26" s="556" t="n">
        <v>5</v>
      </c>
      <c r="L26" s="556" t="n">
        <v>5</v>
      </c>
      <c r="M26" s="152" t="n">
        <v>5</v>
      </c>
      <c r="N26" s="394" t="n">
        <f aca="false">IFERROR(AVERAGE(E26:M26),"")</f>
        <v>4.33333333333333</v>
      </c>
      <c r="O26" s="84" t="str">
        <f aca="false">IF(E26&lt;&gt;"",IF(COUNTIF(E26:M26,"&lt;3"),"Не успевает","Успевает"),"")</f>
        <v>Не успевает</v>
      </c>
      <c r="P26" s="241" t="n">
        <f aca="false">IF(D26&lt;&gt;"",(30*(set!B$5)-D26)/(30*(set!B$5))*100,"")</f>
        <v>80.7407407407408</v>
      </c>
      <c r="Q26" s="77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>Нормально</v>
      </c>
      <c r="R26" s="36" t="n">
        <f aca="false">COUNTIF(E26:M26,2)+COUNTIF(E26:M26,1)+COUNTIF(E26:M26,0)</f>
        <v>1</v>
      </c>
    </row>
    <row r="27" customFormat="false" ht="15" hidden="false" customHeight="true" outlineLevel="0" collapsed="false">
      <c r="A27" s="77" t="n">
        <v>21</v>
      </c>
      <c r="B27" s="37" t="s">
        <v>1686</v>
      </c>
      <c r="C27" s="37" t="s">
        <v>1687</v>
      </c>
      <c r="D27" s="549" t="n">
        <v>6</v>
      </c>
      <c r="E27" s="555" t="n">
        <v>5</v>
      </c>
      <c r="F27" s="556" t="n">
        <v>5</v>
      </c>
      <c r="G27" s="556" t="n">
        <v>5</v>
      </c>
      <c r="H27" s="557" t="n">
        <v>4</v>
      </c>
      <c r="I27" s="555" t="n">
        <v>5</v>
      </c>
      <c r="J27" s="556" t="n">
        <v>5</v>
      </c>
      <c r="K27" s="556" t="n">
        <v>5</v>
      </c>
      <c r="L27" s="556" t="n">
        <v>5</v>
      </c>
      <c r="M27" s="152" t="n">
        <v>5</v>
      </c>
      <c r="N27" s="394" t="n">
        <f aca="false">IFERROR(AVERAGE(E27:M27),"")</f>
        <v>4.88888888888889</v>
      </c>
      <c r="O27" s="84" t="str">
        <f aca="false">IF(E27&lt;&gt;"",IF(COUNTIF(E27:M27,"&lt;3"),"Не успевает","Успевает"),"")</f>
        <v>Успевает</v>
      </c>
      <c r="P27" s="241" t="n">
        <f aca="false">IF(D27&lt;&gt;"",(30*(set!B$5)-D27)/(30*(set!B$5))*100,"")</f>
        <v>97.7777777777778</v>
      </c>
      <c r="Q27" s="77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>Благодарность</v>
      </c>
      <c r="R27" s="36" t="n">
        <f aca="false">COUNTIF(E27:M27,2)+COUNTIF(E27:M27,1)+COUNTIF(E27:M27,0)</f>
        <v>0</v>
      </c>
    </row>
    <row r="28" customFormat="false" ht="15" hidden="false" customHeight="true" outlineLevel="0" collapsed="false">
      <c r="A28" s="77" t="n">
        <v>22</v>
      </c>
      <c r="B28" s="37" t="s">
        <v>1688</v>
      </c>
      <c r="C28" s="37" t="s">
        <v>1689</v>
      </c>
      <c r="D28" s="549" t="n">
        <v>10</v>
      </c>
      <c r="E28" s="555" t="n">
        <v>4</v>
      </c>
      <c r="F28" s="556" t="n">
        <v>5</v>
      </c>
      <c r="G28" s="556" t="n">
        <v>3</v>
      </c>
      <c r="H28" s="557" t="n">
        <v>4</v>
      </c>
      <c r="I28" s="555" t="n">
        <v>5</v>
      </c>
      <c r="J28" s="556" t="n">
        <v>5</v>
      </c>
      <c r="K28" s="556" t="n">
        <v>5</v>
      </c>
      <c r="L28" s="556" t="n">
        <v>4</v>
      </c>
      <c r="M28" s="152" t="n">
        <v>2</v>
      </c>
      <c r="N28" s="394" t="n">
        <f aca="false">IFERROR(AVERAGE(E28:M28),"")</f>
        <v>4.11111111111111</v>
      </c>
      <c r="O28" s="84" t="str">
        <f aca="false">IF(E28&lt;&gt;"",IF(COUNTIF(E28:M28,"&lt;3"),"Не успевает","Успевает"),"")</f>
        <v>Не успевает</v>
      </c>
      <c r="P28" s="241" t="n">
        <f aca="false">IF(D28&lt;&gt;"",(30*(set!B$5)-D28)/(30*(set!B$5))*100,"")</f>
        <v>96.2962962962963</v>
      </c>
      <c r="Q28" s="77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>Нормально</v>
      </c>
      <c r="R28" s="36" t="n">
        <f aca="false">COUNTIF(E28:M28,2)+COUNTIF(E28:M28,1)+COUNTIF(E28:M28,0)</f>
        <v>1</v>
      </c>
    </row>
    <row r="29" customFormat="false" ht="15" hidden="false" customHeight="true" outlineLevel="0" collapsed="false">
      <c r="A29" s="85" t="n">
        <v>23</v>
      </c>
      <c r="B29" s="37" t="s">
        <v>1690</v>
      </c>
      <c r="C29" s="37" t="s">
        <v>1691</v>
      </c>
      <c r="D29" s="549" t="n">
        <v>30</v>
      </c>
      <c r="E29" s="555" t="n">
        <v>5</v>
      </c>
      <c r="F29" s="556" t="n">
        <v>3</v>
      </c>
      <c r="G29" s="556" t="n">
        <v>4</v>
      </c>
      <c r="H29" s="557" t="n">
        <v>5</v>
      </c>
      <c r="I29" s="555" t="n">
        <v>4</v>
      </c>
      <c r="J29" s="556" t="n">
        <v>5</v>
      </c>
      <c r="K29" s="556" t="n">
        <v>3</v>
      </c>
      <c r="L29" s="556" t="n">
        <v>4</v>
      </c>
      <c r="M29" s="152" t="n">
        <v>2</v>
      </c>
      <c r="N29" s="394" t="n">
        <f aca="false">IFERROR(AVERAGE(E29:M29),"")</f>
        <v>3.88888888888889</v>
      </c>
      <c r="O29" s="84" t="str">
        <f aca="false">IF(E29&lt;&gt;"",IF(COUNTIF(E29:M29,"&lt;3"),"Не успевает","Успевает"),"")</f>
        <v>Не успевает</v>
      </c>
      <c r="P29" s="241" t="n">
        <f aca="false">IF(D29&lt;&gt;"",(30*(set!B$5)-D29)/(30*(set!B$5))*100,"")</f>
        <v>88.8888888888889</v>
      </c>
      <c r="Q29" s="77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>Нормально</v>
      </c>
      <c r="R29" s="36" t="n">
        <f aca="false">COUNTIF(E29:M29,2)+COUNTIF(E29:M29,1)+COUNTIF(E29:M29,0)</f>
        <v>1</v>
      </c>
    </row>
    <row r="30" customFormat="false" ht="15" hidden="false" customHeight="true" outlineLevel="0" collapsed="false">
      <c r="A30" s="0" t="s">
        <v>77</v>
      </c>
      <c r="D30" s="558"/>
      <c r="E30" s="210" t="n">
        <f aca="false">AVERAGE(E8:E29)</f>
        <v>3.81818181818182</v>
      </c>
      <c r="F30" s="210" t="n">
        <f aca="false">AVERAGE(F8:F29)</f>
        <v>3.86363636363636</v>
      </c>
      <c r="G30" s="210" t="n">
        <f aca="false">AVERAGE(G8:G29)</f>
        <v>3.04545454545455</v>
      </c>
      <c r="H30" s="210" t="n">
        <f aca="false">AVERAGE(H8:H29)</f>
        <v>3.31818181818182</v>
      </c>
      <c r="I30" s="210" t="n">
        <f aca="false">AVERAGE(I8:I29)</f>
        <v>4.09090909090909</v>
      </c>
      <c r="J30" s="210" t="n">
        <f aca="false">AVERAGE(J8:J29)</f>
        <v>4.15</v>
      </c>
      <c r="K30" s="210" t="n">
        <f aca="false">AVERAGE(K8:K29)</f>
        <v>4.04545454545455</v>
      </c>
      <c r="L30" s="210" t="n">
        <f aca="false">AVERAGE(L8:L29)</f>
        <v>3.77272727272727</v>
      </c>
      <c r="M30" s="210" t="n">
        <f aca="false">AVERAGE(M8:M29)</f>
        <v>3.68181818181818</v>
      </c>
      <c r="N30" s="47"/>
      <c r="O30" s="423"/>
      <c r="P30" s="423"/>
    </row>
    <row r="31" customFormat="false" ht="15" hidden="false" customHeight="true" outlineLevel="0" collapsed="false">
      <c r="A31" s="0" t="s">
        <v>78</v>
      </c>
      <c r="D31" s="536"/>
      <c r="E31" s="137" t="n">
        <f aca="false">(COUNTIF(E8:E29,5)+COUNTIF(E8:E29,4)+COUNTIF(E8:E29,3))/$O$35*100</f>
        <v>77.2727272727273</v>
      </c>
      <c r="F31" s="137" t="n">
        <f aca="false">(COUNTIF(F8:F29,5)+COUNTIF(F8:F29,4)+COUNTIF(F8:F29,3))/$O$35*100</f>
        <v>81.8181818181818</v>
      </c>
      <c r="G31" s="137" t="n">
        <f aca="false">(COUNTIF(G8:G29,5)+COUNTIF(G8:G29,4)+COUNTIF(G8:G29,3))/$O$35*100</f>
        <v>72.7272727272727</v>
      </c>
      <c r="H31" s="137" t="n">
        <f aca="false">(COUNTIF(H8:H29,5)+COUNTIF(H8:H29,4)+COUNTIF(H8:H29,3))/$O$35*100</f>
        <v>77.2727272727273</v>
      </c>
      <c r="I31" s="137" t="n">
        <f aca="false">(COUNTIF(I8:I29,5)+COUNTIF(I8:I29,4)+COUNTIF(I8:I29,3))/$O$35*100</f>
        <v>86.3636363636364</v>
      </c>
      <c r="J31" s="137" t="n">
        <f aca="false">(COUNTIF(J8:J29,5)+COUNTIF(J8:J29,4)+COUNTIF(J8:J29,3))/$O$35*100</f>
        <v>77.2727272727273</v>
      </c>
      <c r="K31" s="137" t="n">
        <f aca="false">(COUNTIF(K8:K29,5)+COUNTIF(K8:K29,4)+COUNTIF(K8:K29,3))/$O$35*100</f>
        <v>86.3636363636364</v>
      </c>
      <c r="L31" s="137" t="n">
        <f aca="false">(COUNTIF(L8:L29,5)+COUNTIF(L8:L29,4)+COUNTIF(L8:L29,3))/$O$35*100</f>
        <v>86.3636363636364</v>
      </c>
      <c r="M31" s="137" t="n">
        <f aca="false">(COUNTIF(M8:M29,5)+COUNTIF(M8:M29,4)+COUNTIF(M8:M29,3))/$O$35*100</f>
        <v>77.2727272727273</v>
      </c>
      <c r="N31" s="48"/>
      <c r="O31" s="49"/>
      <c r="Q31" s="423"/>
    </row>
    <row r="32" customFormat="false" ht="15" hidden="false" customHeight="true" outlineLevel="0" collapsed="false">
      <c r="D32" s="537"/>
      <c r="E32" s="48"/>
      <c r="F32" s="48"/>
      <c r="G32" s="48"/>
      <c r="H32" s="48"/>
      <c r="I32" s="48"/>
      <c r="J32" s="48"/>
      <c r="K32" s="48"/>
      <c r="L32" s="47"/>
      <c r="M32" s="48"/>
      <c r="O32" s="423"/>
      <c r="P32" s="423"/>
    </row>
    <row r="33" customFormat="false" ht="15" hidden="false" customHeight="true" outlineLevel="0" collapsed="false">
      <c r="D33" s="74" t="s">
        <v>8</v>
      </c>
      <c r="E33" s="74"/>
      <c r="F33" s="51" t="n">
        <f aca="false">IFERROR(AVERAGE(N8:N29),"")</f>
        <v>3.73737373737374</v>
      </c>
      <c r="G33" s="74" t="s">
        <v>9</v>
      </c>
      <c r="H33" s="74"/>
      <c r="I33" s="53" t="n">
        <f aca="false">IFERROR(COUNTIF(O8:O29,"Успевает")/O35*100,"")</f>
        <v>54.5454545454545</v>
      </c>
      <c r="J33" s="54" t="s">
        <v>79</v>
      </c>
      <c r="K33" s="54"/>
      <c r="L33" s="55" t="n">
        <f aca="false">IFERROR(AVERAGE(P8:P29),"")</f>
        <v>87.4074074074074</v>
      </c>
      <c r="O33" s="423"/>
      <c r="P33" s="423"/>
    </row>
    <row r="34" customFormat="false" ht="15" hidden="false" customHeight="true" outlineLevel="0" collapsed="false">
      <c r="D34" s="537"/>
      <c r="E34" s="48"/>
      <c r="F34" s="48"/>
      <c r="G34" s="48"/>
      <c r="H34" s="48"/>
      <c r="I34" s="48"/>
      <c r="J34" s="48"/>
      <c r="K34" s="48"/>
      <c r="L34" s="47"/>
      <c r="M34" s="48"/>
    </row>
    <row r="35" customFormat="false" ht="15" hidden="false" customHeight="true" outlineLevel="0" collapsed="false">
      <c r="A35" s="61" t="s">
        <v>81</v>
      </c>
      <c r="B35" s="61"/>
      <c r="C35" s="61"/>
      <c r="D35" s="61"/>
      <c r="E35" s="61"/>
      <c r="F35" s="61"/>
      <c r="G35" s="61"/>
      <c r="H35" s="61"/>
      <c r="I35" s="61" t="s">
        <v>82</v>
      </c>
      <c r="J35" s="61"/>
      <c r="K35" s="61"/>
      <c r="L35" s="67"/>
      <c r="M35" s="490" t="s">
        <v>80</v>
      </c>
      <c r="N35" s="490"/>
      <c r="O35" s="58" t="n">
        <f aca="false">SUM(O36,O37)</f>
        <v>22</v>
      </c>
      <c r="P35" s="193"/>
    </row>
    <row r="36" customFormat="false" ht="15" hidden="false" customHeight="true" outlineLevel="0" collapsed="false">
      <c r="A36" s="65" t="str">
        <f aca="false">$E$6</f>
        <v> Основы электроники</v>
      </c>
      <c r="B36" s="65"/>
      <c r="C36" s="65"/>
      <c r="D36" s="65"/>
      <c r="E36" s="65"/>
      <c r="F36" s="65"/>
      <c r="G36" s="65"/>
      <c r="H36" s="65"/>
      <c r="I36" s="559" t="s">
        <v>1692</v>
      </c>
      <c r="J36" s="559"/>
      <c r="K36" s="559"/>
      <c r="L36" s="67"/>
      <c r="M36" s="490" t="s">
        <v>83</v>
      </c>
      <c r="N36" s="490"/>
      <c r="O36" s="58" t="n">
        <f aca="false">COUNTIF(O8:O29,"Успевает")</f>
        <v>12</v>
      </c>
      <c r="P36" s="64"/>
    </row>
    <row r="37" customFormat="false" ht="15" hidden="false" customHeight="true" outlineLevel="0" collapsed="false">
      <c r="A37" s="65" t="str">
        <f aca="false">$F$6</f>
        <v> Перспективные языки программирования</v>
      </c>
      <c r="B37" s="65"/>
      <c r="C37" s="65"/>
      <c r="D37" s="65"/>
      <c r="E37" s="65"/>
      <c r="F37" s="65"/>
      <c r="G37" s="65"/>
      <c r="H37" s="65"/>
      <c r="I37" s="559" t="s">
        <v>1693</v>
      </c>
      <c r="J37" s="559"/>
      <c r="K37" s="559"/>
      <c r="L37" s="67"/>
      <c r="M37" s="491" t="s">
        <v>84</v>
      </c>
      <c r="N37" s="491"/>
      <c r="O37" s="58" t="n">
        <f aca="false">COUNTIF(O8:O29,"Не успевает")</f>
        <v>10</v>
      </c>
      <c r="P37" s="69"/>
    </row>
    <row r="38" customFormat="false" ht="15" hidden="false" customHeight="true" outlineLevel="0" collapsed="false">
      <c r="A38" s="65" t="str">
        <f aca="false">$G$6</f>
        <v> Системное программирование</v>
      </c>
      <c r="B38" s="65"/>
      <c r="C38" s="65"/>
      <c r="D38" s="65"/>
      <c r="E38" s="65"/>
      <c r="F38" s="65"/>
      <c r="G38" s="65"/>
      <c r="H38" s="65"/>
      <c r="I38" s="559" t="s">
        <v>1642</v>
      </c>
      <c r="J38" s="559"/>
      <c r="K38" s="559"/>
      <c r="L38" s="67"/>
      <c r="M38" s="491" t="s">
        <v>85</v>
      </c>
      <c r="N38" s="491"/>
      <c r="O38" s="58" t="n">
        <f aca="false">COUNTIF(Q8:Q29,"Благодарность")</f>
        <v>5</v>
      </c>
    </row>
    <row r="39" customFormat="false" ht="15" hidden="false" customHeight="true" outlineLevel="0" collapsed="false">
      <c r="A39" s="65" t="str">
        <f aca="false">$H$6</f>
        <v> Физика</v>
      </c>
      <c r="B39" s="65"/>
      <c r="C39" s="65"/>
      <c r="D39" s="65"/>
      <c r="E39" s="65"/>
      <c r="F39" s="65"/>
      <c r="G39" s="65"/>
      <c r="H39" s="65"/>
      <c r="I39" s="559" t="s">
        <v>1694</v>
      </c>
      <c r="J39" s="559"/>
      <c r="K39" s="559"/>
      <c r="L39" s="67"/>
      <c r="M39" s="491" t="s">
        <v>86</v>
      </c>
      <c r="N39" s="491"/>
      <c r="O39" s="58" t="n">
        <f aca="false">COUNTIF(Q8:Q29,"Нормально")</f>
        <v>13</v>
      </c>
    </row>
    <row r="40" customFormat="false" ht="15" hidden="false" customHeight="true" outlineLevel="0" collapsed="false">
      <c r="A40" s="65" t="str">
        <f aca="false">$I$6</f>
        <v> Дискретная математика</v>
      </c>
      <c r="B40" s="65"/>
      <c r="C40" s="65"/>
      <c r="D40" s="65"/>
      <c r="E40" s="65"/>
      <c r="F40" s="65"/>
      <c r="G40" s="65"/>
      <c r="H40" s="65"/>
      <c r="I40" s="559" t="s">
        <v>1695</v>
      </c>
      <c r="J40" s="559"/>
      <c r="K40" s="559"/>
      <c r="L40" s="67"/>
      <c r="M40" s="491" t="s">
        <v>87</v>
      </c>
      <c r="N40" s="491"/>
      <c r="O40" s="58" t="n">
        <f aca="false">COUNTIF(Q8:Q29,"Предупреждение")</f>
        <v>1</v>
      </c>
    </row>
    <row r="41" customFormat="false" ht="15" hidden="false" customHeight="true" outlineLevel="0" collapsed="false">
      <c r="A41" s="65" t="str">
        <f aca="false">$J$6</f>
        <v>Иностранный язык</v>
      </c>
      <c r="B41" s="65"/>
      <c r="C41" s="65"/>
      <c r="D41" s="65"/>
      <c r="E41" s="65"/>
      <c r="F41" s="65"/>
      <c r="G41" s="65"/>
      <c r="H41" s="65"/>
      <c r="I41" s="559" t="s">
        <v>1696</v>
      </c>
      <c r="J41" s="559"/>
      <c r="K41" s="559"/>
      <c r="L41" s="67"/>
      <c r="M41" s="491" t="s">
        <v>88</v>
      </c>
      <c r="N41" s="491"/>
      <c r="O41" s="58" t="n">
        <f aca="false">COUNTIF(Q8:Q29,"Выговор")</f>
        <v>3</v>
      </c>
    </row>
    <row r="42" customFormat="false" ht="15" hidden="false" customHeight="true" outlineLevel="0" collapsed="false">
      <c r="A42" s="65" t="str">
        <f aca="false">$K$6</f>
        <v> Типы и структуры данных</v>
      </c>
      <c r="B42" s="65"/>
      <c r="C42" s="65"/>
      <c r="D42" s="65"/>
      <c r="E42" s="65"/>
      <c r="F42" s="65"/>
      <c r="G42" s="65"/>
      <c r="H42" s="65"/>
      <c r="I42" s="559" t="s">
        <v>1697</v>
      </c>
      <c r="J42" s="559"/>
      <c r="K42" s="559"/>
      <c r="L42" s="67"/>
      <c r="M42" s="244" t="s">
        <v>539</v>
      </c>
      <c r="N42" s="244"/>
      <c r="O42" s="186" t="n">
        <f aca="false">SUM(R8:R29)</f>
        <v>37</v>
      </c>
    </row>
    <row r="43" customFormat="false" ht="15" hidden="false" customHeight="true" outlineLevel="0" collapsed="false">
      <c r="A43" s="65" t="str">
        <f aca="false">$L$6</f>
        <v> Философия</v>
      </c>
      <c r="B43" s="65"/>
      <c r="C43" s="65"/>
      <c r="D43" s="65"/>
      <c r="E43" s="65"/>
      <c r="F43" s="65"/>
      <c r="G43" s="65"/>
      <c r="H43" s="65"/>
      <c r="I43" s="559" t="s">
        <v>1698</v>
      </c>
      <c r="J43" s="559"/>
      <c r="K43" s="559"/>
      <c r="L43" s="67"/>
    </row>
    <row r="44" customFormat="false" ht="15" hidden="false" customHeight="true" outlineLevel="0" collapsed="false">
      <c r="A44" s="65" t="str">
        <f aca="false">$M$6</f>
        <v>Физическая культура и спорт</v>
      </c>
      <c r="B44" s="65"/>
      <c r="C44" s="65"/>
      <c r="D44" s="65"/>
      <c r="E44" s="65"/>
      <c r="F44" s="65"/>
      <c r="G44" s="65"/>
      <c r="H44" s="65"/>
      <c r="I44" s="559" t="s">
        <v>1699</v>
      </c>
      <c r="J44" s="559"/>
      <c r="K44" s="559"/>
      <c r="L44" s="67"/>
      <c r="M44" s="67"/>
    </row>
    <row r="45" customFormat="false" ht="15" hidden="false" customHeight="true" outlineLevel="0" collapsed="false">
      <c r="L45" s="67"/>
    </row>
    <row r="46" customFormat="false" ht="15" hidden="false" customHeight="true" outlineLevel="0" collapsed="false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48"/>
    </row>
    <row r="47" customFormat="false" ht="15" hidden="false" customHeight="true" outlineLevel="0" collapsed="false">
      <c r="A47" s="215" t="s">
        <v>405</v>
      </c>
      <c r="B47" s="215"/>
      <c r="C47" s="187" t="s">
        <v>1700</v>
      </c>
      <c r="D47" s="187"/>
      <c r="E47" s="52" t="s">
        <v>369</v>
      </c>
      <c r="F47" s="300" t="s">
        <v>1701</v>
      </c>
      <c r="G47" s="52"/>
      <c r="H47" s="52"/>
      <c r="I47" s="52"/>
      <c r="J47" s="52"/>
      <c r="K47" s="50"/>
      <c r="L47" s="48"/>
      <c r="M47" s="48"/>
    </row>
    <row r="48" customFormat="false" ht="15" hidden="false" customHeight="true" outlineLevel="0" collapsed="false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48"/>
      <c r="M48" s="48"/>
    </row>
    <row r="49" customFormat="false" ht="15" hidden="false" customHeight="true" outlineLevel="0" collapsed="false">
      <c r="A49" s="50" t="s">
        <v>93</v>
      </c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48"/>
      <c r="M49" s="48"/>
    </row>
    <row r="50" customFormat="false" ht="15" hidden="false" customHeight="true" outlineLevel="0" collapsed="false">
      <c r="A50" s="50" t="s">
        <v>94</v>
      </c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48"/>
      <c r="M50" s="48"/>
    </row>
    <row r="51" customFormat="false" ht="15" hidden="false" customHeight="true" outlineLevel="0" collapsed="false">
      <c r="A51" s="50" t="s">
        <v>95</v>
      </c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48"/>
      <c r="M51" s="48"/>
    </row>
    <row r="52" customFormat="false" ht="15" hidden="false" customHeight="true" outlineLevel="0" collapsed="false">
      <c r="A52" s="50" t="s">
        <v>96</v>
      </c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48"/>
      <c r="M52" s="48"/>
    </row>
    <row r="53" customFormat="false" ht="15" hidden="false" customHeight="true" outlineLevel="0" collapsed="false">
      <c r="A53" s="50" t="s">
        <v>97</v>
      </c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48"/>
      <c r="M53" s="48"/>
    </row>
    <row r="54" customFormat="false" ht="15" hidden="false" customHeight="true" outlineLevel="0" collapsed="false">
      <c r="A54" s="50" t="s">
        <v>98</v>
      </c>
      <c r="B54" s="50"/>
      <c r="C54" s="50"/>
      <c r="D54" s="50"/>
      <c r="E54" s="50"/>
      <c r="F54" s="50"/>
      <c r="G54" s="50"/>
      <c r="H54" s="50"/>
      <c r="I54" s="50"/>
      <c r="J54" s="50"/>
      <c r="K54" s="50"/>
    </row>
    <row r="55" customFormat="false" ht="15" hidden="false" customHeight="true" outlineLevel="0" collapsed="false">
      <c r="A55" s="50" t="s">
        <v>99</v>
      </c>
      <c r="B55" s="50"/>
      <c r="C55" s="50"/>
      <c r="D55" s="50"/>
      <c r="E55" s="50"/>
      <c r="F55" s="50"/>
      <c r="G55" s="50"/>
      <c r="H55" s="50"/>
      <c r="I55" s="50"/>
      <c r="J55" s="50"/>
      <c r="K55" s="50"/>
    </row>
    <row r="56" customFormat="false" ht="15" hidden="false" customHeight="true" outlineLevel="0" collapsed="false"/>
  </sheetData>
  <mergeCells count="46">
    <mergeCell ref="E1:H1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D33:E33"/>
    <mergeCell ref="G33:H33"/>
    <mergeCell ref="J33:K33"/>
    <mergeCell ref="A35:H35"/>
    <mergeCell ref="I35:K35"/>
    <mergeCell ref="M35:N35"/>
    <mergeCell ref="A36:H36"/>
    <mergeCell ref="I36:K36"/>
    <mergeCell ref="M36:N36"/>
    <mergeCell ref="A37:H37"/>
    <mergeCell ref="I37:K37"/>
    <mergeCell ref="M37:N37"/>
    <mergeCell ref="A38:H38"/>
    <mergeCell ref="I38:K38"/>
    <mergeCell ref="M38:N38"/>
    <mergeCell ref="A39:H39"/>
    <mergeCell ref="I39:K39"/>
    <mergeCell ref="M39:N39"/>
    <mergeCell ref="A40:H40"/>
    <mergeCell ref="I40:K40"/>
    <mergeCell ref="M40:N40"/>
    <mergeCell ref="A41:H41"/>
    <mergeCell ref="I41:K41"/>
    <mergeCell ref="M41:N41"/>
    <mergeCell ref="A42:H42"/>
    <mergeCell ref="I42:K42"/>
    <mergeCell ref="M42:N42"/>
    <mergeCell ref="A43:H43"/>
    <mergeCell ref="I43:K43"/>
    <mergeCell ref="A44:H44"/>
    <mergeCell ref="I44:K44"/>
    <mergeCell ref="A47:B47"/>
    <mergeCell ref="C47:D47"/>
  </mergeCells>
  <conditionalFormatting sqref="I36:K36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37:J37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9:G9 I9:K9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0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8:G18 M8:M29 F16:L17 E8:L8 E9:E29 F10:G15 I10:L15 H9:H15 I18:L18 H18:H2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36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9:G29 I19:L29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30:N30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4:L34 I35:L35 E32:L32 E31:M3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9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7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C8" activeCellId="0" sqref="C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71"/>
    <col collapsed="false" customWidth="true" hidden="false" outlineLevel="0" max="3" min="3" style="0" width="19.86"/>
    <col collapsed="false" customWidth="true" hidden="false" outlineLevel="0" max="4" min="4" style="0" width="6.14"/>
    <col collapsed="false" customWidth="true" hidden="false" outlineLevel="0" max="5" min="5" style="0" width="10"/>
    <col collapsed="false" customWidth="true" hidden="false" outlineLevel="0" max="13" min="13" style="0" width="10.85"/>
    <col collapsed="false" customWidth="true" hidden="false" outlineLevel="0" max="16" min="16" style="0" width="6.85"/>
    <col collapsed="false" customWidth="true" hidden="false" outlineLevel="0" max="17" min="17" style="0" width="16.57"/>
    <col collapsed="false" customWidth="true" hidden="false" outlineLevel="0" max="18" min="18" style="0" width="4.42"/>
    <col collapsed="false" customWidth="true" hidden="false" outlineLevel="0" max="19" min="19" style="0" width="4.71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 t="s">
        <v>289</v>
      </c>
      <c r="M2" s="146" t="n">
        <f aca="false">set!B4</f>
        <v>45608</v>
      </c>
      <c r="N2" s="72"/>
      <c r="O2" s="72"/>
      <c r="P2" s="72"/>
      <c r="Q2" s="75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ИУК4-32Б факультета ИУК МГТУ им. Н.Э. Баумана"</f>
        <v>Успеваемость студентов за 1 семестр 24/25 учебного года по группе ИУК4-32Б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560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429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.45" hidden="false" customHeight="false" outlineLevel="0" collapsed="false">
      <c r="A6" s="8"/>
      <c r="B6" s="8"/>
      <c r="C6" s="8"/>
      <c r="D6" s="560"/>
      <c r="E6" s="339" t="s">
        <v>734</v>
      </c>
      <c r="F6" s="340" t="s">
        <v>1645</v>
      </c>
      <c r="G6" s="340" t="s">
        <v>735</v>
      </c>
      <c r="H6" s="342" t="s">
        <v>736</v>
      </c>
      <c r="I6" s="405" t="s">
        <v>1646</v>
      </c>
      <c r="J6" s="340" t="s">
        <v>18</v>
      </c>
      <c r="K6" s="340" t="s">
        <v>1647</v>
      </c>
      <c r="L6" s="340" t="s">
        <v>170</v>
      </c>
      <c r="M6" s="342" t="s">
        <v>147</v>
      </c>
      <c r="N6" s="429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560"/>
      <c r="E7" s="343" t="s">
        <v>509</v>
      </c>
      <c r="F7" s="344" t="s">
        <v>1084</v>
      </c>
      <c r="G7" s="344" t="s">
        <v>741</v>
      </c>
      <c r="H7" s="345" t="s">
        <v>22</v>
      </c>
      <c r="I7" s="343" t="s">
        <v>742</v>
      </c>
      <c r="J7" s="344" t="s">
        <v>27</v>
      </c>
      <c r="K7" s="344" t="s">
        <v>742</v>
      </c>
      <c r="L7" s="344" t="s">
        <v>175</v>
      </c>
      <c r="M7" s="346" t="s">
        <v>176</v>
      </c>
      <c r="N7" s="429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1702</v>
      </c>
      <c r="C8" s="25" t="s">
        <v>1703</v>
      </c>
      <c r="D8" s="561"/>
      <c r="E8" s="562"/>
      <c r="F8" s="563"/>
      <c r="G8" s="563"/>
      <c r="H8" s="564"/>
      <c r="I8" s="562"/>
      <c r="J8" s="563"/>
      <c r="K8" s="563"/>
      <c r="L8" s="563"/>
      <c r="M8" s="565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1704</v>
      </c>
      <c r="C9" s="37" t="s">
        <v>1705</v>
      </c>
      <c r="D9" s="566"/>
      <c r="E9" s="567"/>
      <c r="F9" s="563"/>
      <c r="G9" s="563"/>
      <c r="H9" s="568"/>
      <c r="I9" s="567"/>
      <c r="J9" s="475"/>
      <c r="K9" s="475"/>
      <c r="L9" s="475"/>
      <c r="M9" s="568"/>
      <c r="N9" s="394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1706</v>
      </c>
      <c r="C10" s="37" t="s">
        <v>1707</v>
      </c>
      <c r="D10" s="566"/>
      <c r="E10" s="567"/>
      <c r="F10" s="563"/>
      <c r="G10" s="563"/>
      <c r="H10" s="568"/>
      <c r="I10" s="567"/>
      <c r="J10" s="475"/>
      <c r="K10" s="475"/>
      <c r="L10" s="475"/>
      <c r="M10" s="564"/>
      <c r="N10" s="394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1708</v>
      </c>
      <c r="C11" s="37" t="s">
        <v>1709</v>
      </c>
      <c r="D11" s="566"/>
      <c r="E11" s="567"/>
      <c r="F11" s="563"/>
      <c r="G11" s="563"/>
      <c r="H11" s="568"/>
      <c r="I11" s="567"/>
      <c r="J11" s="475"/>
      <c r="K11" s="475"/>
      <c r="L11" s="475"/>
      <c r="M11" s="564"/>
      <c r="N11" s="394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1710</v>
      </c>
      <c r="C12" s="37" t="s">
        <v>1711</v>
      </c>
      <c r="D12" s="566"/>
      <c r="E12" s="567"/>
      <c r="F12" s="563"/>
      <c r="G12" s="563"/>
      <c r="H12" s="568"/>
      <c r="I12" s="567"/>
      <c r="J12" s="475"/>
      <c r="K12" s="475"/>
      <c r="L12" s="475"/>
      <c r="M12" s="564"/>
      <c r="N12" s="394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1712</v>
      </c>
      <c r="C13" s="37" t="s">
        <v>1713</v>
      </c>
      <c r="D13" s="566"/>
      <c r="E13" s="567"/>
      <c r="F13" s="563"/>
      <c r="G13" s="563"/>
      <c r="H13" s="568"/>
      <c r="I13" s="567"/>
      <c r="J13" s="475"/>
      <c r="K13" s="475"/>
      <c r="L13" s="475"/>
      <c r="M13" s="564"/>
      <c r="N13" s="394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1714</v>
      </c>
      <c r="C14" s="37" t="s">
        <v>1715</v>
      </c>
      <c r="D14" s="566"/>
      <c r="E14" s="567"/>
      <c r="F14" s="563"/>
      <c r="G14" s="563"/>
      <c r="H14" s="568"/>
      <c r="I14" s="567"/>
      <c r="J14" s="475"/>
      <c r="K14" s="475"/>
      <c r="L14" s="475"/>
      <c r="M14" s="564"/>
      <c r="N14" s="394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1716</v>
      </c>
      <c r="C15" s="37" t="s">
        <v>1717</v>
      </c>
      <c r="D15" s="566"/>
      <c r="E15" s="567"/>
      <c r="F15" s="563"/>
      <c r="G15" s="563"/>
      <c r="H15" s="568"/>
      <c r="I15" s="567"/>
      <c r="J15" s="475"/>
      <c r="K15" s="475"/>
      <c r="L15" s="475"/>
      <c r="M15" s="564"/>
      <c r="N15" s="394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1718</v>
      </c>
      <c r="C16" s="37" t="s">
        <v>1719</v>
      </c>
      <c r="D16" s="566"/>
      <c r="E16" s="567"/>
      <c r="F16" s="563"/>
      <c r="G16" s="563"/>
      <c r="H16" s="568"/>
      <c r="I16" s="567"/>
      <c r="J16" s="475"/>
      <c r="K16" s="475"/>
      <c r="L16" s="475"/>
      <c r="M16" s="564"/>
      <c r="N16" s="394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1720</v>
      </c>
      <c r="C17" s="37" t="s">
        <v>1721</v>
      </c>
      <c r="D17" s="566"/>
      <c r="E17" s="567"/>
      <c r="F17" s="563"/>
      <c r="G17" s="563"/>
      <c r="H17" s="568"/>
      <c r="I17" s="567"/>
      <c r="J17" s="475"/>
      <c r="K17" s="475"/>
      <c r="L17" s="475"/>
      <c r="M17" s="564"/>
      <c r="N17" s="394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1722</v>
      </c>
      <c r="C18" s="37" t="s">
        <v>1723</v>
      </c>
      <c r="D18" s="566"/>
      <c r="E18" s="567"/>
      <c r="F18" s="563"/>
      <c r="G18" s="563"/>
      <c r="H18" s="568"/>
      <c r="I18" s="567"/>
      <c r="J18" s="475"/>
      <c r="K18" s="475"/>
      <c r="L18" s="475"/>
      <c r="M18" s="564"/>
      <c r="N18" s="394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1724</v>
      </c>
      <c r="C19" s="37" t="s">
        <v>1725</v>
      </c>
      <c r="D19" s="566"/>
      <c r="E19" s="567"/>
      <c r="F19" s="563"/>
      <c r="G19" s="563"/>
      <c r="H19" s="568"/>
      <c r="I19" s="567"/>
      <c r="J19" s="475"/>
      <c r="K19" s="475"/>
      <c r="L19" s="475"/>
      <c r="M19" s="564"/>
      <c r="N19" s="394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1726</v>
      </c>
      <c r="C20" s="37" t="s">
        <v>1727</v>
      </c>
      <c r="D20" s="566"/>
      <c r="E20" s="567"/>
      <c r="F20" s="563"/>
      <c r="G20" s="563"/>
      <c r="H20" s="568"/>
      <c r="I20" s="567"/>
      <c r="J20" s="475"/>
      <c r="K20" s="475"/>
      <c r="L20" s="475"/>
      <c r="M20" s="564"/>
      <c r="N20" s="394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s="45" customFormat="true" ht="15" hidden="false" customHeight="true" outlineLevel="0" collapsed="false">
      <c r="A21" s="37" t="n">
        <v>14</v>
      </c>
      <c r="B21" s="37" t="s">
        <v>1728</v>
      </c>
      <c r="C21" s="37" t="s">
        <v>1729</v>
      </c>
      <c r="D21" s="566"/>
      <c r="E21" s="567"/>
      <c r="F21" s="563"/>
      <c r="G21" s="563"/>
      <c r="H21" s="568"/>
      <c r="I21" s="567"/>
      <c r="J21" s="475"/>
      <c r="K21" s="475"/>
      <c r="L21" s="475"/>
      <c r="M21" s="564"/>
      <c r="N21" s="394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1730</v>
      </c>
      <c r="C22" s="37" t="s">
        <v>1731</v>
      </c>
      <c r="D22" s="566"/>
      <c r="E22" s="567"/>
      <c r="F22" s="563"/>
      <c r="G22" s="563"/>
      <c r="H22" s="568"/>
      <c r="I22" s="567"/>
      <c r="J22" s="475"/>
      <c r="K22" s="475"/>
      <c r="L22" s="475"/>
      <c r="M22" s="564"/>
      <c r="N22" s="394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1732</v>
      </c>
      <c r="C23" s="37" t="s">
        <v>1733</v>
      </c>
      <c r="D23" s="566"/>
      <c r="E23" s="567"/>
      <c r="F23" s="563"/>
      <c r="G23" s="563"/>
      <c r="H23" s="568"/>
      <c r="I23" s="567"/>
      <c r="J23" s="475"/>
      <c r="K23" s="475"/>
      <c r="L23" s="475"/>
      <c r="M23" s="564"/>
      <c r="N23" s="394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1734</v>
      </c>
      <c r="C24" s="37" t="s">
        <v>1735</v>
      </c>
      <c r="D24" s="566"/>
      <c r="E24" s="567"/>
      <c r="F24" s="563"/>
      <c r="G24" s="563"/>
      <c r="H24" s="568"/>
      <c r="I24" s="567"/>
      <c r="J24" s="475"/>
      <c r="K24" s="475"/>
      <c r="L24" s="475"/>
      <c r="M24" s="564"/>
      <c r="N24" s="394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1736</v>
      </c>
      <c r="C25" s="37" t="s">
        <v>1737</v>
      </c>
      <c r="D25" s="566"/>
      <c r="E25" s="567"/>
      <c r="F25" s="563"/>
      <c r="G25" s="563"/>
      <c r="H25" s="568"/>
      <c r="I25" s="567"/>
      <c r="J25" s="475"/>
      <c r="K25" s="475"/>
      <c r="L25" s="475"/>
      <c r="M25" s="564"/>
      <c r="N25" s="394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1738</v>
      </c>
      <c r="C26" s="37" t="s">
        <v>1739</v>
      </c>
      <c r="D26" s="566"/>
      <c r="E26" s="567"/>
      <c r="F26" s="563"/>
      <c r="G26" s="563"/>
      <c r="H26" s="568"/>
      <c r="I26" s="567"/>
      <c r="J26" s="475"/>
      <c r="K26" s="475"/>
      <c r="L26" s="475"/>
      <c r="M26" s="564"/>
      <c r="N26" s="394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20</v>
      </c>
      <c r="B27" s="37" t="s">
        <v>1740</v>
      </c>
      <c r="C27" s="37" t="s">
        <v>1741</v>
      </c>
      <c r="D27" s="566"/>
      <c r="E27" s="567"/>
      <c r="F27" s="563"/>
      <c r="G27" s="563"/>
      <c r="H27" s="568"/>
      <c r="I27" s="567"/>
      <c r="J27" s="475"/>
      <c r="K27" s="475"/>
      <c r="L27" s="475"/>
      <c r="M27" s="564"/>
      <c r="N27" s="394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118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1742</v>
      </c>
      <c r="C28" s="37" t="s">
        <v>1743</v>
      </c>
      <c r="D28" s="566"/>
      <c r="E28" s="567"/>
      <c r="F28" s="563"/>
      <c r="G28" s="563"/>
      <c r="H28" s="568"/>
      <c r="I28" s="567"/>
      <c r="J28" s="475"/>
      <c r="K28" s="475"/>
      <c r="L28" s="475"/>
      <c r="M28" s="564"/>
      <c r="N28" s="394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118" t="n">
        <f aca="false">COUNTIF(E28:M28,2)+COUNTIF(E28:M28,1)+COUNTIF(E28:M28,0)</f>
        <v>0</v>
      </c>
    </row>
    <row r="29" customFormat="false" ht="15" hidden="false" customHeight="true" outlineLevel="0" collapsed="false">
      <c r="A29" s="37" t="n">
        <v>22</v>
      </c>
      <c r="B29" s="37" t="s">
        <v>1744</v>
      </c>
      <c r="C29" s="37" t="s">
        <v>1745</v>
      </c>
      <c r="D29" s="566"/>
      <c r="E29" s="567"/>
      <c r="F29" s="563"/>
      <c r="G29" s="563"/>
      <c r="H29" s="568"/>
      <c r="I29" s="567"/>
      <c r="J29" s="475"/>
      <c r="K29" s="475"/>
      <c r="L29" s="475"/>
      <c r="M29" s="564"/>
      <c r="N29" s="394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118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23</v>
      </c>
      <c r="B30" s="37" t="s">
        <v>1746</v>
      </c>
      <c r="C30" s="37" t="s">
        <v>1747</v>
      </c>
      <c r="D30" s="566"/>
      <c r="E30" s="567"/>
      <c r="F30" s="563"/>
      <c r="G30" s="563"/>
      <c r="H30" s="568"/>
      <c r="I30" s="567"/>
      <c r="J30" s="475"/>
      <c r="K30" s="475"/>
      <c r="L30" s="475"/>
      <c r="M30" s="564"/>
      <c r="N30" s="394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118" t="n">
        <f aca="false">COUNTIF(E30:M30,2)+COUNTIF(E30:M30,1)+COUNTIF(E30:M30,0)</f>
        <v>0</v>
      </c>
    </row>
    <row r="31" customFormat="false" ht="15" hidden="false" customHeight="true" outlineLevel="0" collapsed="false">
      <c r="A31" s="0" t="s">
        <v>77</v>
      </c>
      <c r="D31" s="569"/>
      <c r="E31" s="229" t="e">
        <f aca="false">AVERAGE(E8:E30)</f>
        <v>#DIV/0!</v>
      </c>
      <c r="F31" s="229" t="e">
        <f aca="false">AVERAGE(F8:F30)</f>
        <v>#DIV/0!</v>
      </c>
      <c r="G31" s="229" t="e">
        <f aca="false">AVERAGE(G8:G30)</f>
        <v>#DIV/0!</v>
      </c>
      <c r="H31" s="229" t="e">
        <f aca="false">AVERAGE(H8:H30)</f>
        <v>#DIV/0!</v>
      </c>
      <c r="I31" s="229" t="e">
        <f aca="false">AVERAGE(I8:I30)</f>
        <v>#DIV/0!</v>
      </c>
      <c r="J31" s="229" t="e">
        <f aca="false">AVERAGE(J8:J30)</f>
        <v>#DIV/0!</v>
      </c>
      <c r="K31" s="229" t="e">
        <f aca="false">AVERAGE(K8:K30)</f>
        <v>#DIV/0!</v>
      </c>
      <c r="L31" s="229" t="e">
        <f aca="false">AVERAGE(L8:L30)</f>
        <v>#DIV/0!</v>
      </c>
      <c r="M31" s="229" t="e">
        <f aca="false">AVERAGE(M8:M30)</f>
        <v>#DIV/0!</v>
      </c>
      <c r="N31" s="47"/>
      <c r="O31" s="423"/>
      <c r="P31" s="423"/>
    </row>
    <row r="32" customFormat="false" ht="15" hidden="false" customHeight="true" outlineLevel="0" collapsed="false">
      <c r="A32" s="0" t="s">
        <v>78</v>
      </c>
      <c r="D32" s="537"/>
      <c r="E32" s="49" t="e">
        <f aca="false">(COUNTIF(E8:E30,5)+COUNTIF(E8:E30,4)+COUNTIF(E8:E30,3))/$O$38*100</f>
        <v>#DIV/0!</v>
      </c>
      <c r="F32" s="49" t="e">
        <f aca="false">(COUNTIF(F8:F30,5)+COUNTIF(F8:F30,4)+COUNTIF(F8:F30,3))/$O$38*100</f>
        <v>#DIV/0!</v>
      </c>
      <c r="G32" s="49" t="e">
        <f aca="false">(COUNTIF(G8:G30,5)+COUNTIF(G8:G30,4)+COUNTIF(G8:G30,3))/$O$38*100</f>
        <v>#DIV/0!</v>
      </c>
      <c r="H32" s="49" t="e">
        <f aca="false">(COUNTIF(H8:H30,5)+COUNTIF(H8:H30,4)+COUNTIF(H8:H30,3))/$O$38*100</f>
        <v>#DIV/0!</v>
      </c>
      <c r="I32" s="49" t="e">
        <f aca="false">(COUNTIF(I8:I30,5)+COUNTIF(I8:I30,4)+COUNTIF(I8:I30,3))/$O$38*100</f>
        <v>#DIV/0!</v>
      </c>
      <c r="J32" s="49" t="e">
        <f aca="false">(COUNTIF(J8:J30,5)+COUNTIF(J8:J30,4)+COUNTIF(J8:J30,3))/$O$38*100</f>
        <v>#DIV/0!</v>
      </c>
      <c r="K32" s="49" t="e">
        <f aca="false">(COUNTIF(K8:K30,5)+COUNTIF(K8:K30,4)+COUNTIF(K8:K30,3))/$O$38*100</f>
        <v>#DIV/0!</v>
      </c>
      <c r="L32" s="49" t="e">
        <f aca="false">(COUNTIF(L8:L30,5)+COUNTIF(L8:L30,4)+COUNTIF(L8:L30,3))/$O$38*100</f>
        <v>#DIV/0!</v>
      </c>
      <c r="M32" s="49" t="e">
        <f aca="false">(COUNTIF(M8:M30,5)+COUNTIF(M8:M30,4)+COUNTIF(M8:M30,3))/$O$38*100</f>
        <v>#DIV/0!</v>
      </c>
      <c r="N32" s="48"/>
      <c r="O32" s="49"/>
      <c r="Q32" s="423"/>
    </row>
    <row r="33" customFormat="false" ht="15" hidden="false" customHeight="true" outlineLevel="0" collapsed="false">
      <c r="D33" s="537"/>
      <c r="E33" s="48"/>
      <c r="F33" s="48"/>
      <c r="G33" s="48"/>
      <c r="H33" s="48"/>
      <c r="I33" s="48"/>
      <c r="J33" s="48"/>
      <c r="K33" s="48"/>
      <c r="L33" s="47"/>
      <c r="M33" s="48"/>
      <c r="O33" s="423"/>
      <c r="P33" s="423"/>
    </row>
    <row r="34" customFormat="false" ht="15" hidden="false" customHeight="true" outlineLevel="0" collapsed="false">
      <c r="D34" s="537"/>
      <c r="E34" s="48"/>
      <c r="F34" s="48"/>
      <c r="G34" s="48"/>
      <c r="H34" s="48"/>
      <c r="I34" s="48"/>
      <c r="J34" s="48"/>
      <c r="M34" s="48"/>
      <c r="O34" s="423"/>
      <c r="P34" s="423"/>
    </row>
    <row r="35" customFormat="false" ht="15" hidden="false" customHeight="true" outlineLevel="0" collapsed="false">
      <c r="C35" s="50" t="s">
        <v>8</v>
      </c>
      <c r="D35" s="51" t="str">
        <f aca="false">IFERROR(AVERAGE(N8:N30),"")</f>
        <v/>
      </c>
      <c r="E35" s="74" t="s">
        <v>9</v>
      </c>
      <c r="F35" s="74"/>
      <c r="G35" s="53" t="str">
        <f aca="false">IFERROR(COUNTIF(O8:O30,"Успевает")/O38*100,"")</f>
        <v/>
      </c>
      <c r="H35" s="54" t="s">
        <v>79</v>
      </c>
      <c r="I35" s="54"/>
      <c r="J35" s="55" t="str">
        <f aca="false">IFERROR(AVERAGE(P8:P30),"")</f>
        <v/>
      </c>
      <c r="L35" s="47"/>
      <c r="M35" s="48"/>
      <c r="O35" s="423"/>
      <c r="P35" s="423"/>
    </row>
    <row r="36" customFormat="false" ht="15" hidden="false" customHeight="true" outlineLevel="0" collapsed="false">
      <c r="D36" s="537"/>
      <c r="E36" s="48"/>
      <c r="F36" s="48"/>
      <c r="G36" s="48"/>
      <c r="H36" s="48"/>
      <c r="I36" s="48"/>
      <c r="J36" s="48"/>
      <c r="K36" s="48"/>
      <c r="L36" s="47"/>
      <c r="M36" s="48"/>
      <c r="O36" s="423"/>
      <c r="P36" s="423"/>
    </row>
    <row r="37" customFormat="false" ht="15" hidden="false" customHeight="true" outlineLevel="0" collapsed="false">
      <c r="A37" s="570" t="s">
        <v>81</v>
      </c>
      <c r="B37" s="570"/>
      <c r="C37" s="570"/>
      <c r="D37" s="570"/>
      <c r="E37" s="570"/>
      <c r="F37" s="570"/>
      <c r="G37" s="570"/>
      <c r="H37" s="570"/>
      <c r="I37" s="570"/>
      <c r="J37" s="570" t="s">
        <v>82</v>
      </c>
      <c r="K37" s="570"/>
      <c r="L37" s="570"/>
      <c r="M37" s="49"/>
      <c r="N37" s="423"/>
      <c r="O37" s="423"/>
    </row>
    <row r="38" customFormat="false" ht="15" hidden="false" customHeight="true" outlineLevel="0" collapsed="false">
      <c r="A38" s="571" t="str">
        <f aca="false">$E$6</f>
        <v> Основы электроники</v>
      </c>
      <c r="B38" s="571"/>
      <c r="C38" s="571"/>
      <c r="D38" s="571"/>
      <c r="E38" s="571"/>
      <c r="F38" s="571"/>
      <c r="G38" s="571"/>
      <c r="H38" s="571"/>
      <c r="I38" s="571"/>
      <c r="J38" s="572"/>
      <c r="K38" s="572"/>
      <c r="L38" s="572"/>
      <c r="M38" s="490" t="s">
        <v>80</v>
      </c>
      <c r="N38" s="490"/>
      <c r="O38" s="58" t="n">
        <f aca="false">SUM(O39,O40)</f>
        <v>0</v>
      </c>
      <c r="P38" s="193"/>
    </row>
    <row r="39" customFormat="false" ht="15" hidden="false" customHeight="true" outlineLevel="0" collapsed="false">
      <c r="A39" s="571" t="str">
        <f aca="false">$F$6</f>
        <v> Перспективные языки программирования</v>
      </c>
      <c r="B39" s="571"/>
      <c r="C39" s="571"/>
      <c r="D39" s="571"/>
      <c r="E39" s="571"/>
      <c r="F39" s="571"/>
      <c r="G39" s="571"/>
      <c r="H39" s="571"/>
      <c r="I39" s="571"/>
      <c r="J39" s="572"/>
      <c r="K39" s="572"/>
      <c r="L39" s="572"/>
      <c r="M39" s="490" t="s">
        <v>83</v>
      </c>
      <c r="N39" s="490"/>
      <c r="O39" s="58" t="n">
        <f aca="false">COUNTIF(O8:O30,"Успевает")</f>
        <v>0</v>
      </c>
      <c r="P39" s="64"/>
    </row>
    <row r="40" customFormat="false" ht="15" hidden="false" customHeight="true" outlineLevel="0" collapsed="false">
      <c r="A40" s="571" t="str">
        <f aca="false">$G$6</f>
        <v> Системное программирование</v>
      </c>
      <c r="B40" s="571"/>
      <c r="C40" s="571"/>
      <c r="D40" s="571"/>
      <c r="E40" s="571"/>
      <c r="F40" s="571"/>
      <c r="G40" s="571"/>
      <c r="H40" s="571"/>
      <c r="I40" s="571"/>
      <c r="J40" s="572"/>
      <c r="K40" s="572"/>
      <c r="L40" s="572"/>
      <c r="M40" s="491" t="s">
        <v>84</v>
      </c>
      <c r="N40" s="491"/>
      <c r="O40" s="58" t="n">
        <f aca="false">COUNTIF(O8:O30,"Не успевает")</f>
        <v>0</v>
      </c>
      <c r="P40" s="69"/>
    </row>
    <row r="41" customFormat="false" ht="15" hidden="false" customHeight="true" outlineLevel="0" collapsed="false">
      <c r="A41" s="571" t="str">
        <f aca="false">$H$6</f>
        <v> Физика</v>
      </c>
      <c r="B41" s="571"/>
      <c r="C41" s="571"/>
      <c r="D41" s="571"/>
      <c r="E41" s="571"/>
      <c r="F41" s="571"/>
      <c r="G41" s="571"/>
      <c r="H41" s="571"/>
      <c r="I41" s="571"/>
      <c r="J41" s="572"/>
      <c r="K41" s="572"/>
      <c r="L41" s="572"/>
      <c r="M41" s="491" t="s">
        <v>85</v>
      </c>
      <c r="N41" s="491"/>
      <c r="O41" s="58" t="n">
        <f aca="false">COUNTIF(Q8:Q30,"Благодарность")</f>
        <v>0</v>
      </c>
    </row>
    <row r="42" customFormat="false" ht="15" hidden="false" customHeight="true" outlineLevel="0" collapsed="false">
      <c r="A42" s="571" t="str">
        <f aca="false">$I$6</f>
        <v> Дискретная математика</v>
      </c>
      <c r="B42" s="571"/>
      <c r="C42" s="571"/>
      <c r="D42" s="571"/>
      <c r="E42" s="571"/>
      <c r="F42" s="571"/>
      <c r="G42" s="571"/>
      <c r="H42" s="571"/>
      <c r="I42" s="571"/>
      <c r="J42" s="572"/>
      <c r="K42" s="572"/>
      <c r="L42" s="572"/>
      <c r="M42" s="491" t="s">
        <v>86</v>
      </c>
      <c r="N42" s="491"/>
      <c r="O42" s="58" t="n">
        <f aca="false">COUNTIF(Q8:Q30,"Нормально")</f>
        <v>0</v>
      </c>
    </row>
    <row r="43" customFormat="false" ht="15" hidden="false" customHeight="true" outlineLevel="0" collapsed="false">
      <c r="A43" s="571" t="str">
        <f aca="false">$J$6</f>
        <v>Иностранный язык</v>
      </c>
      <c r="B43" s="571"/>
      <c r="C43" s="571"/>
      <c r="D43" s="571"/>
      <c r="E43" s="571"/>
      <c r="F43" s="571"/>
      <c r="G43" s="571"/>
      <c r="H43" s="571"/>
      <c r="I43" s="571"/>
      <c r="J43" s="572"/>
      <c r="K43" s="572"/>
      <c r="L43" s="572"/>
      <c r="M43" s="491" t="s">
        <v>87</v>
      </c>
      <c r="N43" s="491"/>
      <c r="O43" s="58" t="n">
        <f aca="false">COUNTIF(Q8:Q30,"Предупреждение")</f>
        <v>0</v>
      </c>
    </row>
    <row r="44" customFormat="false" ht="15" hidden="false" customHeight="true" outlineLevel="0" collapsed="false">
      <c r="A44" s="571" t="str">
        <f aca="false">$K$6</f>
        <v> Типы и структуры данных</v>
      </c>
      <c r="B44" s="571"/>
      <c r="C44" s="571"/>
      <c r="D44" s="571"/>
      <c r="E44" s="571"/>
      <c r="F44" s="571"/>
      <c r="G44" s="571"/>
      <c r="H44" s="571"/>
      <c r="I44" s="571"/>
      <c r="J44" s="572"/>
      <c r="K44" s="572"/>
      <c r="L44" s="572"/>
      <c r="M44" s="491" t="s">
        <v>88</v>
      </c>
      <c r="N44" s="491"/>
      <c r="O44" s="58" t="n">
        <f aca="false">COUNTIF(Q8:Q30,"Выговор")</f>
        <v>0</v>
      </c>
    </row>
    <row r="45" customFormat="false" ht="15" hidden="false" customHeight="true" outlineLevel="0" collapsed="false">
      <c r="A45" s="571" t="str">
        <f aca="false">$L$6</f>
        <v> Философия</v>
      </c>
      <c r="B45" s="571"/>
      <c r="C45" s="571"/>
      <c r="D45" s="571"/>
      <c r="E45" s="571"/>
      <c r="F45" s="571"/>
      <c r="G45" s="571"/>
      <c r="H45" s="571"/>
      <c r="I45" s="571"/>
      <c r="J45" s="572"/>
      <c r="K45" s="572"/>
      <c r="L45" s="572"/>
      <c r="M45" s="541" t="s">
        <v>1346</v>
      </c>
      <c r="N45" s="541"/>
      <c r="O45" s="143" t="n">
        <f aca="false">SUM(R8:R30)</f>
        <v>0</v>
      </c>
    </row>
    <row r="46" customFormat="false" ht="15" hidden="false" customHeight="true" outlineLevel="0" collapsed="false">
      <c r="A46" s="571" t="str">
        <f aca="false">$M$6</f>
        <v>Физическая культура и спорт</v>
      </c>
      <c r="B46" s="571"/>
      <c r="C46" s="571"/>
      <c r="D46" s="571"/>
      <c r="E46" s="571"/>
      <c r="F46" s="571"/>
      <c r="G46" s="571"/>
      <c r="H46" s="571"/>
      <c r="I46" s="571"/>
      <c r="J46" s="572"/>
      <c r="K46" s="572"/>
      <c r="L46" s="572"/>
      <c r="M46" s="193"/>
      <c r="N46" s="193"/>
      <c r="O46" s="193"/>
      <c r="P46" s="193"/>
    </row>
    <row r="47" customFormat="false" ht="15" hidden="false" customHeight="true" outlineLevel="0" collapsed="false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48"/>
    </row>
    <row r="48" customFormat="false" ht="15" hidden="false" customHeight="true" outlineLevel="0" collapsed="false">
      <c r="A48" s="215" t="s">
        <v>405</v>
      </c>
      <c r="B48" s="215"/>
      <c r="C48" s="187" t="s">
        <v>1748</v>
      </c>
      <c r="D48" s="187"/>
      <c r="E48" s="52" t="s">
        <v>407</v>
      </c>
      <c r="F48" s="300" t="s">
        <v>1749</v>
      </c>
      <c r="G48" s="52"/>
      <c r="H48" s="52"/>
      <c r="I48" s="52"/>
      <c r="J48" s="52"/>
      <c r="K48" s="50"/>
      <c r="L48" s="48"/>
      <c r="M48" s="48"/>
    </row>
    <row r="49" customFormat="false" ht="15" hidden="false" customHeight="true" outlineLevel="0" collapsed="false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48"/>
      <c r="M49" s="48"/>
    </row>
    <row r="50" customFormat="false" ht="15" hidden="false" customHeight="true" outlineLevel="0" collapsed="false">
      <c r="A50" s="50" t="s">
        <v>93</v>
      </c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48"/>
      <c r="M50" s="48"/>
    </row>
    <row r="51" customFormat="false" ht="15" hidden="false" customHeight="true" outlineLevel="0" collapsed="false">
      <c r="A51" s="50" t="s">
        <v>94</v>
      </c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48"/>
      <c r="M51" s="48"/>
    </row>
    <row r="52" customFormat="false" ht="15" hidden="false" customHeight="true" outlineLevel="0" collapsed="false">
      <c r="A52" s="50" t="s">
        <v>95</v>
      </c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48"/>
      <c r="M52" s="48"/>
    </row>
    <row r="53" customFormat="false" ht="15" hidden="false" customHeight="true" outlineLevel="0" collapsed="false">
      <c r="A53" s="50" t="s">
        <v>96</v>
      </c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48"/>
      <c r="M53" s="48"/>
    </row>
    <row r="54" customFormat="false" ht="15" hidden="false" customHeight="true" outlineLevel="0" collapsed="false">
      <c r="A54" s="50" t="s">
        <v>97</v>
      </c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48"/>
      <c r="M54" s="48"/>
    </row>
    <row r="55" customFormat="false" ht="15" hidden="false" customHeight="true" outlineLevel="0" collapsed="false">
      <c r="A55" s="50" t="s">
        <v>98</v>
      </c>
      <c r="B55" s="50"/>
      <c r="C55" s="50"/>
      <c r="D55" s="50"/>
      <c r="E55" s="50"/>
      <c r="F55" s="50"/>
      <c r="G55" s="50"/>
      <c r="H55" s="50"/>
      <c r="I55" s="50"/>
      <c r="J55" s="50"/>
      <c r="K55" s="50"/>
    </row>
    <row r="56" customFormat="false" ht="15" hidden="false" customHeight="true" outlineLevel="0" collapsed="false">
      <c r="A56" s="50" t="s">
        <v>99</v>
      </c>
      <c r="B56" s="50"/>
      <c r="C56" s="50"/>
      <c r="D56" s="50"/>
      <c r="E56" s="50"/>
      <c r="F56" s="50"/>
      <c r="G56" s="50"/>
      <c r="H56" s="50"/>
      <c r="I56" s="50"/>
      <c r="J56" s="50"/>
      <c r="K56" s="50"/>
    </row>
    <row r="57" customFormat="false" ht="15" hidden="false" customHeight="true" outlineLevel="0" collapsed="false"/>
  </sheetData>
  <mergeCells count="45">
    <mergeCell ref="E1:H1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E35:F35"/>
    <mergeCell ref="H35:I35"/>
    <mergeCell ref="A37:I37"/>
    <mergeCell ref="J37:L37"/>
    <mergeCell ref="A38:I38"/>
    <mergeCell ref="J38:L38"/>
    <mergeCell ref="M38:N38"/>
    <mergeCell ref="A39:I39"/>
    <mergeCell ref="J39:L39"/>
    <mergeCell ref="M39:N39"/>
    <mergeCell ref="A40:I40"/>
    <mergeCell ref="J40:L40"/>
    <mergeCell ref="M40:N40"/>
    <mergeCell ref="A41:I41"/>
    <mergeCell ref="J41:L41"/>
    <mergeCell ref="M41:N41"/>
    <mergeCell ref="A42:I42"/>
    <mergeCell ref="J42:L42"/>
    <mergeCell ref="M42:N42"/>
    <mergeCell ref="A43:I43"/>
    <mergeCell ref="J43:L43"/>
    <mergeCell ref="M43:N43"/>
    <mergeCell ref="A44:I44"/>
    <mergeCell ref="J44:L44"/>
    <mergeCell ref="M44:N44"/>
    <mergeCell ref="A45:I45"/>
    <mergeCell ref="J45:L45"/>
    <mergeCell ref="M45:N45"/>
    <mergeCell ref="A46:I46"/>
    <mergeCell ref="J46:L46"/>
    <mergeCell ref="A48:B48"/>
    <mergeCell ref="C48:D48"/>
  </mergeCells>
  <conditionalFormatting sqref="J39:K39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3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38:L38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L20 E22:L3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L2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6:L36 L35 E33:L33 E34:J34 E32:M32 E37:J37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20 M22:M30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1:M3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7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C8" activeCellId="0" sqref="C8"/>
    </sheetView>
  </sheetViews>
  <sheetFormatPr defaultColWidth="8.6796875" defaultRowHeight="15" zeroHeight="false" outlineLevelRow="0" outlineLevelCol="0"/>
  <cols>
    <col collapsed="false" customWidth="true" hidden="false" outlineLevel="0" max="3" min="3" style="0" width="17.86"/>
    <col collapsed="false" customWidth="true" hidden="false" outlineLevel="0" max="13" min="13" style="0" width="10.14"/>
  </cols>
  <sheetData>
    <row r="1" customFormat="false" ht="19.7" hidden="false" customHeight="false" outlineLevel="0" collapsed="false">
      <c r="A1" s="45"/>
      <c r="B1" s="45"/>
      <c r="C1" s="45"/>
      <c r="D1" s="45"/>
      <c r="E1" s="1" t="s">
        <v>0</v>
      </c>
      <c r="F1" s="1"/>
      <c r="G1" s="1"/>
      <c r="H1" s="1"/>
      <c r="I1" s="2" t="n">
        <f aca="false">set!B1</f>
        <v>2</v>
      </c>
      <c r="J1" s="3"/>
      <c r="K1" s="45"/>
      <c r="L1" s="45"/>
      <c r="M1" s="45"/>
      <c r="N1" s="45"/>
      <c r="O1" s="45"/>
      <c r="P1" s="45"/>
      <c r="Q1" s="45"/>
      <c r="R1" s="45"/>
    </row>
    <row r="2" customFormat="false" ht="15" hidden="false" customHeight="false" outlineLevel="0" collapsed="false">
      <c r="A2" s="45"/>
      <c r="B2" s="45"/>
      <c r="C2" s="45"/>
      <c r="D2" s="45"/>
      <c r="E2" s="45"/>
      <c r="F2" s="45"/>
      <c r="G2" s="45"/>
      <c r="H2" s="4"/>
      <c r="I2" s="45"/>
      <c r="J2" s="45"/>
      <c r="K2" s="45"/>
      <c r="L2" s="72" t="s">
        <v>289</v>
      </c>
      <c r="M2" s="146" t="n">
        <f aca="false">set!B4</f>
        <v>45608</v>
      </c>
      <c r="N2" s="72"/>
      <c r="O2" s="72"/>
      <c r="P2" s="72"/>
      <c r="Q2" s="75"/>
      <c r="R2" s="45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ИУК4-33Б факультета ИУК МГТУ им. Н.Э. Баумана"</f>
        <v>Успеваемость студентов за 1 семестр 24/25 учебного года по группе ИУК4-33Б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45"/>
      <c r="Q3" s="45"/>
      <c r="R3" s="45"/>
    </row>
    <row r="4" customFormat="false" ht="15" hidden="false" customHeight="false" outlineLevel="0" collapsed="false">
      <c r="A4" s="45"/>
      <c r="B4" s="7"/>
      <c r="C4" s="7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560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429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.45" hidden="false" customHeight="false" outlineLevel="0" collapsed="false">
      <c r="A6" s="8"/>
      <c r="B6" s="8"/>
      <c r="C6" s="8"/>
      <c r="D6" s="560"/>
      <c r="E6" s="339" t="s">
        <v>734</v>
      </c>
      <c r="F6" s="340" t="s">
        <v>1645</v>
      </c>
      <c r="G6" s="340" t="s">
        <v>735</v>
      </c>
      <c r="H6" s="342" t="s">
        <v>736</v>
      </c>
      <c r="I6" s="405" t="s">
        <v>1646</v>
      </c>
      <c r="J6" s="340" t="s">
        <v>18</v>
      </c>
      <c r="K6" s="340" t="s">
        <v>1647</v>
      </c>
      <c r="L6" s="340" t="s">
        <v>170</v>
      </c>
      <c r="M6" s="342" t="s">
        <v>147</v>
      </c>
      <c r="N6" s="429"/>
      <c r="O6" s="13"/>
      <c r="P6" s="13"/>
      <c r="Q6" s="14"/>
      <c r="R6" s="14"/>
    </row>
    <row r="7" customFormat="false" ht="17.9" hidden="false" customHeight="false" outlineLevel="0" collapsed="false">
      <c r="A7" s="8"/>
      <c r="B7" s="8"/>
      <c r="C7" s="8"/>
      <c r="D7" s="560"/>
      <c r="E7" s="343" t="s">
        <v>509</v>
      </c>
      <c r="F7" s="344" t="s">
        <v>1084</v>
      </c>
      <c r="G7" s="344" t="s">
        <v>741</v>
      </c>
      <c r="H7" s="345" t="s">
        <v>22</v>
      </c>
      <c r="I7" s="343" t="s">
        <v>742</v>
      </c>
      <c r="J7" s="344" t="s">
        <v>27</v>
      </c>
      <c r="K7" s="344" t="s">
        <v>742</v>
      </c>
      <c r="L7" s="344" t="s">
        <v>175</v>
      </c>
      <c r="M7" s="346" t="s">
        <v>176</v>
      </c>
      <c r="N7" s="429"/>
      <c r="O7" s="13"/>
      <c r="P7" s="13"/>
      <c r="Q7" s="14"/>
      <c r="R7" s="14"/>
    </row>
    <row r="8" customFormat="false" ht="15" hidden="false" customHeight="false" outlineLevel="0" collapsed="false">
      <c r="A8" s="77" t="n">
        <v>1</v>
      </c>
      <c r="B8" s="77" t="s">
        <v>1750</v>
      </c>
      <c r="C8" s="77" t="s">
        <v>1751</v>
      </c>
      <c r="D8" s="561"/>
      <c r="E8" s="562"/>
      <c r="F8" s="562"/>
      <c r="G8" s="562"/>
      <c r="H8" s="573"/>
      <c r="I8" s="562"/>
      <c r="J8" s="562"/>
      <c r="K8" s="562"/>
      <c r="L8" s="562"/>
      <c r="M8" s="564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false" outlineLevel="0" collapsed="false">
      <c r="A9" s="37" t="n">
        <v>2</v>
      </c>
      <c r="B9" s="37" t="s">
        <v>1752</v>
      </c>
      <c r="C9" s="37" t="s">
        <v>1753</v>
      </c>
      <c r="D9" s="561"/>
      <c r="E9" s="562"/>
      <c r="F9" s="562"/>
      <c r="G9" s="562"/>
      <c r="H9" s="564"/>
      <c r="I9" s="562"/>
      <c r="J9" s="562"/>
      <c r="K9" s="562"/>
      <c r="L9" s="562"/>
      <c r="M9" s="564"/>
      <c r="N9" s="394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false" outlineLevel="0" collapsed="false">
      <c r="A10" s="77" t="n">
        <v>3</v>
      </c>
      <c r="B10" s="37" t="s">
        <v>1754</v>
      </c>
      <c r="C10" s="37" t="s">
        <v>1755</v>
      </c>
      <c r="D10" s="561"/>
      <c r="E10" s="562"/>
      <c r="F10" s="562"/>
      <c r="G10" s="562"/>
      <c r="H10" s="564"/>
      <c r="I10" s="562"/>
      <c r="J10" s="562"/>
      <c r="K10" s="562"/>
      <c r="L10" s="562"/>
      <c r="M10" s="564"/>
      <c r="N10" s="394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false" outlineLevel="0" collapsed="false">
      <c r="A11" s="37" t="n">
        <v>4</v>
      </c>
      <c r="B11" s="37" t="s">
        <v>1756</v>
      </c>
      <c r="C11" s="37" t="s">
        <v>1757</v>
      </c>
      <c r="D11" s="561"/>
      <c r="E11" s="562"/>
      <c r="F11" s="562"/>
      <c r="G11" s="562"/>
      <c r="H11" s="564"/>
      <c r="I11" s="562"/>
      <c r="J11" s="562"/>
      <c r="K11" s="562"/>
      <c r="L11" s="562"/>
      <c r="M11" s="564"/>
      <c r="N11" s="394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false" outlineLevel="0" collapsed="false">
      <c r="A12" s="77" t="n">
        <v>5</v>
      </c>
      <c r="B12" s="37" t="s">
        <v>1758</v>
      </c>
      <c r="C12" s="37" t="s">
        <v>1759</v>
      </c>
      <c r="D12" s="561"/>
      <c r="E12" s="562"/>
      <c r="F12" s="562"/>
      <c r="G12" s="562"/>
      <c r="H12" s="564"/>
      <c r="I12" s="562"/>
      <c r="J12" s="562"/>
      <c r="K12" s="562"/>
      <c r="L12" s="562"/>
      <c r="M12" s="564"/>
      <c r="N12" s="394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false" outlineLevel="0" collapsed="false">
      <c r="A13" s="37" t="n">
        <v>6</v>
      </c>
      <c r="B13" s="37" t="s">
        <v>1760</v>
      </c>
      <c r="C13" s="37" t="s">
        <v>1761</v>
      </c>
      <c r="D13" s="561"/>
      <c r="E13" s="562"/>
      <c r="F13" s="562"/>
      <c r="G13" s="562"/>
      <c r="H13" s="564"/>
      <c r="I13" s="562"/>
      <c r="J13" s="562"/>
      <c r="K13" s="562"/>
      <c r="L13" s="562"/>
      <c r="M13" s="564"/>
      <c r="N13" s="394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false" outlineLevel="0" collapsed="false">
      <c r="A14" s="77" t="n">
        <v>7</v>
      </c>
      <c r="B14" s="37" t="s">
        <v>1762</v>
      </c>
      <c r="C14" s="37" t="s">
        <v>1763</v>
      </c>
      <c r="D14" s="561"/>
      <c r="E14" s="562"/>
      <c r="F14" s="562"/>
      <c r="G14" s="562"/>
      <c r="H14" s="564"/>
      <c r="I14" s="562"/>
      <c r="J14" s="562"/>
      <c r="K14" s="562"/>
      <c r="L14" s="562"/>
      <c r="M14" s="564"/>
      <c r="N14" s="394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false" outlineLevel="0" collapsed="false">
      <c r="A15" s="37" t="n">
        <v>8</v>
      </c>
      <c r="B15" s="37" t="s">
        <v>1764</v>
      </c>
      <c r="C15" s="37" t="s">
        <v>1765</v>
      </c>
      <c r="D15" s="561"/>
      <c r="E15" s="562"/>
      <c r="F15" s="562"/>
      <c r="G15" s="562"/>
      <c r="H15" s="564"/>
      <c r="I15" s="562"/>
      <c r="J15" s="562"/>
      <c r="K15" s="562"/>
      <c r="L15" s="562"/>
      <c r="M15" s="564"/>
      <c r="N15" s="394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false" outlineLevel="0" collapsed="false">
      <c r="A16" s="77" t="n">
        <v>9</v>
      </c>
      <c r="B16" s="37" t="s">
        <v>1766</v>
      </c>
      <c r="C16" s="37" t="s">
        <v>1767</v>
      </c>
      <c r="D16" s="561"/>
      <c r="E16" s="562"/>
      <c r="F16" s="562"/>
      <c r="G16" s="562"/>
      <c r="H16" s="564"/>
      <c r="I16" s="562"/>
      <c r="J16" s="562"/>
      <c r="K16" s="562"/>
      <c r="L16" s="562"/>
      <c r="M16" s="564"/>
      <c r="N16" s="394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false" outlineLevel="0" collapsed="false">
      <c r="A17" s="37" t="n">
        <v>10</v>
      </c>
      <c r="B17" s="37" t="s">
        <v>1768</v>
      </c>
      <c r="C17" s="37" t="s">
        <v>1769</v>
      </c>
      <c r="D17" s="561"/>
      <c r="E17" s="562"/>
      <c r="F17" s="562"/>
      <c r="G17" s="562"/>
      <c r="H17" s="564"/>
      <c r="I17" s="562"/>
      <c r="J17" s="562"/>
      <c r="K17" s="562"/>
      <c r="L17" s="562"/>
      <c r="M17" s="564"/>
      <c r="N17" s="394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false" outlineLevel="0" collapsed="false">
      <c r="A18" s="37" t="n">
        <v>11</v>
      </c>
      <c r="B18" s="37" t="s">
        <v>1770</v>
      </c>
      <c r="C18" s="37" t="s">
        <v>1771</v>
      </c>
      <c r="D18" s="561"/>
      <c r="E18" s="562"/>
      <c r="F18" s="562"/>
      <c r="G18" s="562"/>
      <c r="H18" s="564"/>
      <c r="I18" s="562"/>
      <c r="J18" s="562"/>
      <c r="K18" s="562"/>
      <c r="L18" s="562"/>
      <c r="M18" s="564"/>
      <c r="N18" s="394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false" outlineLevel="0" collapsed="false">
      <c r="A19" s="77" t="n">
        <v>12</v>
      </c>
      <c r="B19" s="37" t="s">
        <v>1772</v>
      </c>
      <c r="C19" s="37" t="s">
        <v>1773</v>
      </c>
      <c r="D19" s="561"/>
      <c r="E19" s="562"/>
      <c r="F19" s="562"/>
      <c r="G19" s="562"/>
      <c r="H19" s="564"/>
      <c r="I19" s="562"/>
      <c r="J19" s="562"/>
      <c r="K19" s="562"/>
      <c r="L19" s="562"/>
      <c r="M19" s="564"/>
      <c r="N19" s="394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false" outlineLevel="0" collapsed="false">
      <c r="A20" s="37" t="n">
        <v>13</v>
      </c>
      <c r="B20" s="37" t="s">
        <v>1774</v>
      </c>
      <c r="C20" s="37" t="s">
        <v>1775</v>
      </c>
      <c r="D20" s="561"/>
      <c r="E20" s="562"/>
      <c r="F20" s="562"/>
      <c r="G20" s="562"/>
      <c r="H20" s="564"/>
      <c r="I20" s="562"/>
      <c r="J20" s="562"/>
      <c r="K20" s="562"/>
      <c r="L20" s="562"/>
      <c r="M20" s="564"/>
      <c r="N20" s="394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false" outlineLevel="0" collapsed="false">
      <c r="A21" s="77" t="n">
        <v>14</v>
      </c>
      <c r="B21" s="37" t="s">
        <v>1776</v>
      </c>
      <c r="C21" s="37" t="s">
        <v>1777</v>
      </c>
      <c r="D21" s="561"/>
      <c r="E21" s="562"/>
      <c r="F21" s="562"/>
      <c r="G21" s="562"/>
      <c r="H21" s="564"/>
      <c r="I21" s="562"/>
      <c r="J21" s="562"/>
      <c r="K21" s="562"/>
      <c r="L21" s="562"/>
      <c r="M21" s="564"/>
      <c r="N21" s="394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false" outlineLevel="0" collapsed="false">
      <c r="A22" s="37" t="n">
        <v>15</v>
      </c>
      <c r="B22" s="37" t="s">
        <v>1778</v>
      </c>
      <c r="C22" s="37" t="s">
        <v>1779</v>
      </c>
      <c r="D22" s="561"/>
      <c r="E22" s="562"/>
      <c r="F22" s="562"/>
      <c r="G22" s="562"/>
      <c r="H22" s="564"/>
      <c r="I22" s="562"/>
      <c r="J22" s="562"/>
      <c r="K22" s="562"/>
      <c r="L22" s="562"/>
      <c r="M22" s="564"/>
      <c r="N22" s="394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false" outlineLevel="0" collapsed="false">
      <c r="A23" s="77" t="n">
        <v>16</v>
      </c>
      <c r="B23" s="37" t="s">
        <v>1780</v>
      </c>
      <c r="C23" s="37" t="s">
        <v>1781</v>
      </c>
      <c r="D23" s="561"/>
      <c r="E23" s="562"/>
      <c r="F23" s="562"/>
      <c r="G23" s="562"/>
      <c r="H23" s="564"/>
      <c r="I23" s="562"/>
      <c r="J23" s="562"/>
      <c r="K23" s="562"/>
      <c r="L23" s="562"/>
      <c r="M23" s="564"/>
      <c r="N23" s="394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false" outlineLevel="0" collapsed="false">
      <c r="A24" s="37" t="n">
        <v>17</v>
      </c>
      <c r="B24" s="37" t="s">
        <v>1782</v>
      </c>
      <c r="C24" s="37" t="s">
        <v>1783</v>
      </c>
      <c r="D24" s="561"/>
      <c r="E24" s="562"/>
      <c r="F24" s="562"/>
      <c r="G24" s="562"/>
      <c r="H24" s="564"/>
      <c r="I24" s="562"/>
      <c r="J24" s="562"/>
      <c r="K24" s="562"/>
      <c r="L24" s="562"/>
      <c r="M24" s="564"/>
      <c r="N24" s="394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customFormat="false" ht="15" hidden="false" customHeight="false" outlineLevel="0" collapsed="false">
      <c r="A25" s="77" t="n">
        <v>18</v>
      </c>
      <c r="B25" s="37" t="s">
        <v>1784</v>
      </c>
      <c r="C25" s="37" t="s">
        <v>1785</v>
      </c>
      <c r="D25" s="561"/>
      <c r="E25" s="562"/>
      <c r="F25" s="562"/>
      <c r="G25" s="562"/>
      <c r="H25" s="564"/>
      <c r="I25" s="562"/>
      <c r="J25" s="562"/>
      <c r="K25" s="562"/>
      <c r="L25" s="562"/>
      <c r="M25" s="564"/>
      <c r="N25" s="394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customFormat="false" ht="15" hidden="false" customHeight="false" outlineLevel="0" collapsed="false">
      <c r="A26" s="37" t="n">
        <v>19</v>
      </c>
      <c r="B26" s="37" t="s">
        <v>1786</v>
      </c>
      <c r="C26" s="37" t="s">
        <v>1787</v>
      </c>
      <c r="D26" s="561"/>
      <c r="E26" s="562"/>
      <c r="F26" s="562"/>
      <c r="G26" s="562"/>
      <c r="H26" s="564"/>
      <c r="I26" s="562"/>
      <c r="J26" s="562"/>
      <c r="K26" s="562"/>
      <c r="L26" s="562"/>
      <c r="M26" s="564"/>
      <c r="N26" s="394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customFormat="false" ht="15" hidden="false" customHeight="false" outlineLevel="0" collapsed="false">
      <c r="A27" s="45" t="s">
        <v>77</v>
      </c>
      <c r="B27" s="45"/>
      <c r="C27" s="45"/>
      <c r="D27" s="569"/>
      <c r="E27" s="229" t="e">
        <f aca="false">AVERAGE(E8:E26)</f>
        <v>#DIV/0!</v>
      </c>
      <c r="F27" s="229" t="e">
        <f aca="false">AVERAGE(F8:F26)</f>
        <v>#DIV/0!</v>
      </c>
      <c r="G27" s="229" t="e">
        <f aca="false">AVERAGE(G8:G26)</f>
        <v>#DIV/0!</v>
      </c>
      <c r="H27" s="229" t="e">
        <f aca="false">AVERAGE(H8:H26)</f>
        <v>#DIV/0!</v>
      </c>
      <c r="I27" s="229" t="e">
        <f aca="false">AVERAGE(I8:I26)</f>
        <v>#DIV/0!</v>
      </c>
      <c r="J27" s="229" t="e">
        <f aca="false">AVERAGE(J8:J26)</f>
        <v>#DIV/0!</v>
      </c>
      <c r="K27" s="229" t="e">
        <f aca="false">AVERAGE(K8:K26)</f>
        <v>#DIV/0!</v>
      </c>
      <c r="L27" s="229" t="e">
        <f aca="false">AVERAGE(L8:L26)</f>
        <v>#DIV/0!</v>
      </c>
      <c r="M27" s="229" t="e">
        <f aca="false">AVERAGE(M8:M26)</f>
        <v>#DIV/0!</v>
      </c>
      <c r="N27" s="47"/>
      <c r="O27" s="423"/>
      <c r="P27" s="423"/>
      <c r="Q27" s="45"/>
      <c r="R27" s="45"/>
    </row>
    <row r="28" customFormat="false" ht="15" hidden="false" customHeight="false" outlineLevel="0" collapsed="false">
      <c r="A28" s="45" t="s">
        <v>78</v>
      </c>
      <c r="B28" s="45"/>
      <c r="C28" s="45"/>
      <c r="D28" s="537"/>
      <c r="E28" s="49" t="e">
        <f aca="false">(COUNTIF(E8:E26,5)+COUNTIF(E8:E26,4)+COUNTIF(E8:E26,3))/$O$34*100</f>
        <v>#DIV/0!</v>
      </c>
      <c r="F28" s="49" t="e">
        <f aca="false">(COUNTIF(F8:F26,5)+COUNTIF(F8:F26,4)+COUNTIF(F8:F26,3))/$O$34*100</f>
        <v>#DIV/0!</v>
      </c>
      <c r="G28" s="49" t="e">
        <f aca="false">(COUNTIF(G8:G26,5)+COUNTIF(G8:G26,4)+COUNTIF(G8:G26,3))/$O$34*100</f>
        <v>#DIV/0!</v>
      </c>
      <c r="H28" s="49" t="e">
        <f aca="false">(COUNTIF(H8:H26,5)+COUNTIF(H8:H26,4)+COUNTIF(H8:H26,3))/$O$34*100</f>
        <v>#DIV/0!</v>
      </c>
      <c r="I28" s="49" t="e">
        <f aca="false">(COUNTIF(I8:I26,5)+COUNTIF(I8:I26,4)+COUNTIF(I8:I26,3))/$O$34*100</f>
        <v>#DIV/0!</v>
      </c>
      <c r="J28" s="49" t="e">
        <f aca="false">(COUNTIF(J8:J26,5)+COUNTIF(J8:J26,4)+COUNTIF(J8:J26,3))/$O$34*100</f>
        <v>#DIV/0!</v>
      </c>
      <c r="K28" s="49" t="e">
        <f aca="false">(COUNTIF(K8:K26,5)+COUNTIF(K8:K26,4)+COUNTIF(K8:K26,3))/$O$34*100</f>
        <v>#DIV/0!</v>
      </c>
      <c r="L28" s="49" t="e">
        <f aca="false">(COUNTIF(L8:L26,5)+COUNTIF(L8:L26,4)+COUNTIF(L8:L26,3))/$O$34*100</f>
        <v>#DIV/0!</v>
      </c>
      <c r="M28" s="49" t="e">
        <f aca="false">(COUNTIF(M8:M26,5)+COUNTIF(M8:M26,4)+COUNTIF(M8:M26,3))/$O$34*100</f>
        <v>#DIV/0!</v>
      </c>
      <c r="N28" s="48"/>
      <c r="O28" s="49"/>
      <c r="P28" s="45"/>
      <c r="Q28" s="423"/>
      <c r="R28" s="45"/>
    </row>
    <row r="29" customFormat="false" ht="15" hidden="false" customHeight="false" outlineLevel="0" collapsed="false">
      <c r="A29" s="45"/>
      <c r="B29" s="45"/>
      <c r="C29" s="45"/>
      <c r="D29" s="537"/>
      <c r="E29" s="48"/>
      <c r="F29" s="48"/>
      <c r="G29" s="48"/>
      <c r="H29" s="48"/>
      <c r="I29" s="48"/>
      <c r="J29" s="48"/>
      <c r="K29" s="48"/>
      <c r="L29" s="47"/>
      <c r="M29" s="48"/>
      <c r="N29" s="45"/>
      <c r="O29" s="423"/>
      <c r="P29" s="423"/>
      <c r="Q29" s="45"/>
      <c r="R29" s="45"/>
    </row>
    <row r="30" customFormat="false" ht="15" hidden="false" customHeight="false" outlineLevel="0" collapsed="false">
      <c r="A30" s="45"/>
      <c r="B30" s="45"/>
      <c r="C30" s="45"/>
      <c r="D30" s="537"/>
      <c r="E30" s="48"/>
      <c r="F30" s="48"/>
      <c r="G30" s="48"/>
      <c r="H30" s="48"/>
      <c r="I30" s="48"/>
      <c r="J30" s="48"/>
      <c r="K30" s="45"/>
      <c r="L30" s="45"/>
      <c r="M30" s="48"/>
      <c r="N30" s="45"/>
      <c r="O30" s="423"/>
      <c r="P30" s="423"/>
      <c r="Q30" s="45"/>
      <c r="R30" s="45"/>
    </row>
    <row r="31" customFormat="false" ht="25.35" hidden="false" customHeight="true" outlineLevel="0" collapsed="false">
      <c r="A31" s="45"/>
      <c r="B31" s="45"/>
      <c r="C31" s="50" t="s">
        <v>8</v>
      </c>
      <c r="D31" s="51" t="str">
        <f aca="false">IFERROR(AVERAGE(N8:N26),"")</f>
        <v/>
      </c>
      <c r="E31" s="74" t="s">
        <v>9</v>
      </c>
      <c r="F31" s="74"/>
      <c r="G31" s="53" t="str">
        <f aca="false">IFERROR(COUNTIF(O8:O26,"Успевает")/O34*100,"")</f>
        <v/>
      </c>
      <c r="H31" s="54" t="s">
        <v>79</v>
      </c>
      <c r="I31" s="54"/>
      <c r="J31" s="55" t="str">
        <f aca="false">IFERROR(AVERAGE(P8:P26),"")</f>
        <v/>
      </c>
      <c r="K31" s="45"/>
      <c r="L31" s="47"/>
      <c r="M31" s="48"/>
      <c r="N31" s="45"/>
      <c r="O31" s="423"/>
      <c r="P31" s="423"/>
      <c r="Q31" s="45"/>
      <c r="R31" s="45"/>
    </row>
    <row r="32" customFormat="false" ht="15" hidden="false" customHeight="false" outlineLevel="0" collapsed="false">
      <c r="A32" s="45"/>
      <c r="B32" s="45"/>
      <c r="C32" s="45"/>
      <c r="D32" s="537"/>
      <c r="E32" s="48"/>
      <c r="F32" s="48"/>
      <c r="G32" s="48"/>
      <c r="H32" s="48"/>
      <c r="I32" s="48"/>
      <c r="J32" s="48"/>
      <c r="K32" s="48"/>
      <c r="L32" s="47"/>
      <c r="M32" s="48"/>
      <c r="N32" s="45"/>
      <c r="O32" s="423"/>
      <c r="P32" s="423"/>
      <c r="Q32" s="45"/>
      <c r="R32" s="45"/>
    </row>
    <row r="33" customFormat="false" ht="15" hidden="false" customHeight="false" outlineLevel="0" collapsed="false">
      <c r="A33" s="570" t="s">
        <v>81</v>
      </c>
      <c r="B33" s="570"/>
      <c r="C33" s="570"/>
      <c r="D33" s="570"/>
      <c r="E33" s="570"/>
      <c r="F33" s="570"/>
      <c r="G33" s="570"/>
      <c r="H33" s="570"/>
      <c r="I33" s="570"/>
      <c r="J33" s="570" t="s">
        <v>82</v>
      </c>
      <c r="K33" s="570"/>
      <c r="L33" s="570"/>
      <c r="M33" s="49"/>
      <c r="N33" s="423"/>
      <c r="O33" s="423"/>
      <c r="P33" s="45"/>
      <c r="Q33" s="45"/>
      <c r="R33" s="45"/>
    </row>
    <row r="34" customFormat="false" ht="15" hidden="false" customHeight="true" outlineLevel="0" collapsed="false">
      <c r="A34" s="571" t="str">
        <f aca="false">$E$6</f>
        <v> Основы электроники</v>
      </c>
      <c r="B34" s="571"/>
      <c r="C34" s="571"/>
      <c r="D34" s="571"/>
      <c r="E34" s="571"/>
      <c r="F34" s="571"/>
      <c r="G34" s="571"/>
      <c r="H34" s="571"/>
      <c r="I34" s="571"/>
      <c r="J34" s="572"/>
      <c r="K34" s="572"/>
      <c r="L34" s="572"/>
      <c r="M34" s="490" t="s">
        <v>80</v>
      </c>
      <c r="N34" s="490"/>
      <c r="O34" s="58" t="n">
        <f aca="false">SUM(O35,O36)</f>
        <v>0</v>
      </c>
      <c r="P34" s="193"/>
      <c r="Q34" s="45"/>
      <c r="R34" s="45"/>
    </row>
    <row r="35" customFormat="false" ht="15" hidden="false" customHeight="true" outlineLevel="0" collapsed="false">
      <c r="A35" s="571" t="str">
        <f aca="false">$F$6</f>
        <v> Перспективные языки программирования</v>
      </c>
      <c r="B35" s="571"/>
      <c r="C35" s="571"/>
      <c r="D35" s="571"/>
      <c r="E35" s="571"/>
      <c r="F35" s="571"/>
      <c r="G35" s="571"/>
      <c r="H35" s="571"/>
      <c r="I35" s="571"/>
      <c r="J35" s="572"/>
      <c r="K35" s="572"/>
      <c r="L35" s="572"/>
      <c r="M35" s="490" t="s">
        <v>83</v>
      </c>
      <c r="N35" s="490"/>
      <c r="O35" s="58" t="n">
        <f aca="false">COUNTIF(O8:O26,"Успевает")</f>
        <v>0</v>
      </c>
      <c r="P35" s="64"/>
      <c r="Q35" s="45"/>
      <c r="R35" s="45"/>
    </row>
    <row r="36" customFormat="false" ht="15" hidden="false" customHeight="false" outlineLevel="0" collapsed="false">
      <c r="A36" s="571" t="str">
        <f aca="false">$G$6</f>
        <v> Системное программирование</v>
      </c>
      <c r="B36" s="571"/>
      <c r="C36" s="571"/>
      <c r="D36" s="571"/>
      <c r="E36" s="571"/>
      <c r="F36" s="571"/>
      <c r="G36" s="571"/>
      <c r="H36" s="571"/>
      <c r="I36" s="571"/>
      <c r="J36" s="572"/>
      <c r="K36" s="572"/>
      <c r="L36" s="572"/>
      <c r="M36" s="491" t="s">
        <v>84</v>
      </c>
      <c r="N36" s="491"/>
      <c r="O36" s="58" t="n">
        <f aca="false">COUNTIF(O8:O26,"Не успевает")</f>
        <v>0</v>
      </c>
      <c r="P36" s="69"/>
      <c r="Q36" s="45"/>
      <c r="R36" s="45"/>
    </row>
    <row r="37" customFormat="false" ht="15" hidden="false" customHeight="false" outlineLevel="0" collapsed="false">
      <c r="A37" s="571" t="str">
        <f aca="false">$H$6</f>
        <v> Физика</v>
      </c>
      <c r="B37" s="571"/>
      <c r="C37" s="571"/>
      <c r="D37" s="571"/>
      <c r="E37" s="571"/>
      <c r="F37" s="571"/>
      <c r="G37" s="571"/>
      <c r="H37" s="571"/>
      <c r="I37" s="571"/>
      <c r="J37" s="572"/>
      <c r="K37" s="572"/>
      <c r="L37" s="572"/>
      <c r="M37" s="491" t="s">
        <v>85</v>
      </c>
      <c r="N37" s="491"/>
      <c r="O37" s="58" t="n">
        <f aca="false">COUNTIF(Q8:Q26,"Благодарность")</f>
        <v>0</v>
      </c>
      <c r="P37" s="45"/>
      <c r="Q37" s="45"/>
      <c r="R37" s="45"/>
    </row>
    <row r="38" customFormat="false" ht="15" hidden="false" customHeight="false" outlineLevel="0" collapsed="false">
      <c r="A38" s="571" t="str">
        <f aca="false">$I$6</f>
        <v> Дискретная математика</v>
      </c>
      <c r="B38" s="571"/>
      <c r="C38" s="571"/>
      <c r="D38" s="571"/>
      <c r="E38" s="571"/>
      <c r="F38" s="571"/>
      <c r="G38" s="571"/>
      <c r="H38" s="571"/>
      <c r="I38" s="571"/>
      <c r="J38" s="572"/>
      <c r="K38" s="572"/>
      <c r="L38" s="572"/>
      <c r="M38" s="491" t="s">
        <v>86</v>
      </c>
      <c r="N38" s="491"/>
      <c r="O38" s="58" t="n">
        <f aca="false">COUNTIF(Q8:Q26,"Нормально")</f>
        <v>0</v>
      </c>
      <c r="P38" s="45"/>
      <c r="Q38" s="45"/>
      <c r="R38" s="45"/>
    </row>
    <row r="39" customFormat="false" ht="15" hidden="false" customHeight="false" outlineLevel="0" collapsed="false">
      <c r="A39" s="571" t="str">
        <f aca="false">$J$6</f>
        <v>Иностранный язык</v>
      </c>
      <c r="B39" s="571"/>
      <c r="C39" s="571"/>
      <c r="D39" s="571"/>
      <c r="E39" s="571"/>
      <c r="F39" s="571"/>
      <c r="G39" s="571"/>
      <c r="H39" s="571"/>
      <c r="I39" s="571"/>
      <c r="J39" s="572"/>
      <c r="K39" s="572"/>
      <c r="L39" s="572"/>
      <c r="M39" s="491" t="s">
        <v>87</v>
      </c>
      <c r="N39" s="491"/>
      <c r="O39" s="58" t="n">
        <f aca="false">COUNTIF(Q8:Q26,"Предупреждение")</f>
        <v>0</v>
      </c>
      <c r="P39" s="45"/>
      <c r="Q39" s="45"/>
      <c r="R39" s="45"/>
    </row>
    <row r="40" customFormat="false" ht="15" hidden="false" customHeight="false" outlineLevel="0" collapsed="false">
      <c r="A40" s="571" t="str">
        <f aca="false">$K$6</f>
        <v> Типы и структуры данных</v>
      </c>
      <c r="B40" s="571"/>
      <c r="C40" s="571"/>
      <c r="D40" s="571"/>
      <c r="E40" s="571"/>
      <c r="F40" s="571"/>
      <c r="G40" s="571"/>
      <c r="H40" s="571"/>
      <c r="I40" s="571"/>
      <c r="J40" s="572"/>
      <c r="K40" s="572"/>
      <c r="L40" s="572"/>
      <c r="M40" s="491" t="s">
        <v>88</v>
      </c>
      <c r="N40" s="491"/>
      <c r="O40" s="58" t="n">
        <f aca="false">COUNTIF(Q8:Q26,"Выговор")</f>
        <v>0</v>
      </c>
      <c r="P40" s="45"/>
      <c r="Q40" s="45"/>
      <c r="R40" s="45"/>
    </row>
    <row r="41" customFormat="false" ht="15" hidden="false" customHeight="true" outlineLevel="0" collapsed="false">
      <c r="A41" s="571" t="str">
        <f aca="false">$L$6</f>
        <v> Философия</v>
      </c>
      <c r="B41" s="571"/>
      <c r="C41" s="571"/>
      <c r="D41" s="571"/>
      <c r="E41" s="571"/>
      <c r="F41" s="571"/>
      <c r="G41" s="571"/>
      <c r="H41" s="571"/>
      <c r="I41" s="571"/>
      <c r="J41" s="572"/>
      <c r="K41" s="572"/>
      <c r="L41" s="572"/>
      <c r="M41" s="541" t="s">
        <v>1346</v>
      </c>
      <c r="N41" s="541"/>
      <c r="O41" s="143" t="n">
        <f aca="false">SUM(R8:R26)</f>
        <v>0</v>
      </c>
      <c r="P41" s="45"/>
      <c r="Q41" s="45"/>
      <c r="R41" s="45"/>
    </row>
    <row r="42" customFormat="false" ht="15" hidden="false" customHeight="false" outlineLevel="0" collapsed="false">
      <c r="A42" s="571" t="str">
        <f aca="false">$M$6</f>
        <v>Физическая культура и спорт</v>
      </c>
      <c r="B42" s="571"/>
      <c r="C42" s="571"/>
      <c r="D42" s="571"/>
      <c r="E42" s="571"/>
      <c r="F42" s="571"/>
      <c r="G42" s="571"/>
      <c r="H42" s="571"/>
      <c r="I42" s="571"/>
      <c r="J42" s="572"/>
      <c r="K42" s="572"/>
      <c r="L42" s="572"/>
      <c r="M42" s="193"/>
      <c r="N42" s="193"/>
      <c r="O42" s="193"/>
      <c r="P42" s="193"/>
      <c r="Q42" s="45"/>
      <c r="R42" s="45"/>
    </row>
    <row r="43" customFormat="false" ht="15" hidden="false" customHeight="false" outlineLevel="0" collapsed="false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48"/>
      <c r="M43" s="45"/>
      <c r="N43" s="45"/>
      <c r="O43" s="45"/>
      <c r="P43" s="45"/>
      <c r="Q43" s="45"/>
      <c r="R43" s="45"/>
    </row>
    <row r="44" customFormat="false" ht="15" hidden="false" customHeight="true" outlineLevel="0" collapsed="false">
      <c r="A44" s="215" t="s">
        <v>405</v>
      </c>
      <c r="B44" s="215"/>
      <c r="C44" s="187" t="s">
        <v>1788</v>
      </c>
      <c r="D44" s="187"/>
      <c r="E44" s="52" t="s">
        <v>407</v>
      </c>
      <c r="F44" s="300" t="s">
        <v>1789</v>
      </c>
      <c r="G44" s="52"/>
      <c r="H44" s="52"/>
      <c r="I44" s="52"/>
      <c r="J44" s="52"/>
      <c r="K44" s="50"/>
      <c r="L44" s="48"/>
      <c r="M44" s="48"/>
      <c r="N44" s="45"/>
      <c r="O44" s="45"/>
      <c r="P44" s="45"/>
      <c r="Q44" s="45"/>
      <c r="R44" s="45"/>
    </row>
    <row r="45" customFormat="false" ht="15" hidden="false" customHeight="false" outlineLevel="0" collapsed="false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48"/>
      <c r="M45" s="48"/>
      <c r="N45" s="45"/>
      <c r="O45" s="45"/>
      <c r="P45" s="45"/>
      <c r="Q45" s="45"/>
      <c r="R45" s="45"/>
    </row>
    <row r="46" customFormat="false" ht="15" hidden="false" customHeight="false" outlineLevel="0" collapsed="false">
      <c r="A46" s="50" t="s">
        <v>93</v>
      </c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48"/>
      <c r="M46" s="48"/>
      <c r="N46" s="45"/>
      <c r="O46" s="45"/>
      <c r="P46" s="45"/>
      <c r="Q46" s="45"/>
      <c r="R46" s="45"/>
    </row>
    <row r="47" customFormat="false" ht="15" hidden="false" customHeight="false" outlineLevel="0" collapsed="false">
      <c r="A47" s="50" t="s">
        <v>94</v>
      </c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48"/>
      <c r="M47" s="48"/>
      <c r="N47" s="45"/>
      <c r="O47" s="45"/>
      <c r="P47" s="45"/>
      <c r="Q47" s="45"/>
      <c r="R47" s="45"/>
    </row>
    <row r="48" customFormat="false" ht="15" hidden="false" customHeight="false" outlineLevel="0" collapsed="false">
      <c r="A48" s="50" t="s">
        <v>95</v>
      </c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48"/>
      <c r="M48" s="48"/>
      <c r="N48" s="45"/>
      <c r="O48" s="45"/>
      <c r="P48" s="45"/>
      <c r="Q48" s="45"/>
      <c r="R48" s="45"/>
    </row>
    <row r="49" customFormat="false" ht="15" hidden="false" customHeight="false" outlineLevel="0" collapsed="false">
      <c r="A49" s="50" t="s">
        <v>96</v>
      </c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48"/>
      <c r="M49" s="48"/>
      <c r="N49" s="45"/>
      <c r="O49" s="45"/>
      <c r="P49" s="45"/>
      <c r="Q49" s="45"/>
      <c r="R49" s="45"/>
    </row>
    <row r="50" customFormat="false" ht="15" hidden="false" customHeight="false" outlineLevel="0" collapsed="false">
      <c r="A50" s="50" t="s">
        <v>97</v>
      </c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48"/>
      <c r="M50" s="48"/>
      <c r="N50" s="45"/>
      <c r="O50" s="45"/>
      <c r="P50" s="45"/>
      <c r="Q50" s="45"/>
      <c r="R50" s="45"/>
    </row>
    <row r="51" customFormat="false" ht="15" hidden="false" customHeight="false" outlineLevel="0" collapsed="false">
      <c r="A51" s="50" t="s">
        <v>98</v>
      </c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45"/>
      <c r="M51" s="45"/>
      <c r="N51" s="45"/>
      <c r="O51" s="45"/>
      <c r="P51" s="45"/>
      <c r="Q51" s="45"/>
      <c r="R51" s="45"/>
    </row>
    <row r="52" customFormat="false" ht="15" hidden="false" customHeight="false" outlineLevel="0" collapsed="false">
      <c r="A52" s="50" t="s">
        <v>99</v>
      </c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45"/>
      <c r="M52" s="45"/>
      <c r="N52" s="45"/>
      <c r="O52" s="45"/>
      <c r="P52" s="45"/>
      <c r="Q52" s="45"/>
      <c r="R52" s="45"/>
    </row>
    <row r="53" customFormat="false" ht="15" hidden="false" customHeight="false" outlineLevel="0" collapsed="false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</row>
    <row r="54" customFormat="false" ht="15" hidden="false" customHeight="false" outlineLevel="0" collapsed="false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</row>
    <row r="55" customFormat="false" ht="15" hidden="false" customHeight="false" outlineLevel="0" collapsed="false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</row>
    <row r="56" customFormat="false" ht="15" hidden="false" customHeight="false" outlineLevel="0" collapsed="false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</row>
    <row r="57" customFormat="false" ht="15" hidden="false" customHeight="false" outlineLevel="0" collapsed="false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</row>
  </sheetData>
  <mergeCells count="45">
    <mergeCell ref="E1:H1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E31:F31"/>
    <mergeCell ref="H31:I31"/>
    <mergeCell ref="A33:I33"/>
    <mergeCell ref="J33:L33"/>
    <mergeCell ref="A34:I34"/>
    <mergeCell ref="J34:L34"/>
    <mergeCell ref="M34:N34"/>
    <mergeCell ref="A35:I35"/>
    <mergeCell ref="J35:L35"/>
    <mergeCell ref="M35:N35"/>
    <mergeCell ref="A36:I36"/>
    <mergeCell ref="J36:L36"/>
    <mergeCell ref="M36:N36"/>
    <mergeCell ref="A37:I37"/>
    <mergeCell ref="J37:L37"/>
    <mergeCell ref="M37:N37"/>
    <mergeCell ref="A38:I38"/>
    <mergeCell ref="J38:L38"/>
    <mergeCell ref="M38:N38"/>
    <mergeCell ref="A39:I39"/>
    <mergeCell ref="J39:L39"/>
    <mergeCell ref="M39:N39"/>
    <mergeCell ref="A40:I40"/>
    <mergeCell ref="J40:L40"/>
    <mergeCell ref="M40:N40"/>
    <mergeCell ref="A41:I41"/>
    <mergeCell ref="J41:L41"/>
    <mergeCell ref="M41:N41"/>
    <mergeCell ref="A42:I42"/>
    <mergeCell ref="J42:L42"/>
    <mergeCell ref="A44:B44"/>
    <mergeCell ref="C44:D44"/>
  </mergeCells>
  <conditionalFormatting sqref="J35:K3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27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34:L34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2:L32 L31 E29:L29 E30:J30 E28:M28 E33:J33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:M27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6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26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F26 H8:H26 L8:M26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8:G26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8:I26 K8:K26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J26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6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A24" activeCellId="0" sqref="A24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43"/>
    <col collapsed="false" customWidth="true" hidden="false" outlineLevel="0" max="3" min="3" style="0" width="19"/>
    <col collapsed="false" customWidth="true" hidden="false" outlineLevel="0" max="5" min="5" style="0" width="10"/>
    <col collapsed="false" customWidth="true" hidden="false" outlineLevel="0" max="11" min="10" style="0" width="11.43"/>
    <col collapsed="false" customWidth="true" hidden="false" outlineLevel="0" max="16" min="16" style="0" width="11"/>
    <col collapsed="false" customWidth="true" hidden="false" outlineLevel="0" max="17" min="17" style="0" width="17.15"/>
    <col collapsed="false" customWidth="true" hidden="false" outlineLevel="0" max="19" min="19" style="0" width="6"/>
    <col collapsed="false" customWidth="true" hidden="false" outlineLevel="0" max="20" min="20" style="0" width="13.29"/>
    <col collapsed="false" customWidth="true" hidden="false" outlineLevel="0" max="21" min="21" style="0" width="4.86"/>
    <col collapsed="false" customWidth="true" hidden="false" outlineLevel="0" max="22" min="22" style="0" width="4.71"/>
    <col collapsed="false" customWidth="true" hidden="false" outlineLevel="0" max="23" min="23" style="0" width="4.42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/>
      <c r="M2" s="72"/>
      <c r="N2" s="72" t="s">
        <v>289</v>
      </c>
      <c r="O2" s="72"/>
      <c r="P2" s="146" t="n">
        <f aca="false">set!B4</f>
        <v>45608</v>
      </c>
      <c r="Q2" s="72"/>
      <c r="R2" s="72"/>
      <c r="S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ИУК4-51Б факультета ИУК МГТУ им. Н.Э. Баумана"</f>
        <v>Успеваемость студентов за 1 семестр 24/25 учебного года по группе ИУК4-51Б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574" t="s">
        <v>2</v>
      </c>
      <c r="B5" s="574" t="s">
        <v>3</v>
      </c>
      <c r="C5" s="574" t="s">
        <v>4</v>
      </c>
      <c r="D5" s="560" t="s">
        <v>5</v>
      </c>
      <c r="E5" s="11" t="s">
        <v>6</v>
      </c>
      <c r="F5" s="11"/>
      <c r="G5" s="11"/>
      <c r="H5" s="11"/>
      <c r="I5" s="575" t="s">
        <v>7</v>
      </c>
      <c r="J5" s="575"/>
      <c r="K5" s="575"/>
      <c r="L5" s="575"/>
      <c r="M5" s="575"/>
      <c r="N5" s="13" t="s">
        <v>8</v>
      </c>
      <c r="O5" s="13" t="s">
        <v>9</v>
      </c>
      <c r="P5" s="13" t="s">
        <v>10</v>
      </c>
      <c r="Q5" s="14" t="s">
        <v>11</v>
      </c>
      <c r="R5" s="14" t="s">
        <v>12</v>
      </c>
    </row>
    <row r="6" customFormat="false" ht="15" hidden="false" customHeight="false" outlineLevel="0" collapsed="false">
      <c r="A6" s="574"/>
      <c r="B6" s="574"/>
      <c r="C6" s="574"/>
      <c r="D6" s="560"/>
      <c r="E6" s="339" t="s">
        <v>882</v>
      </c>
      <c r="F6" s="340" t="s">
        <v>1790</v>
      </c>
      <c r="G6" s="340" t="s">
        <v>1791</v>
      </c>
      <c r="H6" s="342" t="s">
        <v>291</v>
      </c>
      <c r="I6" s="340" t="s">
        <v>18</v>
      </c>
      <c r="J6" s="340" t="s">
        <v>1792</v>
      </c>
      <c r="K6" s="340" t="s">
        <v>295</v>
      </c>
      <c r="L6" s="340" t="s">
        <v>296</v>
      </c>
      <c r="M6" s="342" t="s">
        <v>147</v>
      </c>
      <c r="N6" s="13"/>
      <c r="O6" s="13"/>
      <c r="P6" s="13"/>
      <c r="Q6" s="14"/>
      <c r="R6" s="14"/>
    </row>
    <row r="7" customFormat="false" ht="17.9" hidden="false" customHeight="false" outlineLevel="0" collapsed="false">
      <c r="A7" s="574"/>
      <c r="B7" s="574"/>
      <c r="C7" s="574"/>
      <c r="D7" s="560"/>
      <c r="E7" s="343" t="s">
        <v>299</v>
      </c>
      <c r="F7" s="344" t="s">
        <v>741</v>
      </c>
      <c r="G7" s="344" t="s">
        <v>741</v>
      </c>
      <c r="H7" s="346" t="s">
        <v>299</v>
      </c>
      <c r="I7" s="344" t="s">
        <v>1456</v>
      </c>
      <c r="J7" s="344" t="s">
        <v>742</v>
      </c>
      <c r="K7" s="344" t="s">
        <v>175</v>
      </c>
      <c r="L7" s="344" t="s">
        <v>300</v>
      </c>
      <c r="M7" s="346" t="s">
        <v>176</v>
      </c>
      <c r="N7" s="13"/>
      <c r="O7" s="13"/>
      <c r="P7" s="13"/>
      <c r="Q7" s="14"/>
      <c r="R7" s="14"/>
    </row>
    <row r="8" customFormat="false" ht="15" hidden="false" customHeight="true" outlineLevel="0" collapsed="false">
      <c r="A8" s="25" t="n">
        <v>1</v>
      </c>
      <c r="B8" s="25" t="s">
        <v>1793</v>
      </c>
      <c r="C8" s="25" t="s">
        <v>1794</v>
      </c>
      <c r="D8" s="576"/>
      <c r="E8" s="577"/>
      <c r="F8" s="578"/>
      <c r="G8" s="578"/>
      <c r="H8" s="579"/>
      <c r="I8" s="577"/>
      <c r="J8" s="578"/>
      <c r="K8" s="578"/>
      <c r="L8" s="578"/>
      <c r="M8" s="580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526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1795</v>
      </c>
      <c r="C9" s="37" t="s">
        <v>1796</v>
      </c>
      <c r="D9" s="581"/>
      <c r="E9" s="582"/>
      <c r="F9" s="583"/>
      <c r="G9" s="583"/>
      <c r="H9" s="584"/>
      <c r="I9" s="582"/>
      <c r="J9" s="583"/>
      <c r="K9" s="583"/>
      <c r="L9" s="583"/>
      <c r="M9" s="584"/>
      <c r="N9" s="58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s="45" customFormat="true" ht="15" hidden="false" customHeight="true" outlineLevel="0" collapsed="false">
      <c r="A10" s="37" t="n">
        <v>3</v>
      </c>
      <c r="B10" s="37" t="s">
        <v>1797</v>
      </c>
      <c r="C10" s="37" t="s">
        <v>1798</v>
      </c>
      <c r="D10" s="581"/>
      <c r="E10" s="582"/>
      <c r="F10" s="583"/>
      <c r="G10" s="583"/>
      <c r="H10" s="584"/>
      <c r="I10" s="582"/>
      <c r="J10" s="583"/>
      <c r="K10" s="583"/>
      <c r="L10" s="583"/>
      <c r="M10" s="584"/>
      <c r="N10" s="58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1799</v>
      </c>
      <c r="C11" s="37" t="s">
        <v>1800</v>
      </c>
      <c r="D11" s="586"/>
      <c r="E11" s="582"/>
      <c r="F11" s="583"/>
      <c r="G11" s="583"/>
      <c r="H11" s="584"/>
      <c r="I11" s="582"/>
      <c r="J11" s="583"/>
      <c r="K11" s="583"/>
      <c r="L11" s="583"/>
      <c r="M11" s="584"/>
      <c r="N11" s="58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1801</v>
      </c>
      <c r="C12" s="37" t="s">
        <v>1802</v>
      </c>
      <c r="D12" s="586"/>
      <c r="E12" s="582"/>
      <c r="F12" s="583"/>
      <c r="G12" s="583"/>
      <c r="H12" s="584"/>
      <c r="I12" s="582"/>
      <c r="J12" s="587"/>
      <c r="K12" s="583"/>
      <c r="L12" s="587"/>
      <c r="M12" s="588"/>
      <c r="N12" s="58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1803</v>
      </c>
      <c r="C13" s="37" t="s">
        <v>1804</v>
      </c>
      <c r="D13" s="586"/>
      <c r="E13" s="582"/>
      <c r="F13" s="583"/>
      <c r="G13" s="583"/>
      <c r="H13" s="584"/>
      <c r="I13" s="582"/>
      <c r="J13" s="583"/>
      <c r="K13" s="583"/>
      <c r="L13" s="583"/>
      <c r="M13" s="584"/>
      <c r="N13" s="58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1805</v>
      </c>
      <c r="C14" s="37" t="s">
        <v>1806</v>
      </c>
      <c r="D14" s="586"/>
      <c r="E14" s="589"/>
      <c r="F14" s="583"/>
      <c r="G14" s="583"/>
      <c r="H14" s="588"/>
      <c r="I14" s="582"/>
      <c r="J14" s="587"/>
      <c r="K14" s="583"/>
      <c r="L14" s="583"/>
      <c r="M14" s="588"/>
      <c r="N14" s="58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1807</v>
      </c>
      <c r="C15" s="37" t="s">
        <v>1808</v>
      </c>
      <c r="D15" s="586"/>
      <c r="E15" s="582"/>
      <c r="F15" s="583"/>
      <c r="G15" s="583"/>
      <c r="H15" s="584"/>
      <c r="I15" s="582"/>
      <c r="J15" s="583"/>
      <c r="K15" s="583"/>
      <c r="L15" s="583"/>
      <c r="M15" s="584"/>
      <c r="N15" s="58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1809</v>
      </c>
      <c r="C16" s="37" t="s">
        <v>1810</v>
      </c>
      <c r="D16" s="586"/>
      <c r="E16" s="582"/>
      <c r="F16" s="583"/>
      <c r="G16" s="583"/>
      <c r="H16" s="584"/>
      <c r="I16" s="582"/>
      <c r="J16" s="583"/>
      <c r="K16" s="583"/>
      <c r="L16" s="583"/>
      <c r="M16" s="584"/>
      <c r="N16" s="58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1811</v>
      </c>
      <c r="C17" s="37" t="s">
        <v>1812</v>
      </c>
      <c r="D17" s="586"/>
      <c r="E17" s="582"/>
      <c r="F17" s="583"/>
      <c r="G17" s="583"/>
      <c r="H17" s="584"/>
      <c r="I17" s="582"/>
      <c r="J17" s="583"/>
      <c r="K17" s="583"/>
      <c r="L17" s="583"/>
      <c r="M17" s="584"/>
      <c r="N17" s="58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1813</v>
      </c>
      <c r="C18" s="37" t="s">
        <v>1814</v>
      </c>
      <c r="D18" s="586"/>
      <c r="E18" s="582"/>
      <c r="F18" s="583"/>
      <c r="G18" s="583"/>
      <c r="H18" s="584"/>
      <c r="I18" s="582"/>
      <c r="J18" s="583"/>
      <c r="K18" s="583"/>
      <c r="L18" s="583"/>
      <c r="M18" s="584"/>
      <c r="N18" s="58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1815</v>
      </c>
      <c r="C19" s="37" t="s">
        <v>1816</v>
      </c>
      <c r="D19" s="586"/>
      <c r="E19" s="589"/>
      <c r="F19" s="583"/>
      <c r="G19" s="583"/>
      <c r="H19" s="588"/>
      <c r="I19" s="582"/>
      <c r="J19" s="583"/>
      <c r="K19" s="583"/>
      <c r="L19" s="583"/>
      <c r="M19" s="588"/>
      <c r="N19" s="58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1817</v>
      </c>
      <c r="C20" s="37" t="s">
        <v>1818</v>
      </c>
      <c r="D20" s="586"/>
      <c r="E20" s="589"/>
      <c r="F20" s="583"/>
      <c r="G20" s="583"/>
      <c r="H20" s="588"/>
      <c r="I20" s="582"/>
      <c r="J20" s="583"/>
      <c r="K20" s="583"/>
      <c r="L20" s="583"/>
      <c r="M20" s="588"/>
      <c r="N20" s="58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1819</v>
      </c>
      <c r="C21" s="37" t="s">
        <v>1820</v>
      </c>
      <c r="D21" s="586"/>
      <c r="E21" s="589"/>
      <c r="F21" s="583"/>
      <c r="G21" s="583"/>
      <c r="H21" s="588"/>
      <c r="I21" s="582"/>
      <c r="J21" s="583"/>
      <c r="K21" s="583"/>
      <c r="L21" s="583"/>
      <c r="M21" s="588"/>
      <c r="N21" s="58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1821</v>
      </c>
      <c r="C22" s="37" t="s">
        <v>1822</v>
      </c>
      <c r="D22" s="586"/>
      <c r="E22" s="589"/>
      <c r="F22" s="583"/>
      <c r="G22" s="583"/>
      <c r="H22" s="588"/>
      <c r="I22" s="582"/>
      <c r="J22" s="583"/>
      <c r="K22" s="583"/>
      <c r="L22" s="583"/>
      <c r="M22" s="588"/>
      <c r="N22" s="585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1823</v>
      </c>
      <c r="C23" s="37" t="s">
        <v>1824</v>
      </c>
      <c r="D23" s="586"/>
      <c r="E23" s="589"/>
      <c r="F23" s="583"/>
      <c r="G23" s="583"/>
      <c r="H23" s="588"/>
      <c r="I23" s="582"/>
      <c r="J23" s="583"/>
      <c r="K23" s="583"/>
      <c r="L23" s="583"/>
      <c r="M23" s="588"/>
      <c r="N23" s="585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1825</v>
      </c>
      <c r="C24" s="37" t="s">
        <v>1826</v>
      </c>
      <c r="D24" s="586"/>
      <c r="E24" s="589"/>
      <c r="F24" s="583"/>
      <c r="G24" s="583"/>
      <c r="H24" s="588"/>
      <c r="I24" s="582"/>
      <c r="J24" s="583"/>
      <c r="K24" s="583"/>
      <c r="L24" s="583"/>
      <c r="M24" s="588"/>
      <c r="N24" s="585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1827</v>
      </c>
      <c r="C25" s="37" t="s">
        <v>1828</v>
      </c>
      <c r="D25" s="586"/>
      <c r="E25" s="589"/>
      <c r="F25" s="583"/>
      <c r="G25" s="583"/>
      <c r="H25" s="588"/>
      <c r="I25" s="582"/>
      <c r="J25" s="583"/>
      <c r="K25" s="583"/>
      <c r="L25" s="583"/>
      <c r="M25" s="588"/>
      <c r="N25" s="585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1829</v>
      </c>
      <c r="C26" s="37" t="s">
        <v>1830</v>
      </c>
      <c r="D26" s="586"/>
      <c r="E26" s="589"/>
      <c r="F26" s="583"/>
      <c r="G26" s="583"/>
      <c r="H26" s="588"/>
      <c r="I26" s="582"/>
      <c r="J26" s="583"/>
      <c r="K26" s="583"/>
      <c r="L26" s="583"/>
      <c r="M26" s="588"/>
      <c r="N26" s="585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20</v>
      </c>
      <c r="B27" s="37" t="s">
        <v>1831</v>
      </c>
      <c r="C27" s="37" t="s">
        <v>1832</v>
      </c>
      <c r="D27" s="586"/>
      <c r="E27" s="589"/>
      <c r="F27" s="583"/>
      <c r="G27" s="583"/>
      <c r="H27" s="588"/>
      <c r="I27" s="582"/>
      <c r="J27" s="583"/>
      <c r="K27" s="583"/>
      <c r="L27" s="583"/>
      <c r="M27" s="588"/>
      <c r="N27" s="585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118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1833</v>
      </c>
      <c r="C28" s="37" t="s">
        <v>1834</v>
      </c>
      <c r="D28" s="586"/>
      <c r="E28" s="589"/>
      <c r="F28" s="583"/>
      <c r="G28" s="583"/>
      <c r="H28" s="588"/>
      <c r="I28" s="582"/>
      <c r="J28" s="583"/>
      <c r="K28" s="583"/>
      <c r="L28" s="583"/>
      <c r="M28" s="588"/>
      <c r="N28" s="585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118" t="n">
        <f aca="false">COUNTIF(E28:M28,2)+COUNTIF(E28:M28,1)+COUNTIF(E28:M28,0)</f>
        <v>0</v>
      </c>
    </row>
    <row r="29" customFormat="false" ht="15" hidden="false" customHeight="true" outlineLevel="0" collapsed="false">
      <c r="A29" s="37" t="n">
        <v>22</v>
      </c>
      <c r="B29" s="37" t="s">
        <v>1835</v>
      </c>
      <c r="C29" s="37" t="s">
        <v>1836</v>
      </c>
      <c r="D29" s="586"/>
      <c r="E29" s="589"/>
      <c r="F29" s="583"/>
      <c r="G29" s="583"/>
      <c r="H29" s="588"/>
      <c r="I29" s="582"/>
      <c r="J29" s="583"/>
      <c r="K29" s="583"/>
      <c r="L29" s="583"/>
      <c r="M29" s="588"/>
      <c r="N29" s="585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118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23</v>
      </c>
      <c r="B30" s="37" t="s">
        <v>1837</v>
      </c>
      <c r="C30" s="37" t="s">
        <v>1838</v>
      </c>
      <c r="D30" s="586"/>
      <c r="E30" s="589"/>
      <c r="F30" s="583"/>
      <c r="G30" s="583"/>
      <c r="H30" s="588"/>
      <c r="I30" s="582"/>
      <c r="J30" s="583"/>
      <c r="K30" s="583"/>
      <c r="L30" s="583"/>
      <c r="M30" s="588"/>
      <c r="N30" s="585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118" t="n">
        <f aca="false">COUNTIF(E30:M30,2)+COUNTIF(E30:M30,1)+COUNTIF(E30:M30,0)</f>
        <v>0</v>
      </c>
    </row>
    <row r="31" customFormat="false" ht="15" hidden="false" customHeight="true" outlineLevel="0" collapsed="false">
      <c r="A31" s="37" t="n">
        <v>24</v>
      </c>
      <c r="B31" s="37" t="s">
        <v>1839</v>
      </c>
      <c r="C31" s="37" t="s">
        <v>1840</v>
      </c>
      <c r="D31" s="586"/>
      <c r="E31" s="589"/>
      <c r="F31" s="583"/>
      <c r="G31" s="583"/>
      <c r="H31" s="588"/>
      <c r="I31" s="582"/>
      <c r="J31" s="583"/>
      <c r="K31" s="583"/>
      <c r="L31" s="583"/>
      <c r="M31" s="588"/>
      <c r="N31" s="585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118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1841</v>
      </c>
      <c r="C32" s="37" t="s">
        <v>1842</v>
      </c>
      <c r="D32" s="586"/>
      <c r="E32" s="589"/>
      <c r="F32" s="583"/>
      <c r="G32" s="583"/>
      <c r="H32" s="588"/>
      <c r="I32" s="582"/>
      <c r="J32" s="583"/>
      <c r="K32" s="583"/>
      <c r="L32" s="583"/>
      <c r="M32" s="588"/>
      <c r="N32" s="585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118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26</v>
      </c>
      <c r="B33" s="37" t="s">
        <v>1843</v>
      </c>
      <c r="C33" s="37" t="s">
        <v>1844</v>
      </c>
      <c r="D33" s="586"/>
      <c r="E33" s="589"/>
      <c r="F33" s="583"/>
      <c r="G33" s="583"/>
      <c r="H33" s="588"/>
      <c r="I33" s="582"/>
      <c r="J33" s="583"/>
      <c r="K33" s="583"/>
      <c r="L33" s="583"/>
      <c r="M33" s="588"/>
      <c r="N33" s="585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118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27</v>
      </c>
      <c r="B34" s="37" t="s">
        <v>1845</v>
      </c>
      <c r="C34" s="37" t="s">
        <v>1846</v>
      </c>
      <c r="D34" s="586"/>
      <c r="E34" s="589"/>
      <c r="F34" s="583"/>
      <c r="G34" s="583"/>
      <c r="H34" s="588"/>
      <c r="I34" s="582"/>
      <c r="J34" s="583"/>
      <c r="K34" s="583"/>
      <c r="L34" s="583"/>
      <c r="M34" s="588"/>
      <c r="N34" s="585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5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118" t="n">
        <f aca="false">COUNTIF(E34:M34,2)+COUNTIF(E34:M34,1)+COUNTIF(E34:M34,0)</f>
        <v>0</v>
      </c>
    </row>
    <row r="35" s="45" customFormat="true" ht="15" hidden="false" customHeight="true" outlineLevel="0" collapsed="false">
      <c r="A35" s="37" t="n">
        <v>28</v>
      </c>
      <c r="B35" s="37" t="s">
        <v>1847</v>
      </c>
      <c r="C35" s="37" t="s">
        <v>1848</v>
      </c>
      <c r="D35" s="586"/>
      <c r="E35" s="589"/>
      <c r="F35" s="583"/>
      <c r="G35" s="583"/>
      <c r="H35" s="588"/>
      <c r="I35" s="582"/>
      <c r="J35" s="583"/>
      <c r="K35" s="583"/>
      <c r="L35" s="583"/>
      <c r="M35" s="588"/>
      <c r="N35" s="585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85" t="str">
        <f aca="false" t="array" ref="Q35:Q35">IF(E35&lt;&gt;"",IF(N35&lt;1.85,"Выговор",IF(N35=1.85,"Выговор",IF(AND(N35&gt;1.85,N35&lt;3),"Предупреждение",IF(AND(N35&gt;3,N35&lt;4.65),"Нормально",IF(AND(N35&gt;4.65,N35&lt;5.1,E35:M35&gt;=4),"Благодарность","Нормально"))))),"")</f>
        <v/>
      </c>
      <c r="R35" s="118" t="n">
        <f aca="false">COUNTIF(E35:M35,2)+COUNTIF(E35:M35,1)+COUNTIF(E35:M35,0)</f>
        <v>0</v>
      </c>
    </row>
    <row r="36" s="45" customFormat="true" ht="15" hidden="false" customHeight="true" outlineLevel="0" collapsed="false">
      <c r="A36" s="37" t="n">
        <v>29</v>
      </c>
      <c r="B36" s="37" t="s">
        <v>1849</v>
      </c>
      <c r="C36" s="37" t="s">
        <v>1850</v>
      </c>
      <c r="D36" s="586"/>
      <c r="E36" s="589"/>
      <c r="F36" s="583"/>
      <c r="G36" s="583"/>
      <c r="H36" s="588"/>
      <c r="I36" s="582"/>
      <c r="J36" s="583"/>
      <c r="K36" s="583"/>
      <c r="L36" s="583"/>
      <c r="M36" s="588"/>
      <c r="N36" s="585" t="str">
        <f aca="false">IFERROR(AVERAGE(E36:M36),"")</f>
        <v/>
      </c>
      <c r="O36" s="84" t="str">
        <f aca="false">IF(E36&lt;&gt;"",IF(COUNTIF(E36:M36,"&lt;3"),"Не успевает","Успевает"),"")</f>
        <v/>
      </c>
      <c r="P36" s="241" t="str">
        <f aca="false">IF(D36&lt;&gt;"",(30*(set!B$5)-D36)/(30*(set!B$5))*100,"")</f>
        <v/>
      </c>
      <c r="Q36" s="85" t="str">
        <f aca="false" t="array" ref="Q36:Q36">IF(E36&lt;&gt;"",IF(N36&lt;1.85,"Выговор",IF(N36=1.85,"Выговор",IF(AND(N36&gt;1.85,N36&lt;3),"Предупреждение",IF(AND(N36&gt;3,N36&lt;4.65),"Нормально",IF(AND(N36&gt;4.65,N36&lt;5.1,E36:M36&gt;=4),"Благодарность","Нормально"))))),"")</f>
        <v/>
      </c>
      <c r="R36" s="118" t="n">
        <f aca="false">COUNTIF(E36:M36,2)+COUNTIF(E36:M36,1)+COUNTIF(E36:M36,0)</f>
        <v>0</v>
      </c>
    </row>
    <row r="37" s="45" customFormat="true" ht="15" hidden="false" customHeight="true" outlineLevel="0" collapsed="false">
      <c r="A37" s="37" t="n">
        <v>30</v>
      </c>
      <c r="B37" s="37" t="s">
        <v>1851</v>
      </c>
      <c r="C37" s="37" t="s">
        <v>1852</v>
      </c>
      <c r="D37" s="586"/>
      <c r="E37" s="589"/>
      <c r="F37" s="583"/>
      <c r="G37" s="583"/>
      <c r="H37" s="588"/>
      <c r="I37" s="582"/>
      <c r="J37" s="583"/>
      <c r="K37" s="583"/>
      <c r="L37" s="583"/>
      <c r="M37" s="588"/>
      <c r="N37" s="585" t="str">
        <f aca="false">IFERROR(AVERAGE(E37:M37),"")</f>
        <v/>
      </c>
      <c r="O37" s="84" t="str">
        <f aca="false">IF(E37&lt;&gt;"",IF(COUNTIF(E37:M37,"&lt;3"),"Не успевает","Успевает"),"")</f>
        <v/>
      </c>
      <c r="P37" s="241" t="str">
        <f aca="false">IF(D37&lt;&gt;"",(30*(set!B$5)-D37)/(30*(set!B$5))*100,"")</f>
        <v/>
      </c>
      <c r="Q37" s="85" t="str">
        <f aca="false" t="array" ref="Q37:Q37">IF(E37&lt;&gt;"",IF(N37&lt;1.85,"Выговор",IF(N37=1.85,"Выговор",IF(AND(N37&gt;1.85,N37&lt;3),"Предупреждение",IF(AND(N37&gt;3,N37&lt;4.65),"Нормально",IF(AND(N37&gt;4.65,N37&lt;5.1,E37:M37&gt;=4),"Благодарность","Нормально"))))),"")</f>
        <v/>
      </c>
      <c r="R37" s="118" t="n">
        <f aca="false">COUNTIF(E37:M37,2)+COUNTIF(E37:M37,1)+COUNTIF(E37:M37,0)</f>
        <v>0</v>
      </c>
    </row>
    <row r="38" s="45" customFormat="true" ht="15" hidden="false" customHeight="true" outlineLevel="0" collapsed="false">
      <c r="A38" s="37" t="n">
        <v>31</v>
      </c>
      <c r="B38" s="37" t="s">
        <v>1853</v>
      </c>
      <c r="C38" s="37" t="s">
        <v>1854</v>
      </c>
      <c r="D38" s="586"/>
      <c r="E38" s="589"/>
      <c r="F38" s="583"/>
      <c r="G38" s="583"/>
      <c r="H38" s="588"/>
      <c r="I38" s="582"/>
      <c r="J38" s="583"/>
      <c r="K38" s="583"/>
      <c r="L38" s="583"/>
      <c r="M38" s="588"/>
      <c r="N38" s="585" t="str">
        <f aca="false">IFERROR(AVERAGE(E38:M38),"")</f>
        <v/>
      </c>
      <c r="O38" s="84" t="str">
        <f aca="false">IF(E38&lt;&gt;"",IF(COUNTIF(E38:M38,"&lt;3"),"Не успевает","Успевает"),"")</f>
        <v/>
      </c>
      <c r="P38" s="241" t="str">
        <f aca="false">IF(D38&lt;&gt;"",(30*(set!B$5)-D38)/(30*(set!B$5))*100,"")</f>
        <v/>
      </c>
      <c r="Q38" s="85" t="str">
        <f aca="false" t="array" ref="Q38:Q38">IF(E38&lt;&gt;"",IF(N38&lt;1.85,"Выговор",IF(N38=1.85,"Выговор",IF(AND(N38&gt;1.85,N38&lt;3),"Предупреждение",IF(AND(N38&gt;3,N38&lt;4.65),"Нормально",IF(AND(N38&gt;4.65,N38&lt;5.1,E38:M38&gt;=4),"Благодарность","Нормально"))))),"")</f>
        <v/>
      </c>
      <c r="R38" s="118" t="n">
        <f aca="false">COUNTIF(E38:M38,2)+COUNTIF(E38:M38,1)+COUNTIF(E38:M38,0)</f>
        <v>0</v>
      </c>
    </row>
    <row r="39" customFormat="false" ht="15" hidden="false" customHeight="true" outlineLevel="0" collapsed="false">
      <c r="A39" s="0" t="s">
        <v>77</v>
      </c>
      <c r="D39" s="209"/>
      <c r="E39" s="210" t="e">
        <f aca="false">AVERAGE(E8:E38)</f>
        <v>#DIV/0!</v>
      </c>
      <c r="F39" s="210" t="e">
        <f aca="false">AVERAGE(F8:F38)</f>
        <v>#DIV/0!</v>
      </c>
      <c r="G39" s="210" t="e">
        <f aca="false">AVERAGE(G8:G38)</f>
        <v>#DIV/0!</v>
      </c>
      <c r="H39" s="210" t="e">
        <f aca="false">AVERAGE(H8:H38)</f>
        <v>#DIV/0!</v>
      </c>
      <c r="I39" s="210" t="e">
        <f aca="false">AVERAGE(I8:I38)</f>
        <v>#DIV/0!</v>
      </c>
      <c r="J39" s="210" t="e">
        <f aca="false">AVERAGE(J8:J38)</f>
        <v>#DIV/0!</v>
      </c>
      <c r="K39" s="210" t="e">
        <f aca="false">AVERAGE(K8:K38)</f>
        <v>#DIV/0!</v>
      </c>
      <c r="L39" s="210" t="e">
        <f aca="false">AVERAGE(L8:L38)</f>
        <v>#DIV/0!</v>
      </c>
      <c r="M39" s="210" t="e">
        <f aca="false">AVERAGE(M8:M38)</f>
        <v>#DIV/0!</v>
      </c>
      <c r="N39" s="47"/>
      <c r="O39" s="423"/>
      <c r="P39" s="423"/>
      <c r="R39" s="357"/>
    </row>
    <row r="40" customFormat="false" ht="15" hidden="false" customHeight="true" outlineLevel="0" collapsed="false">
      <c r="A40" s="0" t="s">
        <v>78</v>
      </c>
      <c r="D40" s="536"/>
      <c r="E40" s="137" t="e">
        <f aca="false">(COUNTIF(E8:E38,5)+COUNTIF(E8:E38,4)+COUNTIF(E8:E38,3))/$N$45*100</f>
        <v>#DIV/0!</v>
      </c>
      <c r="F40" s="137" t="e">
        <f aca="false">(COUNTIF(F8:F38,5)+COUNTIF(F8:F38,4)+COUNTIF(F8:F38,3))/$N$45*100</f>
        <v>#DIV/0!</v>
      </c>
      <c r="G40" s="137" t="e">
        <f aca="false">(COUNTIF(G8:G38,5)+COUNTIF(G8:G38,4)+COUNTIF(G8:G38,3))/$N$45*100</f>
        <v>#DIV/0!</v>
      </c>
      <c r="H40" s="137" t="e">
        <f aca="false">(COUNTIF(H8:H38,5)+COUNTIF(H8:H38,4)+COUNTIF(H8:H38,3))/$N$45*100</f>
        <v>#DIV/0!</v>
      </c>
      <c r="I40" s="137" t="e">
        <f aca="false">(COUNTIF(I8:I38,5)+COUNTIF(I8:I38,4)+COUNTIF(I8:I38,3))/$N$45*100</f>
        <v>#DIV/0!</v>
      </c>
      <c r="J40" s="137" t="e">
        <f aca="false">(COUNTIF(J8:J38,5)+COUNTIF(J8:J38,4)+COUNTIF(J8:J38,3))/$N$45*100</f>
        <v>#DIV/0!</v>
      </c>
      <c r="K40" s="137" t="e">
        <f aca="false">(COUNTIF(K8:K38,5)+COUNTIF(K8:K38,4)+COUNTIF(K8:K38,3))/$N$45*100</f>
        <v>#DIV/0!</v>
      </c>
      <c r="L40" s="137" t="e">
        <f aca="false">(COUNTIF(L8:L38,5)+COUNTIF(L8:L38,4)+COUNTIF(L8:L38,3))/$N$45*100</f>
        <v>#DIV/0!</v>
      </c>
      <c r="M40" s="137" t="e">
        <f aca="false">(COUNTIF(M8:M38,5)+COUNTIF(M8:M38,4)+COUNTIF(M8:M38,3))/$N$45*100</f>
        <v>#DIV/0!</v>
      </c>
      <c r="O40" s="423"/>
      <c r="P40" s="423"/>
    </row>
    <row r="41" customFormat="false" ht="15" hidden="false" customHeight="true" outlineLevel="0" collapsed="false">
      <c r="D41" s="537"/>
      <c r="E41" s="48"/>
      <c r="F41" s="48"/>
      <c r="G41" s="48"/>
      <c r="H41" s="48"/>
      <c r="I41" s="48"/>
      <c r="J41" s="48"/>
      <c r="K41" s="48"/>
      <c r="L41" s="47"/>
      <c r="M41" s="48"/>
      <c r="N41" s="48"/>
      <c r="O41" s="48"/>
      <c r="P41" s="49"/>
      <c r="R41" s="423"/>
      <c r="S41" s="423"/>
    </row>
    <row r="42" customFormat="false" ht="15" hidden="false" customHeight="true" outlineLevel="0" collapsed="false">
      <c r="D42" s="537"/>
      <c r="E42" s="48"/>
      <c r="F42" s="48"/>
      <c r="G42" s="48"/>
      <c r="J42" s="48"/>
      <c r="K42" s="48"/>
      <c r="L42" s="47"/>
      <c r="M42" s="48"/>
      <c r="N42" s="48"/>
      <c r="O42" s="48"/>
      <c r="P42" s="49"/>
      <c r="R42" s="423"/>
      <c r="S42" s="423"/>
    </row>
    <row r="43" customFormat="false" ht="15" hidden="false" customHeight="true" outlineLevel="0" collapsed="false">
      <c r="C43" s="50" t="s">
        <v>8</v>
      </c>
      <c r="D43" s="51" t="str">
        <f aca="false">IFERROR(AVERAGE(N8:N38),"")</f>
        <v/>
      </c>
      <c r="E43" s="52" t="s">
        <v>9</v>
      </c>
      <c r="G43" s="53" t="str">
        <f aca="false">IFERROR(COUNTIF(O8:O38,"Успевает")/N45*100,"")</f>
        <v/>
      </c>
      <c r="H43" s="54" t="s">
        <v>79</v>
      </c>
      <c r="I43" s="54"/>
      <c r="J43" s="55" t="str">
        <f aca="false">IFERROR(AVERAGE(P8:P38),"")</f>
        <v/>
      </c>
      <c r="K43" s="48"/>
      <c r="L43" s="47"/>
      <c r="M43" s="48"/>
      <c r="N43" s="48"/>
      <c r="O43" s="48"/>
      <c r="P43" s="49"/>
      <c r="R43" s="423"/>
      <c r="S43" s="423"/>
    </row>
    <row r="44" customFormat="false" ht="15" hidden="false" customHeight="true" outlineLevel="0" collapsed="false">
      <c r="D44" s="537"/>
      <c r="E44" s="48"/>
      <c r="F44" s="48"/>
      <c r="G44" s="48"/>
      <c r="H44" s="48"/>
      <c r="I44" s="48"/>
      <c r="J44" s="48"/>
      <c r="K44" s="48"/>
      <c r="L44" s="47"/>
      <c r="M44" s="48"/>
      <c r="N44" s="48"/>
      <c r="O44" s="48"/>
      <c r="P44" s="49"/>
      <c r="R44" s="423"/>
      <c r="S44" s="423"/>
    </row>
    <row r="45" customFormat="false" ht="15" hidden="false" customHeight="true" outlineLevel="0" collapsed="false">
      <c r="A45" s="61" t="s">
        <v>81</v>
      </c>
      <c r="B45" s="61"/>
      <c r="C45" s="61"/>
      <c r="D45" s="61"/>
      <c r="E45" s="61"/>
      <c r="F45" s="61"/>
      <c r="G45" s="61"/>
      <c r="H45" s="61"/>
      <c r="I45" s="61"/>
      <c r="J45" s="61" t="s">
        <v>82</v>
      </c>
      <c r="K45" s="61"/>
      <c r="L45" s="590" t="s">
        <v>80</v>
      </c>
      <c r="M45" s="590"/>
      <c r="N45" s="58" t="n">
        <f aca="false">SUM(N46,N47)</f>
        <v>0</v>
      </c>
      <c r="O45" s="423"/>
      <c r="P45" s="423"/>
    </row>
    <row r="46" customFormat="false" ht="15" hidden="false" customHeight="true" outlineLevel="0" collapsed="false">
      <c r="A46" s="65" t="str">
        <f aca="false">$E$6</f>
        <v> Операционные системы</v>
      </c>
      <c r="B46" s="65"/>
      <c r="C46" s="65"/>
      <c r="D46" s="65"/>
      <c r="E46" s="65"/>
      <c r="F46" s="65"/>
      <c r="G46" s="65"/>
      <c r="H46" s="65"/>
      <c r="I46" s="65"/>
      <c r="J46" s="66"/>
      <c r="K46" s="66"/>
      <c r="L46" s="590" t="s">
        <v>83</v>
      </c>
      <c r="M46" s="590"/>
      <c r="N46" s="58" t="n">
        <f aca="false">COUNTIF(O8:O38,"Успевает")</f>
        <v>0</v>
      </c>
      <c r="P46" s="193"/>
    </row>
    <row r="47" customFormat="false" ht="15" hidden="false" customHeight="true" outlineLevel="0" collapsed="false">
      <c r="A47" s="65" t="str">
        <f aca="false">$F$6</f>
        <v> Проектирование систем хранения и обработки данных</v>
      </c>
      <c r="B47" s="65"/>
      <c r="C47" s="65"/>
      <c r="D47" s="65"/>
      <c r="E47" s="65"/>
      <c r="F47" s="65"/>
      <c r="G47" s="65"/>
      <c r="H47" s="65"/>
      <c r="I47" s="65"/>
      <c r="J47" s="66"/>
      <c r="K47" s="66"/>
      <c r="L47" s="591" t="s">
        <v>84</v>
      </c>
      <c r="M47" s="591"/>
      <c r="N47" s="58" t="n">
        <f aca="false">COUNTIF(O8:O38,"Не успевает")</f>
        <v>0</v>
      </c>
      <c r="P47" s="64"/>
    </row>
    <row r="48" customFormat="false" ht="15" hidden="false" customHeight="true" outlineLevel="0" collapsed="false">
      <c r="A48" s="65" t="str">
        <f aca="false">$G$6</f>
        <v> Разработка мобильного программного обеспечения</v>
      </c>
      <c r="B48" s="65"/>
      <c r="C48" s="65"/>
      <c r="D48" s="65"/>
      <c r="E48" s="65"/>
      <c r="F48" s="65"/>
      <c r="G48" s="65"/>
      <c r="H48" s="65"/>
      <c r="I48" s="65"/>
      <c r="J48" s="66"/>
      <c r="K48" s="66"/>
      <c r="L48" s="591" t="s">
        <v>85</v>
      </c>
      <c r="M48" s="591"/>
      <c r="N48" s="58" t="n">
        <f aca="false">COUNTIF(Q8:Q38,"Благодарность")</f>
        <v>0</v>
      </c>
      <c r="P48" s="99"/>
    </row>
    <row r="49" customFormat="false" ht="15" hidden="false" customHeight="true" outlineLevel="0" collapsed="false">
      <c r="A49" s="65" t="str">
        <f aca="false">$H$6</f>
        <v> Сети и телекоммуникации</v>
      </c>
      <c r="B49" s="65"/>
      <c r="C49" s="65"/>
      <c r="D49" s="65"/>
      <c r="E49" s="65"/>
      <c r="F49" s="65"/>
      <c r="G49" s="65"/>
      <c r="H49" s="65"/>
      <c r="I49" s="65"/>
      <c r="J49" s="66"/>
      <c r="K49" s="66"/>
      <c r="L49" s="591" t="s">
        <v>86</v>
      </c>
      <c r="M49" s="591"/>
      <c r="N49" s="58" t="n">
        <f aca="false">COUNTIF(Q8:Q38,"Нормально")</f>
        <v>0</v>
      </c>
    </row>
    <row r="50" customFormat="false" ht="15" hidden="false" customHeight="true" outlineLevel="0" collapsed="false">
      <c r="A50" s="65" t="str">
        <f aca="false">$I$6</f>
        <v>Иностранный язык</v>
      </c>
      <c r="B50" s="65"/>
      <c r="C50" s="65"/>
      <c r="D50" s="65"/>
      <c r="E50" s="65"/>
      <c r="F50" s="65"/>
      <c r="G50" s="65"/>
      <c r="H50" s="65"/>
      <c r="I50" s="65"/>
      <c r="J50" s="66"/>
      <c r="K50" s="66"/>
      <c r="L50" s="591" t="s">
        <v>87</v>
      </c>
      <c r="M50" s="591"/>
      <c r="N50" s="58" t="n">
        <f aca="false">COUNTIF(Q8:Q38,"Предупреждение")</f>
        <v>0</v>
      </c>
    </row>
    <row r="51" customFormat="false" ht="15" hidden="false" customHeight="true" outlineLevel="0" collapsed="false">
      <c r="A51" s="65" t="str">
        <f aca="false">$J$6</f>
        <v> Кроссплатформенная разработка программного обеспечения (к.п.)</v>
      </c>
      <c r="B51" s="65"/>
      <c r="C51" s="65"/>
      <c r="D51" s="65"/>
      <c r="E51" s="65"/>
      <c r="F51" s="65"/>
      <c r="G51" s="65"/>
      <c r="H51" s="65"/>
      <c r="I51" s="65"/>
      <c r="J51" s="66"/>
      <c r="K51" s="66"/>
      <c r="L51" s="591" t="s">
        <v>88</v>
      </c>
      <c r="M51" s="591"/>
      <c r="N51" s="58" t="n">
        <f aca="false">COUNTIF(Q8:Q38,"Выговор")</f>
        <v>0</v>
      </c>
    </row>
    <row r="52" customFormat="false" ht="15" hidden="false" customHeight="true" outlineLevel="0" collapsed="false">
      <c r="A52" s="65" t="str">
        <f aca="false">$K$6</f>
        <v> Социология</v>
      </c>
      <c r="B52" s="65"/>
      <c r="C52" s="65"/>
      <c r="D52" s="65"/>
      <c r="E52" s="65"/>
      <c r="F52" s="65"/>
      <c r="G52" s="65"/>
      <c r="H52" s="65"/>
      <c r="I52" s="65"/>
      <c r="J52" s="66"/>
      <c r="K52" s="66"/>
      <c r="L52" s="592" t="s">
        <v>12</v>
      </c>
      <c r="M52" s="592"/>
      <c r="N52" s="143" t="n">
        <f aca="false">SUM(R8:R38)</f>
        <v>0</v>
      </c>
    </row>
    <row r="53" customFormat="false" ht="15" hidden="false" customHeight="true" outlineLevel="0" collapsed="false">
      <c r="A53" s="65" t="str">
        <f aca="false">$L$6</f>
        <v> Экология</v>
      </c>
      <c r="B53" s="65"/>
      <c r="C53" s="65"/>
      <c r="D53" s="65"/>
      <c r="E53" s="65"/>
      <c r="F53" s="65"/>
      <c r="G53" s="65"/>
      <c r="H53" s="65"/>
      <c r="I53" s="65"/>
      <c r="J53" s="66"/>
      <c r="K53" s="66"/>
      <c r="L53" s="67"/>
      <c r="P53" s="542"/>
      <c r="Q53" s="64"/>
      <c r="R53" s="64"/>
      <c r="S53" s="64"/>
    </row>
    <row r="54" customFormat="false" ht="15" hidden="false" customHeight="true" outlineLevel="0" collapsed="false">
      <c r="A54" s="65" t="str">
        <f aca="false">$M$6</f>
        <v>Физическая культура и спорт</v>
      </c>
      <c r="B54" s="65"/>
      <c r="C54" s="65"/>
      <c r="D54" s="65"/>
      <c r="E54" s="65"/>
      <c r="F54" s="65"/>
      <c r="G54" s="65"/>
      <c r="H54" s="65"/>
      <c r="I54" s="65"/>
      <c r="J54" s="66"/>
      <c r="K54" s="66"/>
      <c r="L54" s="67"/>
      <c r="M54" s="542"/>
      <c r="N54" s="542"/>
      <c r="O54" s="542"/>
      <c r="P54" s="542"/>
    </row>
    <row r="55" customFormat="false" ht="15" hidden="false" customHeight="true" outlineLevel="0" collapsed="false">
      <c r="L55" s="67"/>
    </row>
    <row r="56" customFormat="false" ht="15" hidden="false" customHeight="true" outlineLevel="0" collapsed="false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48"/>
    </row>
    <row r="57" customFormat="false" ht="15" hidden="false" customHeight="true" outlineLevel="0" collapsed="false">
      <c r="A57" s="73" t="s">
        <v>405</v>
      </c>
      <c r="B57" s="449" t="s">
        <v>1855</v>
      </c>
      <c r="C57" s="449"/>
      <c r="D57" s="67"/>
      <c r="E57" s="52" t="s">
        <v>369</v>
      </c>
      <c r="F57" s="300" t="s">
        <v>1856</v>
      </c>
      <c r="G57" s="52"/>
      <c r="H57" s="52"/>
      <c r="I57" s="52"/>
      <c r="J57" s="52"/>
      <c r="K57" s="50"/>
      <c r="L57" s="48"/>
      <c r="M57" s="48"/>
      <c r="N57" s="48"/>
      <c r="O57" s="48"/>
      <c r="P57" s="48"/>
    </row>
    <row r="58" customFormat="false" ht="15" hidden="false" customHeight="true" outlineLevel="0" collapsed="false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48"/>
      <c r="M58" s="48"/>
      <c r="N58" s="48"/>
      <c r="O58" s="48"/>
      <c r="P58" s="48"/>
    </row>
    <row r="59" customFormat="false" ht="15" hidden="false" customHeight="true" outlineLevel="0" collapsed="false">
      <c r="A59" s="50" t="s">
        <v>93</v>
      </c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48"/>
      <c r="M59" s="48"/>
      <c r="N59" s="48"/>
      <c r="O59" s="48"/>
      <c r="P59" s="48"/>
    </row>
    <row r="60" customFormat="false" ht="15" hidden="false" customHeight="true" outlineLevel="0" collapsed="false">
      <c r="A60" s="50" t="s">
        <v>94</v>
      </c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48"/>
      <c r="M60" s="48"/>
      <c r="N60" s="48"/>
      <c r="O60" s="48"/>
      <c r="P60" s="48"/>
    </row>
    <row r="61" customFormat="false" ht="15" hidden="false" customHeight="true" outlineLevel="0" collapsed="false">
      <c r="A61" s="50" t="s">
        <v>95</v>
      </c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48"/>
      <c r="M61" s="48"/>
      <c r="N61" s="48"/>
      <c r="O61" s="48"/>
      <c r="P61" s="48"/>
    </row>
    <row r="62" customFormat="false" ht="15" hidden="false" customHeight="true" outlineLevel="0" collapsed="false">
      <c r="A62" s="50" t="s">
        <v>96</v>
      </c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48"/>
      <c r="M62" s="48"/>
      <c r="N62" s="48"/>
      <c r="O62" s="48"/>
      <c r="P62" s="48"/>
    </row>
    <row r="63" customFormat="false" ht="15" hidden="false" customHeight="true" outlineLevel="0" collapsed="false">
      <c r="A63" s="50" t="s">
        <v>97</v>
      </c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48"/>
      <c r="M63" s="48"/>
      <c r="N63" s="48"/>
      <c r="O63" s="48"/>
      <c r="P63" s="48"/>
    </row>
    <row r="64" customFormat="false" ht="15" hidden="false" customHeight="true" outlineLevel="0" collapsed="false">
      <c r="A64" s="50" t="s">
        <v>98</v>
      </c>
      <c r="B64" s="50"/>
      <c r="C64" s="50"/>
      <c r="D64" s="50"/>
      <c r="E64" s="50"/>
      <c r="F64" s="50"/>
      <c r="G64" s="50"/>
      <c r="H64" s="50"/>
      <c r="I64" s="50"/>
      <c r="J64" s="50"/>
      <c r="K64" s="50"/>
    </row>
    <row r="65" customFormat="false" ht="15" hidden="false" customHeight="true" outlineLevel="0" collapsed="false">
      <c r="A65" s="50" t="s">
        <v>99</v>
      </c>
      <c r="B65" s="50"/>
      <c r="C65" s="50"/>
      <c r="D65" s="50"/>
      <c r="E65" s="50"/>
      <c r="F65" s="50"/>
      <c r="G65" s="50"/>
      <c r="H65" s="50"/>
      <c r="I65" s="50"/>
      <c r="J65" s="50"/>
      <c r="K65" s="50"/>
    </row>
    <row r="66" customFormat="false" ht="15.75" hidden="false" customHeight="true" outlineLevel="0" collapsed="false"/>
  </sheetData>
  <mergeCells count="36">
    <mergeCell ref="E1:H1"/>
    <mergeCell ref="A3:S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43:I43"/>
    <mergeCell ref="A45:I45"/>
    <mergeCell ref="J45:K45"/>
    <mergeCell ref="A46:I46"/>
    <mergeCell ref="J46:K46"/>
    <mergeCell ref="A47:I47"/>
    <mergeCell ref="J47:K47"/>
    <mergeCell ref="A48:I48"/>
    <mergeCell ref="J48:K48"/>
    <mergeCell ref="A49:I49"/>
    <mergeCell ref="J49:K49"/>
    <mergeCell ref="A50:I50"/>
    <mergeCell ref="J50:K50"/>
    <mergeCell ref="A51:I51"/>
    <mergeCell ref="J51:K51"/>
    <mergeCell ref="A52:I52"/>
    <mergeCell ref="J52:K52"/>
    <mergeCell ref="L52:M52"/>
    <mergeCell ref="A53:I53"/>
    <mergeCell ref="J53:K53"/>
    <mergeCell ref="A54:I54"/>
    <mergeCell ref="J54:K54"/>
    <mergeCell ref="B57:C57"/>
  </mergeCells>
  <conditionalFormatting sqref="E10:K1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7:K47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9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3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K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41:L41 E42:G42 J42:L42 L44 E44:K45 K43:L43 E40:M40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39:M39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6:K46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9:M9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2:M38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0:M10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8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1:M31 E8:M8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66"/>
  <sheetViews>
    <sheetView showFormulas="false" showGridLines="true" showRowColHeaders="true" showZeros="true" rightToLeft="false" tabSelected="false" showOutlineSymbols="true" defaultGridColor="true" view="normal" topLeftCell="A4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8"/>
    <col collapsed="false" customWidth="true" hidden="false" outlineLevel="0" max="3" min="3" style="0" width="19.42"/>
    <col collapsed="false" customWidth="true" hidden="false" outlineLevel="0" max="15" min="15" style="0" width="10.71"/>
    <col collapsed="false" customWidth="true" hidden="false" outlineLevel="0" max="17" min="17" style="0" width="12.42"/>
    <col collapsed="false" customWidth="true" hidden="false" outlineLevel="0" max="19" min="19" style="0" width="5"/>
    <col collapsed="false" customWidth="true" hidden="false" outlineLevel="0" max="20" min="20" style="0" width="8.71"/>
    <col collapsed="false" customWidth="true" hidden="false" outlineLevel="0" max="21" min="21" style="0" width="4"/>
    <col collapsed="false" customWidth="true" hidden="false" outlineLevel="0" max="22" min="22" style="0" width="4.86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 t="s">
        <v>1</v>
      </c>
      <c r="M2" s="72"/>
      <c r="N2" s="72"/>
      <c r="O2" s="146" t="n">
        <f aca="false">set!B4</f>
        <v>45608</v>
      </c>
      <c r="P2" s="72"/>
      <c r="Q2" s="72"/>
      <c r="R2" s="72"/>
      <c r="S2" s="75"/>
      <c r="T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ИУК4-52Б факультета ИУК МГТУ им. Н.Э. Баумана"</f>
        <v>Успеваемость студентов за 1 семестр 24/25 учебного года по группе ИУК4-52Б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0" t="s">
        <v>7</v>
      </c>
      <c r="J5" s="10"/>
      <c r="K5" s="10"/>
      <c r="L5" s="10"/>
      <c r="M5" s="10"/>
      <c r="N5" s="429" t="s">
        <v>8</v>
      </c>
      <c r="O5" s="13" t="s">
        <v>9</v>
      </c>
      <c r="P5" s="13" t="s">
        <v>10</v>
      </c>
      <c r="Q5" s="417" t="s">
        <v>11</v>
      </c>
      <c r="R5" s="417" t="s">
        <v>12</v>
      </c>
    </row>
    <row r="6" customFormat="false" ht="15" hidden="false" customHeight="false" outlineLevel="0" collapsed="false">
      <c r="A6" s="8"/>
      <c r="B6" s="8"/>
      <c r="C6" s="8"/>
      <c r="D6" s="9"/>
      <c r="E6" s="339" t="s">
        <v>882</v>
      </c>
      <c r="F6" s="340" t="s">
        <v>1790</v>
      </c>
      <c r="G6" s="340" t="s">
        <v>1791</v>
      </c>
      <c r="H6" s="342" t="s">
        <v>291</v>
      </c>
      <c r="I6" s="340" t="s">
        <v>18</v>
      </c>
      <c r="J6" s="340" t="s">
        <v>1792</v>
      </c>
      <c r="K6" s="340" t="s">
        <v>295</v>
      </c>
      <c r="L6" s="340" t="s">
        <v>296</v>
      </c>
      <c r="M6" s="341" t="s">
        <v>147</v>
      </c>
      <c r="N6" s="429"/>
      <c r="O6" s="13"/>
      <c r="P6" s="13"/>
      <c r="Q6" s="417"/>
      <c r="R6" s="417"/>
    </row>
    <row r="7" customFormat="false" ht="17.9" hidden="false" customHeight="false" outlineLevel="0" collapsed="false">
      <c r="A7" s="8"/>
      <c r="B7" s="8"/>
      <c r="C7" s="8"/>
      <c r="D7" s="9"/>
      <c r="E7" s="343" t="s">
        <v>299</v>
      </c>
      <c r="F7" s="344" t="s">
        <v>741</v>
      </c>
      <c r="G7" s="344" t="s">
        <v>741</v>
      </c>
      <c r="H7" s="346" t="s">
        <v>299</v>
      </c>
      <c r="I7" s="344" t="s">
        <v>1456</v>
      </c>
      <c r="J7" s="344" t="s">
        <v>742</v>
      </c>
      <c r="K7" s="344" t="s">
        <v>175</v>
      </c>
      <c r="L7" s="344" t="s">
        <v>300</v>
      </c>
      <c r="M7" s="345" t="s">
        <v>176</v>
      </c>
      <c r="N7" s="429"/>
      <c r="O7" s="13"/>
      <c r="P7" s="13"/>
      <c r="Q7" s="417"/>
      <c r="R7" s="417"/>
    </row>
    <row r="8" customFormat="false" ht="15" hidden="false" customHeight="true" outlineLevel="0" collapsed="false">
      <c r="A8" s="25" t="n">
        <v>1</v>
      </c>
      <c r="B8" s="25" t="s">
        <v>1857</v>
      </c>
      <c r="C8" s="593" t="s">
        <v>1858</v>
      </c>
      <c r="D8" s="594"/>
      <c r="E8" s="555"/>
      <c r="F8" s="556"/>
      <c r="G8" s="556"/>
      <c r="H8" s="595"/>
      <c r="I8" s="596"/>
      <c r="J8" s="556"/>
      <c r="K8" s="556"/>
      <c r="L8" s="556"/>
      <c r="M8" s="595"/>
      <c r="N8" s="597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85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118" t="n">
        <f aca="false">COUNTIF(E8:M8,2)+COUNTIF(E8:M8,1)+COUNTIF(E8:M8,0)</f>
        <v>0</v>
      </c>
    </row>
    <row r="9" s="45" customFormat="true" ht="15" hidden="false" customHeight="true" outlineLevel="0" collapsed="false">
      <c r="A9" s="37" t="n">
        <v>2</v>
      </c>
      <c r="B9" s="37" t="s">
        <v>1859</v>
      </c>
      <c r="C9" s="160" t="s">
        <v>1860</v>
      </c>
      <c r="D9" s="594"/>
      <c r="E9" s="555"/>
      <c r="F9" s="556"/>
      <c r="G9" s="556"/>
      <c r="H9" s="595"/>
      <c r="I9" s="596"/>
      <c r="J9" s="556"/>
      <c r="K9" s="556"/>
      <c r="L9" s="556"/>
      <c r="M9" s="595"/>
      <c r="N9" s="598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1861</v>
      </c>
      <c r="C10" s="160" t="s">
        <v>1862</v>
      </c>
      <c r="D10" s="594"/>
      <c r="E10" s="555"/>
      <c r="F10" s="556"/>
      <c r="G10" s="556"/>
      <c r="H10" s="595"/>
      <c r="I10" s="596"/>
      <c r="J10" s="556"/>
      <c r="K10" s="556"/>
      <c r="L10" s="556"/>
      <c r="M10" s="595"/>
      <c r="N10" s="598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1863</v>
      </c>
      <c r="C11" s="160" t="s">
        <v>1864</v>
      </c>
      <c r="D11" s="594"/>
      <c r="E11" s="555"/>
      <c r="F11" s="556"/>
      <c r="G11" s="556"/>
      <c r="H11" s="595"/>
      <c r="I11" s="596"/>
      <c r="J11" s="556"/>
      <c r="K11" s="556"/>
      <c r="L11" s="556"/>
      <c r="M11" s="595"/>
      <c r="N11" s="598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1865</v>
      </c>
      <c r="C12" s="160" t="s">
        <v>1866</v>
      </c>
      <c r="D12" s="594"/>
      <c r="E12" s="555"/>
      <c r="F12" s="556"/>
      <c r="G12" s="556"/>
      <c r="H12" s="595"/>
      <c r="I12" s="596"/>
      <c r="J12" s="556"/>
      <c r="K12" s="556"/>
      <c r="L12" s="556"/>
      <c r="M12" s="595"/>
      <c r="N12" s="598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1867</v>
      </c>
      <c r="C13" s="160" t="s">
        <v>1868</v>
      </c>
      <c r="D13" s="594"/>
      <c r="E13" s="555"/>
      <c r="F13" s="556"/>
      <c r="G13" s="556"/>
      <c r="H13" s="595"/>
      <c r="I13" s="596"/>
      <c r="J13" s="556"/>
      <c r="K13" s="556"/>
      <c r="L13" s="556"/>
      <c r="M13" s="595"/>
      <c r="N13" s="598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1869</v>
      </c>
      <c r="C14" s="160" t="s">
        <v>1870</v>
      </c>
      <c r="D14" s="594"/>
      <c r="E14" s="555"/>
      <c r="F14" s="556"/>
      <c r="G14" s="556"/>
      <c r="H14" s="595"/>
      <c r="I14" s="596"/>
      <c r="J14" s="556"/>
      <c r="K14" s="556"/>
      <c r="L14" s="556"/>
      <c r="M14" s="595"/>
      <c r="N14" s="598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1871</v>
      </c>
      <c r="C15" s="160" t="s">
        <v>1872</v>
      </c>
      <c r="D15" s="594"/>
      <c r="E15" s="555"/>
      <c r="F15" s="556"/>
      <c r="G15" s="556"/>
      <c r="H15" s="595"/>
      <c r="I15" s="596"/>
      <c r="J15" s="556"/>
      <c r="K15" s="556"/>
      <c r="L15" s="556"/>
      <c r="M15" s="595"/>
      <c r="N15" s="598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1873</v>
      </c>
      <c r="C16" s="160" t="s">
        <v>1874</v>
      </c>
      <c r="D16" s="594"/>
      <c r="E16" s="555"/>
      <c r="F16" s="556"/>
      <c r="G16" s="556"/>
      <c r="H16" s="595"/>
      <c r="I16" s="596"/>
      <c r="J16" s="556"/>
      <c r="K16" s="556"/>
      <c r="L16" s="556"/>
      <c r="M16" s="595"/>
      <c r="N16" s="598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1875</v>
      </c>
      <c r="C17" s="160" t="s">
        <v>1876</v>
      </c>
      <c r="D17" s="594"/>
      <c r="E17" s="555"/>
      <c r="F17" s="556"/>
      <c r="G17" s="556"/>
      <c r="H17" s="595"/>
      <c r="I17" s="596"/>
      <c r="J17" s="556"/>
      <c r="K17" s="556"/>
      <c r="L17" s="556"/>
      <c r="M17" s="595"/>
      <c r="N17" s="598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1877</v>
      </c>
      <c r="C18" s="160" t="s">
        <v>1878</v>
      </c>
      <c r="D18" s="594"/>
      <c r="E18" s="555"/>
      <c r="F18" s="556"/>
      <c r="G18" s="556"/>
      <c r="H18" s="595"/>
      <c r="I18" s="596"/>
      <c r="J18" s="556"/>
      <c r="K18" s="556"/>
      <c r="L18" s="556"/>
      <c r="M18" s="595"/>
      <c r="N18" s="598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1879</v>
      </c>
      <c r="C19" s="160" t="s">
        <v>1880</v>
      </c>
      <c r="D19" s="594"/>
      <c r="E19" s="555"/>
      <c r="F19" s="556"/>
      <c r="G19" s="556"/>
      <c r="H19" s="595"/>
      <c r="I19" s="596"/>
      <c r="J19" s="556"/>
      <c r="K19" s="556"/>
      <c r="L19" s="556"/>
      <c r="M19" s="595"/>
      <c r="N19" s="598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1881</v>
      </c>
      <c r="C20" s="160" t="s">
        <v>1882</v>
      </c>
      <c r="D20" s="594"/>
      <c r="E20" s="555"/>
      <c r="F20" s="556"/>
      <c r="G20" s="556"/>
      <c r="H20" s="595"/>
      <c r="I20" s="596"/>
      <c r="J20" s="556"/>
      <c r="K20" s="556"/>
      <c r="L20" s="556"/>
      <c r="M20" s="595"/>
      <c r="N20" s="598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13</v>
      </c>
      <c r="B21" s="37" t="s">
        <v>1883</v>
      </c>
      <c r="C21" s="160" t="s">
        <v>1884</v>
      </c>
      <c r="D21" s="594"/>
      <c r="E21" s="555"/>
      <c r="F21" s="556"/>
      <c r="G21" s="556"/>
      <c r="H21" s="595"/>
      <c r="I21" s="596"/>
      <c r="J21" s="556"/>
      <c r="K21" s="556"/>
      <c r="L21" s="556"/>
      <c r="M21" s="595"/>
      <c r="N21" s="598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s="45" customFormat="true" ht="15" hidden="false" customHeight="true" outlineLevel="0" collapsed="false">
      <c r="A22" s="37" t="n">
        <v>14</v>
      </c>
      <c r="B22" s="37" t="s">
        <v>1885</v>
      </c>
      <c r="C22" s="160" t="s">
        <v>1886</v>
      </c>
      <c r="D22" s="594"/>
      <c r="E22" s="555"/>
      <c r="F22" s="556"/>
      <c r="G22" s="556"/>
      <c r="H22" s="595"/>
      <c r="I22" s="596"/>
      <c r="J22" s="556"/>
      <c r="K22" s="556"/>
      <c r="L22" s="556"/>
      <c r="M22" s="595"/>
      <c r="N22" s="598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15</v>
      </c>
      <c r="B23" s="37" t="s">
        <v>1887</v>
      </c>
      <c r="C23" s="160" t="s">
        <v>1888</v>
      </c>
      <c r="D23" s="594"/>
      <c r="E23" s="555"/>
      <c r="F23" s="556"/>
      <c r="G23" s="556"/>
      <c r="H23" s="595"/>
      <c r="I23" s="596"/>
      <c r="J23" s="556"/>
      <c r="K23" s="556"/>
      <c r="L23" s="556"/>
      <c r="M23" s="595"/>
      <c r="N23" s="598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16</v>
      </c>
      <c r="B24" s="37" t="s">
        <v>1889</v>
      </c>
      <c r="C24" s="160" t="s">
        <v>1890</v>
      </c>
      <c r="D24" s="594"/>
      <c r="E24" s="555"/>
      <c r="F24" s="556"/>
      <c r="G24" s="556"/>
      <c r="H24" s="595"/>
      <c r="I24" s="596"/>
      <c r="J24" s="556"/>
      <c r="K24" s="556"/>
      <c r="L24" s="556"/>
      <c r="M24" s="595"/>
      <c r="N24" s="598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17</v>
      </c>
      <c r="B25" s="37" t="s">
        <v>1891</v>
      </c>
      <c r="C25" s="160" t="s">
        <v>1892</v>
      </c>
      <c r="D25" s="594"/>
      <c r="E25" s="555"/>
      <c r="F25" s="556"/>
      <c r="G25" s="556"/>
      <c r="H25" s="595"/>
      <c r="I25" s="596"/>
      <c r="J25" s="556"/>
      <c r="K25" s="556"/>
      <c r="L25" s="556"/>
      <c r="M25" s="595"/>
      <c r="N25" s="598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18</v>
      </c>
      <c r="B26" s="37" t="s">
        <v>1893</v>
      </c>
      <c r="C26" s="160" t="s">
        <v>1894</v>
      </c>
      <c r="D26" s="594"/>
      <c r="E26" s="555"/>
      <c r="F26" s="556"/>
      <c r="G26" s="556"/>
      <c r="H26" s="595"/>
      <c r="I26" s="596"/>
      <c r="J26" s="556"/>
      <c r="K26" s="556"/>
      <c r="L26" s="556"/>
      <c r="M26" s="595"/>
      <c r="N26" s="598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19</v>
      </c>
      <c r="B27" s="37" t="s">
        <v>1895</v>
      </c>
      <c r="C27" s="160" t="s">
        <v>1896</v>
      </c>
      <c r="D27" s="594"/>
      <c r="E27" s="555"/>
      <c r="F27" s="556"/>
      <c r="G27" s="556"/>
      <c r="H27" s="595"/>
      <c r="I27" s="596"/>
      <c r="J27" s="556"/>
      <c r="K27" s="556"/>
      <c r="L27" s="556"/>
      <c r="M27" s="595"/>
      <c r="N27" s="598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118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20</v>
      </c>
      <c r="B28" s="37" t="s">
        <v>1897</v>
      </c>
      <c r="C28" s="160" t="s">
        <v>1898</v>
      </c>
      <c r="D28" s="594"/>
      <c r="E28" s="555"/>
      <c r="F28" s="556"/>
      <c r="G28" s="556"/>
      <c r="H28" s="595"/>
      <c r="I28" s="596"/>
      <c r="J28" s="556"/>
      <c r="K28" s="556"/>
      <c r="L28" s="556"/>
      <c r="M28" s="595"/>
      <c r="N28" s="598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118" t="n">
        <f aca="false">COUNTIF(E28:M28,2)+COUNTIF(E28:M28,1)+COUNTIF(E28:M28,0)</f>
        <v>0</v>
      </c>
    </row>
    <row r="29" customFormat="false" ht="15" hidden="false" customHeight="true" outlineLevel="0" collapsed="false">
      <c r="A29" s="37" t="n">
        <v>21</v>
      </c>
      <c r="B29" s="37" t="s">
        <v>1899</v>
      </c>
      <c r="C29" s="160" t="s">
        <v>1900</v>
      </c>
      <c r="D29" s="594"/>
      <c r="E29" s="555"/>
      <c r="F29" s="556"/>
      <c r="G29" s="556"/>
      <c r="H29" s="595"/>
      <c r="I29" s="596"/>
      <c r="J29" s="556"/>
      <c r="K29" s="556"/>
      <c r="L29" s="556"/>
      <c r="M29" s="595"/>
      <c r="N29" s="598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118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22</v>
      </c>
      <c r="B30" s="37" t="s">
        <v>1901</v>
      </c>
      <c r="C30" s="160" t="s">
        <v>1902</v>
      </c>
      <c r="D30" s="594"/>
      <c r="E30" s="555"/>
      <c r="F30" s="556"/>
      <c r="G30" s="556"/>
      <c r="H30" s="595"/>
      <c r="I30" s="596"/>
      <c r="J30" s="556"/>
      <c r="K30" s="556"/>
      <c r="L30" s="556"/>
      <c r="M30" s="595"/>
      <c r="N30" s="598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118" t="n">
        <f aca="false">COUNTIF(E30:M30,2)+COUNTIF(E30:M30,1)+COUNTIF(E30:M30,0)</f>
        <v>0</v>
      </c>
    </row>
    <row r="31" customFormat="false" ht="15" hidden="false" customHeight="true" outlineLevel="0" collapsed="false">
      <c r="A31" s="37" t="n">
        <v>23</v>
      </c>
      <c r="B31" s="37" t="s">
        <v>1903</v>
      </c>
      <c r="C31" s="160" t="s">
        <v>1904</v>
      </c>
      <c r="D31" s="594"/>
      <c r="E31" s="555"/>
      <c r="F31" s="556"/>
      <c r="G31" s="556"/>
      <c r="H31" s="595"/>
      <c r="I31" s="596"/>
      <c r="J31" s="556"/>
      <c r="K31" s="556"/>
      <c r="L31" s="556"/>
      <c r="M31" s="595"/>
      <c r="N31" s="598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118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24</v>
      </c>
      <c r="B32" s="37" t="s">
        <v>1905</v>
      </c>
      <c r="C32" s="160" t="s">
        <v>1906</v>
      </c>
      <c r="D32" s="594"/>
      <c r="E32" s="555"/>
      <c r="F32" s="556"/>
      <c r="G32" s="556"/>
      <c r="H32" s="595"/>
      <c r="I32" s="596"/>
      <c r="J32" s="556"/>
      <c r="K32" s="556"/>
      <c r="L32" s="556"/>
      <c r="M32" s="595"/>
      <c r="N32" s="598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118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25</v>
      </c>
      <c r="B33" s="37" t="s">
        <v>1907</v>
      </c>
      <c r="C33" s="160" t="s">
        <v>1908</v>
      </c>
      <c r="D33" s="594"/>
      <c r="E33" s="555"/>
      <c r="F33" s="556"/>
      <c r="G33" s="556"/>
      <c r="H33" s="595"/>
      <c r="I33" s="596"/>
      <c r="J33" s="556"/>
      <c r="K33" s="556"/>
      <c r="L33" s="556"/>
      <c r="M33" s="595"/>
      <c r="N33" s="598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118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26</v>
      </c>
      <c r="B34" s="37" t="s">
        <v>1909</v>
      </c>
      <c r="C34" s="160" t="s">
        <v>1910</v>
      </c>
      <c r="D34" s="594"/>
      <c r="E34" s="555"/>
      <c r="F34" s="556"/>
      <c r="G34" s="556"/>
      <c r="H34" s="595"/>
      <c r="I34" s="596"/>
      <c r="J34" s="556"/>
      <c r="K34" s="556"/>
      <c r="L34" s="556"/>
      <c r="M34" s="595"/>
      <c r="N34" s="598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5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118" t="n">
        <f aca="false">COUNTIF(E34:M34,2)+COUNTIF(E34:M34,1)+COUNTIF(E34:M34,0)</f>
        <v>0</v>
      </c>
    </row>
    <row r="35" s="45" customFormat="true" ht="15" hidden="false" customHeight="true" outlineLevel="0" collapsed="false">
      <c r="A35" s="37" t="n">
        <v>27</v>
      </c>
      <c r="B35" s="37" t="s">
        <v>1911</v>
      </c>
      <c r="C35" s="160" t="s">
        <v>1912</v>
      </c>
      <c r="D35" s="594"/>
      <c r="E35" s="555"/>
      <c r="F35" s="556"/>
      <c r="G35" s="556"/>
      <c r="H35" s="595"/>
      <c r="I35" s="596"/>
      <c r="J35" s="556"/>
      <c r="K35" s="556"/>
      <c r="L35" s="556"/>
      <c r="M35" s="595"/>
      <c r="N35" s="598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85" t="str">
        <f aca="false" t="array" ref="Q35:Q35">IF(E35&lt;&gt;"",IF(N35&lt;1.85,"Выговор",IF(N35=1.85,"Выговор",IF(AND(N35&gt;1.85,N35&lt;3),"Предупреждение",IF(AND(N35&gt;3,N35&lt;4.65),"Нормально",IF(AND(N35&gt;4.65,N35&lt;5.1,E35:M35&gt;=4),"Благодарность","Нормально"))))),"")</f>
        <v/>
      </c>
      <c r="R35" s="118" t="n">
        <f aca="false">COUNTIF(E35:M35,2)+COUNTIF(E35:M35,1)+COUNTIF(E35:M35,0)</f>
        <v>0</v>
      </c>
    </row>
    <row r="36" s="45" customFormat="true" ht="15" hidden="false" customHeight="true" outlineLevel="0" collapsed="false">
      <c r="A36" s="37" t="n">
        <v>28</v>
      </c>
      <c r="B36" s="37" t="s">
        <v>1913</v>
      </c>
      <c r="C36" s="160" t="s">
        <v>1914</v>
      </c>
      <c r="D36" s="594"/>
      <c r="E36" s="555"/>
      <c r="F36" s="556"/>
      <c r="G36" s="556"/>
      <c r="H36" s="595"/>
      <c r="I36" s="596"/>
      <c r="J36" s="556"/>
      <c r="K36" s="556"/>
      <c r="L36" s="556"/>
      <c r="M36" s="595"/>
      <c r="N36" s="598" t="str">
        <f aca="false">IFERROR(AVERAGE(E36:M36),"")</f>
        <v/>
      </c>
      <c r="O36" s="84" t="str">
        <f aca="false">IF(E36&lt;&gt;"",IF(COUNTIF(E36:M36,"&lt;3"),"Не успевает","Успевает"),"")</f>
        <v/>
      </c>
      <c r="P36" s="241" t="str">
        <f aca="false">IF(D36&lt;&gt;"",(30*(set!B$5)-D36)/(30*(set!B$5))*100,"")</f>
        <v/>
      </c>
      <c r="Q36" s="85" t="str">
        <f aca="false" t="array" ref="Q36:Q36">IF(E36&lt;&gt;"",IF(N36&lt;1.85,"Выговор",IF(N36=1.85,"Выговор",IF(AND(N36&gt;1.85,N36&lt;3),"Предупреждение",IF(AND(N36&gt;3,N36&lt;4.65),"Нормально",IF(AND(N36&gt;4.65,N36&lt;5.1,E36:M36&gt;=4),"Благодарность","Нормально"))))),"")</f>
        <v/>
      </c>
      <c r="R36" s="118" t="n">
        <f aca="false">COUNTIF(E36:M36,2)+COUNTIF(E36:M36,1)+COUNTIF(E36:M36,0)</f>
        <v>0</v>
      </c>
    </row>
    <row r="37" s="45" customFormat="true" ht="15" hidden="false" customHeight="true" outlineLevel="0" collapsed="false">
      <c r="A37" s="37" t="n">
        <v>29</v>
      </c>
      <c r="B37" s="37" t="s">
        <v>1915</v>
      </c>
      <c r="C37" s="160" t="s">
        <v>1916</v>
      </c>
      <c r="D37" s="594"/>
      <c r="E37" s="555"/>
      <c r="F37" s="556"/>
      <c r="G37" s="556"/>
      <c r="H37" s="595"/>
      <c r="I37" s="596"/>
      <c r="J37" s="556"/>
      <c r="K37" s="556"/>
      <c r="L37" s="556"/>
      <c r="M37" s="595"/>
      <c r="N37" s="598" t="str">
        <f aca="false">IFERROR(AVERAGE(E37:M37),"")</f>
        <v/>
      </c>
      <c r="O37" s="84" t="str">
        <f aca="false">IF(E37&lt;&gt;"",IF(COUNTIF(E37:M37,"&lt;3"),"Не успевает","Успевает"),"")</f>
        <v/>
      </c>
      <c r="P37" s="241" t="str">
        <f aca="false">IF(D37&lt;&gt;"",(30*(set!B$5)-D37)/(30*(set!B$5))*100,"")</f>
        <v/>
      </c>
      <c r="Q37" s="85" t="str">
        <f aca="false" t="array" ref="Q37:Q37">IF(E37&lt;&gt;"",IF(N37&lt;1.85,"Выговор",IF(N37=1.85,"Выговор",IF(AND(N37&gt;1.85,N37&lt;3),"Предупреждение",IF(AND(N37&gt;3,N37&lt;4.65),"Нормально",IF(AND(N37&gt;4.65,N37&lt;5.1,E37:M37&gt;=4),"Благодарность","Нормально"))))),"")</f>
        <v/>
      </c>
      <c r="R37" s="118" t="n">
        <f aca="false">COUNTIF(E37:M37,2)+COUNTIF(E37:M37,1)+COUNTIF(E37:M37,0)</f>
        <v>0</v>
      </c>
    </row>
    <row r="38" customFormat="false" ht="15" hidden="false" customHeight="true" outlineLevel="0" collapsed="false">
      <c r="A38" s="0" t="s">
        <v>77</v>
      </c>
      <c r="D38" s="46"/>
      <c r="E38" s="47" t="e">
        <f aca="false">AVERAGE(E8:E37)</f>
        <v>#DIV/0!</v>
      </c>
      <c r="F38" s="47" t="e">
        <f aca="false">AVERAGE(F8:F37)</f>
        <v>#DIV/0!</v>
      </c>
      <c r="G38" s="47" t="e">
        <f aca="false">AVERAGE(G8:G37)</f>
        <v>#DIV/0!</v>
      </c>
      <c r="H38" s="47" t="e">
        <f aca="false">AVERAGE(H8:H37)</f>
        <v>#DIV/0!</v>
      </c>
      <c r="I38" s="47" t="e">
        <f aca="false">AVERAGE(I8:I37)</f>
        <v>#DIV/0!</v>
      </c>
      <c r="J38" s="47" t="e">
        <f aca="false">AVERAGE(J8:J37)</f>
        <v>#DIV/0!</v>
      </c>
      <c r="K38" s="47" t="e">
        <f aca="false">AVERAGE(K8:K37)</f>
        <v>#DIV/0!</v>
      </c>
      <c r="L38" s="47" t="e">
        <f aca="false">AVERAGE(L8:L37)</f>
        <v>#DIV/0!</v>
      </c>
      <c r="M38" s="47" t="e">
        <f aca="false">AVERAGE(M8:M37)</f>
        <v>#DIV/0!</v>
      </c>
      <c r="N38" s="47"/>
      <c r="O38" s="423"/>
      <c r="P38" s="423"/>
    </row>
    <row r="39" customFormat="false" ht="15" hidden="false" customHeight="true" outlineLevel="0" collapsed="false">
      <c r="A39" s="0" t="s">
        <v>78</v>
      </c>
      <c r="D39" s="46"/>
      <c r="E39" s="49" t="e">
        <f aca="false">(COUNTIF(E8:E37,5)+COUNTIF(E8:E37,4)+COUNTIF(E8:E37,3))/$P$45*100</f>
        <v>#DIV/0!</v>
      </c>
      <c r="F39" s="49" t="e">
        <f aca="false">(COUNTIF(F8:F37,5)+COUNTIF(F8:F37,4)+COUNTIF(F8:F37,3))/$P$45*100</f>
        <v>#DIV/0!</v>
      </c>
      <c r="G39" s="49" t="e">
        <f aca="false">(COUNTIF(G8:G37,5)+COUNTIF(G8:G37,4)+COUNTIF(G8:G37,3))/$P$45*100</f>
        <v>#DIV/0!</v>
      </c>
      <c r="H39" s="49" t="e">
        <f aca="false">(COUNTIF(H8:H37,5)+COUNTIF(H8:H37,4)+COUNTIF(H8:H37,3))/$P$45*100</f>
        <v>#DIV/0!</v>
      </c>
      <c r="I39" s="49" t="e">
        <f aca="false">(COUNTIF(I8:I37,5)+COUNTIF(I8:I37,4)+COUNTIF(I8:I37,3))/$P$45*100</f>
        <v>#DIV/0!</v>
      </c>
      <c r="J39" s="49" t="e">
        <f aca="false">(COUNTIF(J8:J37,5)+COUNTIF(J8:J37,4)+COUNTIF(J8:J37,3))/$P$45*100</f>
        <v>#DIV/0!</v>
      </c>
      <c r="K39" s="49" t="e">
        <f aca="false">(COUNTIF(K8:K37,5)+COUNTIF(K8:K37,4)+COUNTIF(K8:K37,3))/$P$45*100</f>
        <v>#DIV/0!</v>
      </c>
      <c r="L39" s="49" t="e">
        <f aca="false">(COUNTIF(L8:L37,5)+COUNTIF(L8:L37,4)+COUNTIF(L8:L37,3))/$P$45*100</f>
        <v>#DIV/0!</v>
      </c>
      <c r="M39" s="49" t="e">
        <f aca="false">(COUNTIF(M8:M37,5)+COUNTIF(M8:M37,4)+COUNTIF(M8:M37,3))/$P$45*100</f>
        <v>#DIV/0!</v>
      </c>
      <c r="N39" s="47"/>
      <c r="O39" s="423"/>
      <c r="P39" s="423"/>
    </row>
    <row r="40" customFormat="false" ht="15" hidden="false" customHeight="true" outlineLevel="0" collapsed="false">
      <c r="D40" s="537"/>
      <c r="E40" s="48"/>
      <c r="F40" s="48"/>
      <c r="G40" s="48"/>
      <c r="H40" s="48"/>
      <c r="I40" s="48"/>
      <c r="J40" s="48"/>
      <c r="K40" s="48"/>
      <c r="L40" s="47"/>
      <c r="M40" s="48"/>
      <c r="N40" s="48"/>
      <c r="O40" s="48"/>
      <c r="P40" s="48"/>
      <c r="Q40" s="49"/>
      <c r="S40" s="423"/>
      <c r="T40" s="423"/>
    </row>
    <row r="41" customFormat="false" ht="15" hidden="false" customHeight="true" outlineLevel="0" collapsed="false">
      <c r="D41" s="537"/>
      <c r="E41" s="48"/>
      <c r="F41" s="48"/>
      <c r="G41" s="48"/>
      <c r="J41" s="48"/>
      <c r="K41" s="48"/>
      <c r="L41" s="47"/>
      <c r="M41" s="48"/>
      <c r="N41" s="48"/>
      <c r="O41" s="48"/>
      <c r="P41" s="48"/>
      <c r="Q41" s="49"/>
      <c r="S41" s="423"/>
      <c r="T41" s="423"/>
    </row>
    <row r="42" customFormat="false" ht="15" hidden="false" customHeight="true" outlineLevel="0" collapsed="false">
      <c r="C42" s="50" t="s">
        <v>8</v>
      </c>
      <c r="D42" s="51" t="str">
        <f aca="false">IFERROR(AVERAGE(N8:N37),"")</f>
        <v/>
      </c>
      <c r="E42" s="52" t="s">
        <v>9</v>
      </c>
      <c r="G42" s="53" t="str">
        <f aca="false">IFERROR(COUNTIF(O8:O37,"Успевает")/P45*100,"")</f>
        <v/>
      </c>
      <c r="H42" s="54" t="s">
        <v>79</v>
      </c>
      <c r="I42" s="54"/>
      <c r="J42" s="55" t="str">
        <f aca="false">IFERROR(AVERAGE(P8:P37),"")</f>
        <v/>
      </c>
      <c r="K42" s="48"/>
      <c r="L42" s="47"/>
      <c r="M42" s="48"/>
      <c r="N42" s="48"/>
      <c r="O42" s="48"/>
      <c r="P42" s="48"/>
      <c r="Q42" s="49"/>
      <c r="S42" s="423"/>
      <c r="T42" s="423"/>
    </row>
    <row r="43" customFormat="false" ht="15" hidden="false" customHeight="true" outlineLevel="0" collapsed="false">
      <c r="D43" s="537"/>
      <c r="E43" s="48"/>
      <c r="F43" s="48"/>
      <c r="G43" s="48"/>
      <c r="H43" s="48"/>
      <c r="I43" s="48"/>
      <c r="J43" s="48"/>
      <c r="K43" s="48"/>
      <c r="L43" s="47"/>
      <c r="M43" s="48"/>
      <c r="N43" s="48"/>
      <c r="O43" s="48"/>
      <c r="P43" s="48"/>
      <c r="Q43" s="49"/>
      <c r="S43" s="423"/>
      <c r="T43" s="423"/>
    </row>
    <row r="44" customFormat="false" ht="15" hidden="false" customHeight="true" outlineLevel="0" collapsed="false">
      <c r="A44" s="61" t="s">
        <v>81</v>
      </c>
      <c r="B44" s="61"/>
      <c r="C44" s="61"/>
      <c r="D44" s="61"/>
      <c r="E44" s="61"/>
      <c r="F44" s="61"/>
      <c r="G44" s="61"/>
      <c r="H44" s="61"/>
      <c r="I44" s="61"/>
      <c r="J44" s="61" t="s">
        <v>82</v>
      </c>
      <c r="K44" s="61"/>
      <c r="L44" s="61"/>
      <c r="M44" s="48"/>
      <c r="N44" s="48"/>
      <c r="O44" s="48"/>
      <c r="P44" s="48"/>
      <c r="Q44" s="49"/>
      <c r="S44" s="423"/>
      <c r="T44" s="423"/>
    </row>
    <row r="45" customFormat="false" ht="15" hidden="false" customHeight="true" outlineLevel="0" collapsed="false">
      <c r="A45" s="65" t="str">
        <f aca="false">$E$6</f>
        <v> Операционные системы</v>
      </c>
      <c r="B45" s="65"/>
      <c r="C45" s="65"/>
      <c r="D45" s="65"/>
      <c r="E45" s="65"/>
      <c r="F45" s="65"/>
      <c r="G45" s="65"/>
      <c r="H45" s="65"/>
      <c r="I45" s="65"/>
      <c r="J45" s="66"/>
      <c r="K45" s="66"/>
      <c r="L45" s="66"/>
      <c r="M45" s="48"/>
      <c r="N45" s="590" t="s">
        <v>80</v>
      </c>
      <c r="O45" s="590"/>
      <c r="P45" s="58" t="n">
        <f aca="false">SUM(P46,P47)</f>
        <v>0</v>
      </c>
      <c r="Q45" s="193"/>
      <c r="R45" s="193"/>
    </row>
    <row r="46" customFormat="false" ht="15" hidden="false" customHeight="true" outlineLevel="0" collapsed="false">
      <c r="A46" s="65" t="str">
        <f aca="false">$F$6</f>
        <v> Проектирование систем хранения и обработки данных</v>
      </c>
      <c r="B46" s="65"/>
      <c r="C46" s="65"/>
      <c r="D46" s="65"/>
      <c r="E46" s="65"/>
      <c r="F46" s="65"/>
      <c r="G46" s="65"/>
      <c r="H46" s="65"/>
      <c r="I46" s="65"/>
      <c r="J46" s="559"/>
      <c r="K46" s="559"/>
      <c r="L46" s="559"/>
      <c r="M46" s="48"/>
      <c r="N46" s="590" t="s">
        <v>83</v>
      </c>
      <c r="O46" s="590"/>
      <c r="P46" s="58" t="n">
        <f aca="false">COUNTIF(O8:O37,"Успевает")</f>
        <v>0</v>
      </c>
      <c r="Q46" s="64"/>
      <c r="R46" s="64"/>
    </row>
    <row r="47" customFormat="false" ht="15" hidden="false" customHeight="true" outlineLevel="0" collapsed="false">
      <c r="A47" s="65" t="str">
        <f aca="false">$G$6</f>
        <v> Разработка мобильного программного обеспечения</v>
      </c>
      <c r="B47" s="65"/>
      <c r="C47" s="65"/>
      <c r="D47" s="65"/>
      <c r="E47" s="65"/>
      <c r="F47" s="65"/>
      <c r="G47" s="65"/>
      <c r="H47" s="65"/>
      <c r="I47" s="65"/>
      <c r="J47" s="66"/>
      <c r="K47" s="66"/>
      <c r="L47" s="66"/>
      <c r="M47" s="48"/>
      <c r="N47" s="591" t="s">
        <v>84</v>
      </c>
      <c r="O47" s="591"/>
      <c r="P47" s="58" t="n">
        <f aca="false">COUNTIF(O8:O37,"Не успевает")</f>
        <v>0</v>
      </c>
      <c r="Q47" s="99"/>
      <c r="R47" s="69"/>
    </row>
    <row r="48" customFormat="false" ht="15" hidden="false" customHeight="true" outlineLevel="0" collapsed="false">
      <c r="A48" s="65" t="str">
        <f aca="false">$H$6</f>
        <v> Сети и телекоммуникации</v>
      </c>
      <c r="B48" s="65"/>
      <c r="C48" s="65"/>
      <c r="D48" s="65"/>
      <c r="E48" s="65"/>
      <c r="F48" s="65"/>
      <c r="G48" s="65"/>
      <c r="H48" s="65"/>
      <c r="I48" s="65"/>
      <c r="J48" s="66"/>
      <c r="K48" s="66"/>
      <c r="L48" s="66"/>
      <c r="M48" s="48"/>
      <c r="N48" s="591" t="s">
        <v>85</v>
      </c>
      <c r="O48" s="591"/>
      <c r="P48" s="58" t="n">
        <f aca="false">COUNTIF(Q8:Q37,"Благодарность")</f>
        <v>0</v>
      </c>
      <c r="R48" s="72"/>
    </row>
    <row r="49" customFormat="false" ht="15" hidden="false" customHeight="true" outlineLevel="0" collapsed="false">
      <c r="A49" s="65" t="str">
        <f aca="false">$I$6</f>
        <v>Иностранный язык</v>
      </c>
      <c r="B49" s="65"/>
      <c r="C49" s="65"/>
      <c r="D49" s="65"/>
      <c r="E49" s="65"/>
      <c r="F49" s="65"/>
      <c r="G49" s="65"/>
      <c r="H49" s="65"/>
      <c r="I49" s="65"/>
      <c r="J49" s="66"/>
      <c r="K49" s="66"/>
      <c r="L49" s="66"/>
      <c r="M49" s="193"/>
      <c r="N49" s="591" t="s">
        <v>86</v>
      </c>
      <c r="O49" s="591"/>
      <c r="P49" s="58" t="n">
        <f aca="false">COUNTIF(Q8:Q37,"Нормально")</f>
        <v>0</v>
      </c>
    </row>
    <row r="50" customFormat="false" ht="15" hidden="false" customHeight="true" outlineLevel="0" collapsed="false">
      <c r="A50" s="65" t="str">
        <f aca="false">$J$6</f>
        <v> Кроссплатформенная разработка программного обеспечения (к.п.)</v>
      </c>
      <c r="B50" s="65"/>
      <c r="C50" s="65"/>
      <c r="D50" s="65"/>
      <c r="E50" s="65"/>
      <c r="F50" s="65"/>
      <c r="G50" s="65"/>
      <c r="H50" s="65"/>
      <c r="I50" s="65"/>
      <c r="J50" s="66"/>
      <c r="K50" s="66"/>
      <c r="L50" s="66"/>
      <c r="M50" s="193"/>
      <c r="N50" s="591" t="s">
        <v>87</v>
      </c>
      <c r="O50" s="591"/>
      <c r="P50" s="58" t="n">
        <f aca="false">COUNTIF(Q8:Q37,"Предупреждение")</f>
        <v>0</v>
      </c>
    </row>
    <row r="51" customFormat="false" ht="15" hidden="false" customHeight="true" outlineLevel="0" collapsed="false">
      <c r="A51" s="65" t="str">
        <f aca="false">$K$6</f>
        <v> Социология</v>
      </c>
      <c r="B51" s="65"/>
      <c r="C51" s="65"/>
      <c r="D51" s="65"/>
      <c r="E51" s="65"/>
      <c r="F51" s="65"/>
      <c r="G51" s="65"/>
      <c r="H51" s="65"/>
      <c r="I51" s="65"/>
      <c r="J51" s="66"/>
      <c r="K51" s="66"/>
      <c r="L51" s="66"/>
      <c r="M51" s="193"/>
      <c r="N51" s="591" t="s">
        <v>88</v>
      </c>
      <c r="O51" s="591"/>
      <c r="P51" s="58" t="n">
        <f aca="false">COUNTIF(Q8:Q37,"Выговор")</f>
        <v>0</v>
      </c>
    </row>
    <row r="52" customFormat="false" ht="15" hidden="false" customHeight="true" outlineLevel="0" collapsed="false">
      <c r="A52" s="65" t="str">
        <f aca="false">$L$6</f>
        <v> Экология</v>
      </c>
      <c r="B52" s="65"/>
      <c r="C52" s="65"/>
      <c r="D52" s="65"/>
      <c r="E52" s="65"/>
      <c r="F52" s="65"/>
      <c r="G52" s="65"/>
      <c r="H52" s="65"/>
      <c r="I52" s="65"/>
      <c r="J52" s="66"/>
      <c r="K52" s="66"/>
      <c r="L52" s="66"/>
      <c r="M52" s="193"/>
      <c r="N52" s="336" t="s">
        <v>12</v>
      </c>
      <c r="O52" s="336"/>
      <c r="P52" s="143" t="n">
        <f aca="false">SUM(R8:R37)</f>
        <v>0</v>
      </c>
      <c r="Q52" s="193"/>
    </row>
    <row r="53" customFormat="false" ht="15" hidden="false" customHeight="true" outlineLevel="0" collapsed="false">
      <c r="A53" s="65" t="str">
        <f aca="false">$M$6</f>
        <v>Физическая культура и спорт</v>
      </c>
      <c r="B53" s="65"/>
      <c r="C53" s="65"/>
      <c r="D53" s="65"/>
      <c r="E53" s="65"/>
      <c r="F53" s="65"/>
      <c r="G53" s="65"/>
      <c r="H53" s="65"/>
      <c r="I53" s="65"/>
      <c r="J53" s="66"/>
      <c r="K53" s="66"/>
      <c r="L53" s="66"/>
      <c r="M53" s="193"/>
      <c r="N53" s="193"/>
      <c r="O53" s="193"/>
      <c r="P53" s="193"/>
      <c r="Q53" s="193"/>
    </row>
    <row r="54" customFormat="false" ht="15" hidden="false" customHeight="true" outlineLevel="0" collapsed="false">
      <c r="L54" s="67"/>
    </row>
    <row r="55" customFormat="false" ht="15" hidden="false" customHeight="true" outlineLevel="0" collapsed="false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48"/>
    </row>
    <row r="56" customFormat="false" ht="15" hidden="false" customHeight="true" outlineLevel="0" collapsed="false">
      <c r="A56" s="177" t="s">
        <v>405</v>
      </c>
      <c r="B56" s="74" t="s">
        <v>1917</v>
      </c>
      <c r="C56" s="74"/>
      <c r="D56" s="67"/>
      <c r="E56" s="52" t="s">
        <v>369</v>
      </c>
      <c r="F56" s="300" t="s">
        <v>1856</v>
      </c>
      <c r="G56" s="52"/>
      <c r="H56" s="52"/>
      <c r="I56" s="52"/>
      <c r="J56" s="52"/>
      <c r="K56" s="50"/>
      <c r="L56" s="48"/>
      <c r="M56" s="48"/>
      <c r="N56" s="48"/>
      <c r="O56" s="48"/>
      <c r="P56" s="48"/>
      <c r="Q56" s="48"/>
    </row>
    <row r="57" customFormat="false" ht="15" hidden="false" customHeight="true" outlineLevel="0" collapsed="false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48"/>
      <c r="M57" s="48"/>
      <c r="N57" s="48"/>
      <c r="O57" s="48"/>
      <c r="P57" s="48"/>
      <c r="Q57" s="48"/>
    </row>
    <row r="58" customFormat="false" ht="15" hidden="false" customHeight="true" outlineLevel="0" collapsed="false">
      <c r="A58" s="50" t="s">
        <v>93</v>
      </c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48"/>
      <c r="M58" s="48"/>
      <c r="N58" s="48"/>
      <c r="O58" s="48"/>
      <c r="P58" s="48"/>
      <c r="Q58" s="48"/>
    </row>
    <row r="59" customFormat="false" ht="15" hidden="false" customHeight="true" outlineLevel="0" collapsed="false">
      <c r="A59" s="50" t="s">
        <v>94</v>
      </c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48"/>
      <c r="M59" s="48"/>
      <c r="N59" s="48"/>
      <c r="O59" s="48"/>
      <c r="P59" s="48"/>
      <c r="Q59" s="48"/>
    </row>
    <row r="60" customFormat="false" ht="15" hidden="false" customHeight="true" outlineLevel="0" collapsed="false">
      <c r="A60" s="50" t="s">
        <v>95</v>
      </c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48"/>
      <c r="M60" s="48"/>
      <c r="N60" s="48"/>
      <c r="O60" s="48"/>
      <c r="P60" s="48"/>
      <c r="Q60" s="48"/>
    </row>
    <row r="61" customFormat="false" ht="15" hidden="false" customHeight="true" outlineLevel="0" collapsed="false">
      <c r="A61" s="50" t="s">
        <v>96</v>
      </c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48"/>
      <c r="M61" s="48"/>
      <c r="N61" s="48"/>
      <c r="O61" s="48"/>
      <c r="P61" s="48"/>
      <c r="Q61" s="48"/>
    </row>
    <row r="62" customFormat="false" ht="15" hidden="false" customHeight="true" outlineLevel="0" collapsed="false">
      <c r="A62" s="50" t="s">
        <v>97</v>
      </c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48"/>
      <c r="M62" s="48"/>
      <c r="N62" s="48"/>
      <c r="O62" s="48"/>
      <c r="P62" s="48"/>
      <c r="Q62" s="48"/>
    </row>
    <row r="63" customFormat="false" ht="15" hidden="false" customHeight="true" outlineLevel="0" collapsed="false">
      <c r="A63" s="50" t="s">
        <v>98</v>
      </c>
      <c r="B63" s="50"/>
      <c r="C63" s="50"/>
      <c r="D63" s="50"/>
      <c r="E63" s="50"/>
      <c r="F63" s="50"/>
      <c r="G63" s="50"/>
      <c r="H63" s="50"/>
      <c r="I63" s="50"/>
      <c r="J63" s="50"/>
      <c r="K63" s="50"/>
    </row>
    <row r="64" customFormat="false" ht="15" hidden="false" customHeight="true" outlineLevel="0" collapsed="false">
      <c r="A64" s="50" t="s">
        <v>99</v>
      </c>
      <c r="B64" s="50"/>
      <c r="C64" s="50"/>
      <c r="D64" s="50"/>
      <c r="E64" s="50"/>
      <c r="F64" s="50"/>
      <c r="G64" s="50"/>
      <c r="H64" s="50"/>
      <c r="I64" s="50"/>
      <c r="J64" s="50"/>
      <c r="K64" s="50"/>
    </row>
    <row r="65" customFormat="false" ht="15" hidden="false" customHeight="true" outlineLevel="0" collapsed="false"/>
    <row r="66" customFormat="false" ht="15" hidden="false" customHeight="true" outlineLevel="0" collapsed="false"/>
  </sheetData>
  <mergeCells count="35">
    <mergeCell ref="E1:H1"/>
    <mergeCell ref="A3:T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42:I42"/>
    <mergeCell ref="A44:I44"/>
    <mergeCell ref="J44:L44"/>
    <mergeCell ref="A45:I45"/>
    <mergeCell ref="J45:L45"/>
    <mergeCell ref="A46:I46"/>
    <mergeCell ref="J46:L46"/>
    <mergeCell ref="A47:I47"/>
    <mergeCell ref="J47:L47"/>
    <mergeCell ref="A48:I48"/>
    <mergeCell ref="J48:L48"/>
    <mergeCell ref="A49:I49"/>
    <mergeCell ref="J49:L49"/>
    <mergeCell ref="A50:I50"/>
    <mergeCell ref="J50:L50"/>
    <mergeCell ref="A51:I51"/>
    <mergeCell ref="J51:L51"/>
    <mergeCell ref="A52:I52"/>
    <mergeCell ref="J52:L52"/>
    <mergeCell ref="N52:O52"/>
    <mergeCell ref="A53:I53"/>
    <mergeCell ref="J53:L53"/>
  </mergeCells>
  <conditionalFormatting sqref="E9:M9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6:K46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44:L44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45:L4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38:N3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40:L40 E41:G41 J41:L41 E43:L43 K42:L42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8:M39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8 E23:M31 E10:M2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:M22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2:M37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63"/>
  <sheetViews>
    <sheetView showFormulas="false" showGridLines="true" showRowColHeaders="true" showZeros="true" rightToLeft="false" tabSelected="false" showOutlineSymbols="true" defaultGridColor="true" view="normal" topLeftCell="A4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57"/>
    <col collapsed="false" customWidth="true" hidden="false" outlineLevel="0" max="3" min="3" style="0" width="19.29"/>
    <col collapsed="false" customWidth="true" hidden="false" outlineLevel="0" max="5" min="5" style="0" width="10"/>
    <col collapsed="false" customWidth="true" hidden="false" outlineLevel="0" max="6" min="6" style="45" width="10"/>
    <col collapsed="false" customWidth="false" hidden="false" outlineLevel="0" max="12" min="12" style="45" width="9.14"/>
    <col collapsed="false" customWidth="true" hidden="false" outlineLevel="0" max="14" min="14" style="0" width="7.57"/>
    <col collapsed="false" customWidth="true" hidden="false" outlineLevel="0" max="15" min="15" style="0" width="9.71"/>
    <col collapsed="false" customWidth="true" hidden="false" outlineLevel="0" max="17" min="17" style="0" width="17.29"/>
    <col collapsed="false" customWidth="true" hidden="false" outlineLevel="0" max="19" min="18" style="0" width="4.57"/>
  </cols>
  <sheetData>
    <row r="1" customFormat="false" ht="19.7" hidden="false" customHeight="false" outlineLevel="0" collapsed="false">
      <c r="D1" s="216" t="s">
        <v>0</v>
      </c>
      <c r="E1" s="216"/>
      <c r="F1" s="216"/>
      <c r="G1" s="216"/>
      <c r="H1" s="216"/>
      <c r="I1" s="2" t="n">
        <f aca="false">set!B1</f>
        <v>2</v>
      </c>
    </row>
    <row r="2" customFormat="false" ht="15" hidden="false" customHeight="false" outlineLevel="0" collapsed="false">
      <c r="O2" s="72" t="s">
        <v>1</v>
      </c>
      <c r="P2" s="72"/>
      <c r="Q2" s="599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ИУК4-71Б факультета ИУК МГТУ им. Н.Э. Баумана"</f>
        <v>Успеваемость студентов за 1 семестр 24/25 учебного года по группе ИУК4-71Б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00" t="s">
        <v>1575</v>
      </c>
    </row>
    <row r="6" customFormat="false" ht="101.25" hidden="false" customHeight="true" outlineLevel="0" collapsed="false">
      <c r="A6" s="8"/>
      <c r="B6" s="8"/>
      <c r="C6" s="8"/>
      <c r="D6" s="9"/>
      <c r="E6" s="339" t="s">
        <v>1918</v>
      </c>
      <c r="F6" s="340" t="s">
        <v>1919</v>
      </c>
      <c r="G6" s="340" t="s">
        <v>1920</v>
      </c>
      <c r="H6" s="342" t="s">
        <v>1921</v>
      </c>
      <c r="I6" s="601" t="s">
        <v>1000</v>
      </c>
      <c r="J6" s="340" t="s">
        <v>1922</v>
      </c>
      <c r="K6" s="340" t="s">
        <v>1001</v>
      </c>
      <c r="L6" s="340" t="s">
        <v>377</v>
      </c>
      <c r="M6" s="602" t="s">
        <v>1002</v>
      </c>
      <c r="N6" s="391"/>
      <c r="O6" s="392"/>
      <c r="P6" s="392"/>
      <c r="Q6" s="14"/>
      <c r="R6" s="600"/>
    </row>
    <row r="7" customFormat="false" ht="17.9" hidden="false" customHeight="false" outlineLevel="0" collapsed="false">
      <c r="A7" s="8"/>
      <c r="B7" s="8"/>
      <c r="C7" s="8"/>
      <c r="D7" s="9"/>
      <c r="E7" s="343" t="s">
        <v>741</v>
      </c>
      <c r="F7" s="344" t="s">
        <v>741</v>
      </c>
      <c r="G7" s="344" t="s">
        <v>741</v>
      </c>
      <c r="H7" s="346" t="s">
        <v>741</v>
      </c>
      <c r="I7" s="407" t="s">
        <v>1004</v>
      </c>
      <c r="J7" s="346" t="s">
        <v>742</v>
      </c>
      <c r="K7" s="344" t="s">
        <v>742</v>
      </c>
      <c r="L7" s="344" t="s">
        <v>1456</v>
      </c>
      <c r="M7" s="496" t="s">
        <v>380</v>
      </c>
      <c r="N7" s="391"/>
      <c r="O7" s="392"/>
      <c r="P7" s="392"/>
      <c r="Q7" s="14"/>
      <c r="R7" s="600"/>
    </row>
    <row r="8" customFormat="false" ht="15" hidden="false" customHeight="true" outlineLevel="0" collapsed="false">
      <c r="A8" s="25" t="n">
        <v>1</v>
      </c>
      <c r="B8" s="25" t="s">
        <v>1923</v>
      </c>
      <c r="C8" s="25" t="s">
        <v>1924</v>
      </c>
      <c r="D8" s="603"/>
      <c r="E8" s="604"/>
      <c r="F8" s="605"/>
      <c r="G8" s="605"/>
      <c r="H8" s="606"/>
      <c r="I8" s="605"/>
      <c r="J8" s="607"/>
      <c r="K8" s="607"/>
      <c r="L8" s="607"/>
      <c r="M8" s="606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608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1925</v>
      </c>
      <c r="C9" s="37" t="s">
        <v>1926</v>
      </c>
      <c r="D9" s="609"/>
      <c r="E9" s="610"/>
      <c r="F9" s="605"/>
      <c r="G9" s="605"/>
      <c r="H9" s="606"/>
      <c r="I9" s="605"/>
      <c r="J9" s="607"/>
      <c r="K9" s="611"/>
      <c r="L9" s="607"/>
      <c r="M9" s="606"/>
      <c r="N9" s="58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437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1927</v>
      </c>
      <c r="C10" s="37" t="s">
        <v>1928</v>
      </c>
      <c r="D10" s="609"/>
      <c r="E10" s="610"/>
      <c r="F10" s="605"/>
      <c r="G10" s="605"/>
      <c r="H10" s="606"/>
      <c r="I10" s="605"/>
      <c r="J10" s="607"/>
      <c r="K10" s="611"/>
      <c r="L10" s="607"/>
      <c r="M10" s="606"/>
      <c r="N10" s="58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437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1929</v>
      </c>
      <c r="C11" s="37" t="s">
        <v>1930</v>
      </c>
      <c r="D11" s="609"/>
      <c r="E11" s="610"/>
      <c r="F11" s="605"/>
      <c r="G11" s="605"/>
      <c r="H11" s="606"/>
      <c r="I11" s="605"/>
      <c r="J11" s="607"/>
      <c r="K11" s="611"/>
      <c r="L11" s="607"/>
      <c r="M11" s="606"/>
      <c r="N11" s="58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437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1931</v>
      </c>
      <c r="C12" s="37" t="s">
        <v>1932</v>
      </c>
      <c r="D12" s="609"/>
      <c r="E12" s="610"/>
      <c r="F12" s="605"/>
      <c r="G12" s="605"/>
      <c r="H12" s="606"/>
      <c r="I12" s="605"/>
      <c r="J12" s="611"/>
      <c r="K12" s="611"/>
      <c r="L12" s="607"/>
      <c r="M12" s="606"/>
      <c r="N12" s="58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437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1933</v>
      </c>
      <c r="C13" s="37" t="s">
        <v>1934</v>
      </c>
      <c r="D13" s="612"/>
      <c r="E13" s="610"/>
      <c r="F13" s="605"/>
      <c r="G13" s="605"/>
      <c r="H13" s="606"/>
      <c r="I13" s="605"/>
      <c r="J13" s="611"/>
      <c r="K13" s="611"/>
      <c r="L13" s="607"/>
      <c r="M13" s="606"/>
      <c r="N13" s="58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437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1935</v>
      </c>
      <c r="C14" s="37" t="s">
        <v>1936</v>
      </c>
      <c r="D14" s="612"/>
      <c r="E14" s="610"/>
      <c r="F14" s="605"/>
      <c r="G14" s="605"/>
      <c r="H14" s="606"/>
      <c r="I14" s="605"/>
      <c r="J14" s="611"/>
      <c r="K14" s="611"/>
      <c r="L14" s="607"/>
      <c r="M14" s="606"/>
      <c r="N14" s="58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437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1937</v>
      </c>
      <c r="C15" s="37" t="s">
        <v>1938</v>
      </c>
      <c r="D15" s="612"/>
      <c r="E15" s="610"/>
      <c r="F15" s="605"/>
      <c r="G15" s="605"/>
      <c r="H15" s="606"/>
      <c r="I15" s="605"/>
      <c r="J15" s="611"/>
      <c r="K15" s="611"/>
      <c r="L15" s="607"/>
      <c r="M15" s="606"/>
      <c r="N15" s="58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437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1939</v>
      </c>
      <c r="C16" s="37" t="s">
        <v>1940</v>
      </c>
      <c r="D16" s="612"/>
      <c r="E16" s="610"/>
      <c r="F16" s="605"/>
      <c r="G16" s="605"/>
      <c r="H16" s="606"/>
      <c r="I16" s="605"/>
      <c r="J16" s="611"/>
      <c r="K16" s="611"/>
      <c r="L16" s="607"/>
      <c r="M16" s="606"/>
      <c r="N16" s="58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437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1941</v>
      </c>
      <c r="C17" s="37" t="s">
        <v>1942</v>
      </c>
      <c r="D17" s="612"/>
      <c r="E17" s="610"/>
      <c r="F17" s="605"/>
      <c r="G17" s="605"/>
      <c r="H17" s="606"/>
      <c r="I17" s="605"/>
      <c r="J17" s="611"/>
      <c r="K17" s="611"/>
      <c r="L17" s="607"/>
      <c r="M17" s="606"/>
      <c r="N17" s="58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437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1943</v>
      </c>
      <c r="C18" s="37" t="s">
        <v>1944</v>
      </c>
      <c r="D18" s="612"/>
      <c r="E18" s="610"/>
      <c r="F18" s="605"/>
      <c r="G18" s="605"/>
      <c r="H18" s="606"/>
      <c r="I18" s="605"/>
      <c r="J18" s="611"/>
      <c r="K18" s="611"/>
      <c r="L18" s="607"/>
      <c r="M18" s="606"/>
      <c r="N18" s="58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437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1945</v>
      </c>
      <c r="C19" s="37" t="s">
        <v>1946</v>
      </c>
      <c r="D19" s="603"/>
      <c r="E19" s="604"/>
      <c r="F19" s="605"/>
      <c r="G19" s="605"/>
      <c r="H19" s="606"/>
      <c r="I19" s="605"/>
      <c r="J19" s="607"/>
      <c r="K19" s="607"/>
      <c r="L19" s="607"/>
      <c r="M19" s="606"/>
      <c r="N19" s="58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437" t="n">
        <f aca="false">COUNTIF(E19:M19,2)+COUNTIF(E19:M19,1)+COUNTIF(E19:M19,0)</f>
        <v>0</v>
      </c>
    </row>
    <row r="20" s="45" customFormat="true" ht="15" hidden="false" customHeight="true" outlineLevel="0" collapsed="false">
      <c r="A20" s="37" t="n">
        <v>13</v>
      </c>
      <c r="B20" s="37" t="s">
        <v>1947</v>
      </c>
      <c r="C20" s="37" t="s">
        <v>1948</v>
      </c>
      <c r="D20" s="609"/>
      <c r="E20" s="610"/>
      <c r="F20" s="605"/>
      <c r="G20" s="605"/>
      <c r="H20" s="606"/>
      <c r="I20" s="605"/>
      <c r="J20" s="607"/>
      <c r="K20" s="611"/>
      <c r="L20" s="607"/>
      <c r="M20" s="606"/>
      <c r="N20" s="58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437" t="n">
        <f aca="false">COUNTIF(E20:M20,2)+COUNTIF(E20:M20,1)+COUNTIF(E20:M20,0)</f>
        <v>0</v>
      </c>
    </row>
    <row r="21" s="45" customFormat="true" ht="15" hidden="false" customHeight="true" outlineLevel="0" collapsed="false">
      <c r="A21" s="37" t="n">
        <v>14</v>
      </c>
      <c r="B21" s="37" t="s">
        <v>1949</v>
      </c>
      <c r="C21" s="37" t="s">
        <v>1950</v>
      </c>
      <c r="D21" s="609"/>
      <c r="E21" s="610"/>
      <c r="F21" s="605"/>
      <c r="G21" s="605"/>
      <c r="H21" s="606"/>
      <c r="I21" s="605"/>
      <c r="J21" s="607"/>
      <c r="K21" s="611"/>
      <c r="L21" s="607"/>
      <c r="M21" s="606"/>
      <c r="N21" s="58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437" t="n">
        <f aca="false">COUNTIF(E21:M21,2)+COUNTIF(E21:M21,1)+COUNTIF(E21:M21,0)</f>
        <v>0</v>
      </c>
    </row>
    <row r="22" s="45" customFormat="true" ht="15" hidden="false" customHeight="true" outlineLevel="0" collapsed="false">
      <c r="A22" s="37" t="n">
        <v>15</v>
      </c>
      <c r="B22" s="37" t="s">
        <v>1951</v>
      </c>
      <c r="C22" s="37" t="s">
        <v>1952</v>
      </c>
      <c r="D22" s="609"/>
      <c r="E22" s="610"/>
      <c r="F22" s="605"/>
      <c r="G22" s="605"/>
      <c r="H22" s="606"/>
      <c r="I22" s="605"/>
      <c r="J22" s="607"/>
      <c r="K22" s="611"/>
      <c r="L22" s="607"/>
      <c r="M22" s="606"/>
      <c r="N22" s="585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437" t="n">
        <f aca="false">COUNTIF(E22:M22,2)+COUNTIF(E22:M22,1)+COUNTIF(E22:M22,0)</f>
        <v>0</v>
      </c>
    </row>
    <row r="23" s="45" customFormat="true" ht="15" hidden="false" customHeight="true" outlineLevel="0" collapsed="false">
      <c r="A23" s="37" t="n">
        <v>16</v>
      </c>
      <c r="B23" s="37" t="s">
        <v>1953</v>
      </c>
      <c r="C23" s="37" t="s">
        <v>1954</v>
      </c>
      <c r="D23" s="609"/>
      <c r="E23" s="610"/>
      <c r="F23" s="605"/>
      <c r="G23" s="605"/>
      <c r="H23" s="606"/>
      <c r="I23" s="605"/>
      <c r="J23" s="611"/>
      <c r="K23" s="611"/>
      <c r="L23" s="607"/>
      <c r="M23" s="606"/>
      <c r="N23" s="585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437" t="n">
        <f aca="false">COUNTIF(E23:M23,2)+COUNTIF(E23:M23,1)+COUNTIF(E23:M23,0)</f>
        <v>0</v>
      </c>
    </row>
    <row r="24" s="45" customFormat="true" ht="15" hidden="false" customHeight="true" outlineLevel="0" collapsed="false">
      <c r="A24" s="37" t="n">
        <v>17</v>
      </c>
      <c r="B24" s="37" t="s">
        <v>1955</v>
      </c>
      <c r="C24" s="37" t="s">
        <v>1956</v>
      </c>
      <c r="D24" s="612"/>
      <c r="E24" s="610"/>
      <c r="F24" s="605"/>
      <c r="G24" s="605"/>
      <c r="H24" s="606"/>
      <c r="I24" s="605"/>
      <c r="J24" s="611"/>
      <c r="K24" s="611"/>
      <c r="L24" s="607"/>
      <c r="M24" s="606"/>
      <c r="N24" s="585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437" t="n">
        <f aca="false">COUNTIF(E24:M24,2)+COUNTIF(E24:M24,1)+COUNTIF(E24:M24,0)</f>
        <v>0</v>
      </c>
    </row>
    <row r="25" s="45" customFormat="true" ht="15" hidden="false" customHeight="true" outlineLevel="0" collapsed="false">
      <c r="A25" s="37" t="n">
        <v>18</v>
      </c>
      <c r="B25" s="37" t="s">
        <v>1957</v>
      </c>
      <c r="C25" s="37" t="s">
        <v>1958</v>
      </c>
      <c r="D25" s="612"/>
      <c r="E25" s="610"/>
      <c r="F25" s="605"/>
      <c r="G25" s="605"/>
      <c r="H25" s="606"/>
      <c r="I25" s="605"/>
      <c r="J25" s="611"/>
      <c r="K25" s="611"/>
      <c r="L25" s="607"/>
      <c r="M25" s="606"/>
      <c r="N25" s="585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437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19</v>
      </c>
      <c r="B26" s="37" t="s">
        <v>1959</v>
      </c>
      <c r="C26" s="37" t="s">
        <v>1960</v>
      </c>
      <c r="D26" s="612"/>
      <c r="E26" s="610"/>
      <c r="F26" s="605"/>
      <c r="G26" s="605"/>
      <c r="H26" s="606"/>
      <c r="I26" s="605"/>
      <c r="J26" s="611"/>
      <c r="K26" s="611"/>
      <c r="L26" s="607"/>
      <c r="M26" s="606"/>
      <c r="N26" s="585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437" t="n">
        <f aca="false">COUNTIF(E26:M26,2)+COUNTIF(E26:M26,1)+COUNTIF(E26:M26,0)</f>
        <v>0</v>
      </c>
    </row>
    <row r="27" s="45" customFormat="true" ht="15" hidden="false" customHeight="true" outlineLevel="0" collapsed="false">
      <c r="A27" s="37" t="n">
        <v>20</v>
      </c>
      <c r="B27" s="37" t="s">
        <v>1961</v>
      </c>
      <c r="C27" s="37" t="s">
        <v>1962</v>
      </c>
      <c r="D27" s="612"/>
      <c r="E27" s="610"/>
      <c r="F27" s="605"/>
      <c r="G27" s="605"/>
      <c r="H27" s="606"/>
      <c r="I27" s="605"/>
      <c r="J27" s="611"/>
      <c r="K27" s="611"/>
      <c r="L27" s="607"/>
      <c r="M27" s="606"/>
      <c r="N27" s="585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437" t="n">
        <f aca="false">COUNTIF(E27:M27,2)+COUNTIF(E27:M27,1)+COUNTIF(E27:M27,0)</f>
        <v>0</v>
      </c>
    </row>
    <row r="28" s="45" customFormat="true" ht="15" hidden="false" customHeight="true" outlineLevel="0" collapsed="false">
      <c r="A28" s="37" t="n">
        <v>21</v>
      </c>
      <c r="B28" s="37" t="s">
        <v>1963</v>
      </c>
      <c r="C28" s="37" t="s">
        <v>1964</v>
      </c>
      <c r="D28" s="612"/>
      <c r="E28" s="610"/>
      <c r="F28" s="605"/>
      <c r="G28" s="605"/>
      <c r="H28" s="606"/>
      <c r="I28" s="605"/>
      <c r="J28" s="611"/>
      <c r="K28" s="611"/>
      <c r="L28" s="607"/>
      <c r="M28" s="606"/>
      <c r="N28" s="585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437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1965</v>
      </c>
      <c r="C29" s="37" t="s">
        <v>1966</v>
      </c>
      <c r="D29" s="612"/>
      <c r="E29" s="610"/>
      <c r="F29" s="605"/>
      <c r="G29" s="605"/>
      <c r="H29" s="606"/>
      <c r="I29" s="605"/>
      <c r="J29" s="611"/>
      <c r="K29" s="611"/>
      <c r="L29" s="607"/>
      <c r="M29" s="606"/>
      <c r="N29" s="585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437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1967</v>
      </c>
      <c r="C30" s="37" t="s">
        <v>1968</v>
      </c>
      <c r="D30" s="613"/>
      <c r="E30" s="614"/>
      <c r="F30" s="605"/>
      <c r="G30" s="605"/>
      <c r="H30" s="606"/>
      <c r="I30" s="605"/>
      <c r="J30" s="611"/>
      <c r="K30" s="611"/>
      <c r="L30" s="611"/>
      <c r="M30" s="615"/>
      <c r="N30" s="585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437" t="n">
        <f aca="false">COUNTIF(E30:M30,2)+COUNTIF(E30:M30,1)+COUNTIF(E30:M30,0)</f>
        <v>0</v>
      </c>
    </row>
    <row r="31" customFormat="false" ht="15" hidden="false" customHeight="true" outlineLevel="0" collapsed="false">
      <c r="A31" s="0" t="s">
        <v>77</v>
      </c>
      <c r="D31" s="209"/>
      <c r="E31" s="210" t="e">
        <f aca="false">AVERAGE(E8:E30)</f>
        <v>#DIV/0!</v>
      </c>
      <c r="F31" s="210" t="e">
        <f aca="false">AVERAGE(F8:F30)</f>
        <v>#DIV/0!</v>
      </c>
      <c r="G31" s="210" t="e">
        <f aca="false">AVERAGE(G8:G30)</f>
        <v>#DIV/0!</v>
      </c>
      <c r="H31" s="616" t="e">
        <f aca="false">AVERAGE(H8:H30)</f>
        <v>#DIV/0!</v>
      </c>
      <c r="I31" s="210" t="e">
        <f aca="false">AVERAGE(I8:I30)</f>
        <v>#DIV/0!</v>
      </c>
      <c r="J31" s="210" t="e">
        <f aca="false">AVERAGE(J8:J30)</f>
        <v>#DIV/0!</v>
      </c>
      <c r="K31" s="210" t="e">
        <f aca="false">AVERAGE(K8:K30)</f>
        <v>#DIV/0!</v>
      </c>
      <c r="L31" s="210" t="e">
        <f aca="false">AVERAGE(L8:L30)</f>
        <v>#DIV/0!</v>
      </c>
      <c r="M31" s="210" t="e">
        <f aca="false">AVERAGE(M8:M30)</f>
        <v>#DIV/0!</v>
      </c>
      <c r="N31" s="617"/>
    </row>
    <row r="32" customFormat="false" ht="15" hidden="false" customHeight="true" outlineLevel="0" collapsed="false">
      <c r="A32" s="0" t="s">
        <v>78</v>
      </c>
      <c r="E32" s="454" t="e">
        <f aca="false">(COUNTIF(E8:E30,5)+COUNTIF(E8:E30,4)+COUNTIF(E8:E30,3))/$R$38*100</f>
        <v>#DIV/0!</v>
      </c>
      <c r="F32" s="454" t="e">
        <f aca="false">(COUNTIF(F8:F30,5)+COUNTIF(F8:F30,4)+COUNTIF(F8:F30,3))/$R$38*100</f>
        <v>#DIV/0!</v>
      </c>
      <c r="G32" s="454" t="e">
        <f aca="false">(COUNTIF(G8:G30,5)+COUNTIF(G8:G30,4)+COUNTIF(G8:G30,3))/$R$38*100</f>
        <v>#DIV/0!</v>
      </c>
      <c r="H32" s="454" t="e">
        <f aca="false">(COUNTIF(H8:H30,5)+COUNTIF(H8:H30,4)+COUNTIF(H8:H30,3))/$R$38*100</f>
        <v>#DIV/0!</v>
      </c>
      <c r="I32" s="454" t="e">
        <f aca="false">(COUNTIF(I8:I30,5)+COUNTIF(I8:I30,4)+COUNTIF(I8:I30,3))/$R$38*100</f>
        <v>#DIV/0!</v>
      </c>
      <c r="J32" s="454" t="e">
        <f aca="false">(COUNTIF(J8:J30,5)+COUNTIF(J8:J30,4)+COUNTIF(J8:J30,3))/$R$38*100</f>
        <v>#DIV/0!</v>
      </c>
      <c r="K32" s="454" t="e">
        <f aca="false">(COUNTIF(K8:K30,5)+COUNTIF(K8:K30,4)+COUNTIF(K8:K30,3))/$R$38*100</f>
        <v>#DIV/0!</v>
      </c>
      <c r="L32" s="454" t="e">
        <f aca="false">(COUNTIF(L8:L30,5)+COUNTIF(L8:L30,4)+COUNTIF(L8:L30,3))/$R$38*100</f>
        <v>#DIV/0!</v>
      </c>
      <c r="M32" s="454" t="e">
        <f aca="false">(COUNTIF(M8:M30,5)+COUNTIF(M8:M30,4)+COUNTIF(M8:M30,3))/$R$38*100</f>
        <v>#DIV/0!</v>
      </c>
    </row>
    <row r="33" customFormat="false" ht="15" hidden="false" customHeight="true" outlineLevel="0" collapsed="false"/>
    <row r="34" customFormat="false" ht="15" hidden="false" customHeight="true" outlineLevel="0" collapsed="false"/>
    <row r="35" customFormat="false" ht="15" hidden="false" customHeight="true" outlineLevel="0" collapsed="false">
      <c r="C35" s="50" t="s">
        <v>8</v>
      </c>
      <c r="D35" s="51" t="str">
        <f aca="false">IFERROR(AVERAGE(N8:N30),"")</f>
        <v/>
      </c>
      <c r="E35" s="52" t="s">
        <v>9</v>
      </c>
      <c r="F35" s="52"/>
      <c r="G35" s="52"/>
      <c r="H35" s="53" t="str">
        <f aca="false">IFERROR(COUNTIF(O8:O30,"Успевает")/R38*100,"")</f>
        <v/>
      </c>
      <c r="I35" s="54" t="s">
        <v>79</v>
      </c>
      <c r="J35" s="54"/>
      <c r="K35" s="55" t="str">
        <f aca="false">IFERROR(AVERAGE(P8:P30),"")</f>
        <v/>
      </c>
      <c r="L35" s="55"/>
      <c r="M35" s="47"/>
      <c r="N35" s="47"/>
      <c r="O35" s="48"/>
      <c r="P35" s="48"/>
      <c r="Q35" s="48"/>
    </row>
    <row r="36" customFormat="false" ht="15" hidden="false" customHeight="true" outlineLevel="0" collapsed="false"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</row>
    <row r="37" customFormat="false" ht="15" hidden="false" customHeight="true" outlineLevel="0" collapsed="false">
      <c r="B37" s="50"/>
      <c r="C37" s="50"/>
      <c r="D37" s="51"/>
      <c r="E37" s="52"/>
      <c r="F37" s="52"/>
      <c r="G37" s="53"/>
      <c r="H37" s="237"/>
      <c r="I37" s="55"/>
      <c r="J37" s="52"/>
      <c r="K37" s="55"/>
      <c r="L37" s="55"/>
      <c r="M37" s="55"/>
      <c r="N37" s="48"/>
      <c r="O37" s="48"/>
      <c r="P37" s="48"/>
      <c r="Q37" s="48"/>
    </row>
    <row r="38" customFormat="false" ht="15" hidden="false" customHeight="true" outlineLevel="0" collapsed="false">
      <c r="A38" s="50"/>
      <c r="B38" s="61" t="s">
        <v>81</v>
      </c>
      <c r="C38" s="61"/>
      <c r="D38" s="61"/>
      <c r="E38" s="61"/>
      <c r="F38" s="61"/>
      <c r="G38" s="61"/>
      <c r="H38" s="61"/>
      <c r="I38" s="61"/>
      <c r="J38" s="61" t="s">
        <v>82</v>
      </c>
      <c r="K38" s="61"/>
      <c r="L38" s="61"/>
      <c r="M38" s="61"/>
      <c r="P38" s="590" t="s">
        <v>80</v>
      </c>
      <c r="Q38" s="590"/>
      <c r="R38" s="58" t="n">
        <f aca="false">SUM(R39,R40)</f>
        <v>0</v>
      </c>
    </row>
    <row r="39" customFormat="false" ht="15" hidden="false" customHeight="true" outlineLevel="0" collapsed="false">
      <c r="A39" s="50"/>
      <c r="B39" s="65" t="str">
        <f aca="false">$E$6</f>
        <v> Методы принятия решений в программной инженерии</v>
      </c>
      <c r="C39" s="65"/>
      <c r="D39" s="65"/>
      <c r="E39" s="65"/>
      <c r="F39" s="65"/>
      <c r="G39" s="65"/>
      <c r="H39" s="65"/>
      <c r="I39" s="65"/>
      <c r="J39" s="66"/>
      <c r="K39" s="66"/>
      <c r="L39" s="66"/>
      <c r="M39" s="66"/>
      <c r="P39" s="590" t="s">
        <v>83</v>
      </c>
      <c r="Q39" s="590"/>
      <c r="R39" s="58" t="n">
        <f aca="false">COUNTIF(O8:O30,"Успевает")</f>
        <v>0</v>
      </c>
    </row>
    <row r="40" customFormat="false" ht="15" hidden="false" customHeight="true" outlineLevel="0" collapsed="false">
      <c r="A40" s="50"/>
      <c r="B40" s="65" t="str">
        <f aca="false">$F$6</f>
        <v> Проектирование программного обеспечения</v>
      </c>
      <c r="C40" s="65"/>
      <c r="D40" s="65"/>
      <c r="E40" s="65"/>
      <c r="F40" s="65"/>
      <c r="G40" s="65"/>
      <c r="H40" s="65"/>
      <c r="I40" s="65"/>
      <c r="J40" s="66"/>
      <c r="K40" s="66"/>
      <c r="L40" s="66"/>
      <c r="M40" s="66"/>
      <c r="P40" s="591" t="s">
        <v>84</v>
      </c>
      <c r="Q40" s="591"/>
      <c r="R40" s="58" t="n">
        <f aca="false">COUNTIF(O8:O30,"Не успевает")</f>
        <v>0</v>
      </c>
    </row>
    <row r="41" customFormat="false" ht="15" hidden="false" customHeight="true" outlineLevel="0" collapsed="false">
      <c r="A41" s="50"/>
      <c r="B41" s="65" t="str">
        <f aca="false">$G$6</f>
        <v> Технологии обработки больших данных</v>
      </c>
      <c r="C41" s="65"/>
      <c r="D41" s="65"/>
      <c r="E41" s="65"/>
      <c r="F41" s="65"/>
      <c r="G41" s="65"/>
      <c r="H41" s="65"/>
      <c r="I41" s="65"/>
      <c r="J41" s="66"/>
      <c r="K41" s="66"/>
      <c r="L41" s="66"/>
      <c r="M41" s="66"/>
      <c r="P41" s="591" t="s">
        <v>85</v>
      </c>
      <c r="Q41" s="591"/>
      <c r="R41" s="58" t="n">
        <f aca="false">COUNTIF(Q8:Q30,"Благодарность")</f>
        <v>0</v>
      </c>
    </row>
    <row r="42" customFormat="false" ht="15" hidden="false" customHeight="true" outlineLevel="0" collapsed="false">
      <c r="A42" s="50"/>
      <c r="B42" s="65" t="str">
        <f aca="false">$H$6</f>
        <v> Цифровая обработка сигналов</v>
      </c>
      <c r="C42" s="65"/>
      <c r="D42" s="65"/>
      <c r="E42" s="65"/>
      <c r="F42" s="65"/>
      <c r="G42" s="65"/>
      <c r="H42" s="65"/>
      <c r="I42" s="65"/>
      <c r="J42" s="66"/>
      <c r="K42" s="66"/>
      <c r="L42" s="66"/>
      <c r="M42" s="66"/>
      <c r="P42" s="591" t="s">
        <v>86</v>
      </c>
      <c r="Q42" s="591"/>
      <c r="R42" s="58" t="n">
        <f aca="false">COUNTIF(Q8:Q30,"Нормально")</f>
        <v>0</v>
      </c>
    </row>
    <row r="43" customFormat="false" ht="15" hidden="false" customHeight="true" outlineLevel="0" collapsed="false">
      <c r="A43" s="50"/>
      <c r="B43" s="65" t="str">
        <f aca="false">$I$6</f>
        <v> Беспроводные технологии передачи данных</v>
      </c>
      <c r="C43" s="65"/>
      <c r="D43" s="65"/>
      <c r="E43" s="65"/>
      <c r="F43" s="65"/>
      <c r="G43" s="65"/>
      <c r="H43" s="65"/>
      <c r="I43" s="65"/>
      <c r="J43" s="66"/>
      <c r="K43" s="66"/>
      <c r="L43" s="66"/>
      <c r="M43" s="66"/>
      <c r="P43" s="591" t="s">
        <v>87</v>
      </c>
      <c r="Q43" s="591"/>
      <c r="R43" s="58" t="n">
        <f aca="false">COUNTIF(Q8:Q30,"Предупреждение")</f>
        <v>0</v>
      </c>
    </row>
    <row r="44" customFormat="false" ht="15" hidden="false" customHeight="true" outlineLevel="0" collapsed="false">
      <c r="A44" s="50"/>
      <c r="B44" s="65" t="str">
        <f aca="false">$J$6</f>
        <v> Компьютерные сети и Интернет-технологии (к.п.)</v>
      </c>
      <c r="C44" s="65"/>
      <c r="D44" s="65"/>
      <c r="E44" s="65"/>
      <c r="F44" s="65"/>
      <c r="G44" s="65"/>
      <c r="H44" s="65"/>
      <c r="I44" s="65"/>
      <c r="J44" s="66"/>
      <c r="K44" s="66"/>
      <c r="L44" s="66"/>
      <c r="M44" s="66"/>
      <c r="P44" s="591" t="s">
        <v>88</v>
      </c>
      <c r="Q44" s="591"/>
      <c r="R44" s="58" t="n">
        <f aca="false">COUNTIF(Q8:Q30,"Выговор")</f>
        <v>0</v>
      </c>
    </row>
    <row r="45" customFormat="false" ht="15" hidden="false" customHeight="true" outlineLevel="0" collapsed="false">
      <c r="A45" s="50"/>
      <c r="B45" s="65" t="str">
        <f aca="false">$K$6</f>
        <v> Методы машинного обучения </v>
      </c>
      <c r="C45" s="65"/>
      <c r="D45" s="65"/>
      <c r="E45" s="65"/>
      <c r="F45" s="65"/>
      <c r="G45" s="65"/>
      <c r="H45" s="65"/>
      <c r="I45" s="65"/>
      <c r="J45" s="618"/>
      <c r="K45" s="618"/>
      <c r="L45" s="618"/>
      <c r="M45" s="618"/>
      <c r="P45" s="380" t="s">
        <v>1575</v>
      </c>
      <c r="Q45" s="380"/>
      <c r="R45" s="71" t="n">
        <f aca="false">SUM(R8:R30)</f>
        <v>0</v>
      </c>
    </row>
    <row r="46" s="45" customFormat="true" ht="15" hidden="false" customHeight="true" outlineLevel="0" collapsed="false">
      <c r="A46" s="50"/>
      <c r="B46" s="65" t="str">
        <f aca="false">$L$6</f>
        <v> Научно-исследовательская работа</v>
      </c>
      <c r="C46" s="65"/>
      <c r="D46" s="65"/>
      <c r="E46" s="65"/>
      <c r="F46" s="65"/>
      <c r="G46" s="65"/>
      <c r="H46" s="65"/>
      <c r="I46" s="65"/>
      <c r="J46" s="66"/>
      <c r="K46" s="66"/>
      <c r="L46" s="66"/>
      <c r="M46" s="66"/>
    </row>
    <row r="47" s="45" customFormat="true" ht="15" hidden="false" customHeight="true" outlineLevel="0" collapsed="false">
      <c r="A47" s="50"/>
      <c r="B47" s="65" t="str">
        <f aca="false">$M$6</f>
        <v> Экономика</v>
      </c>
      <c r="C47" s="65"/>
      <c r="D47" s="65"/>
      <c r="E47" s="65"/>
      <c r="F47" s="65"/>
      <c r="G47" s="65"/>
      <c r="H47" s="65"/>
      <c r="I47" s="65"/>
      <c r="J47" s="66"/>
      <c r="K47" s="66"/>
      <c r="L47" s="66"/>
      <c r="M47" s="66"/>
    </row>
    <row r="48" s="45" customFormat="true" ht="15" hidden="false" customHeight="true" outlineLevel="0" collapsed="false">
      <c r="A48" s="50"/>
      <c r="B48" s="197"/>
      <c r="C48" s="197"/>
      <c r="D48" s="197"/>
      <c r="E48" s="197"/>
      <c r="F48" s="197"/>
      <c r="G48" s="197"/>
      <c r="H48" s="197"/>
      <c r="I48" s="197"/>
      <c r="J48" s="197"/>
      <c r="K48" s="197"/>
      <c r="L48" s="197"/>
      <c r="M48" s="197"/>
    </row>
    <row r="49" customFormat="false" ht="15" hidden="false" customHeight="true" outlineLevel="0" collapsed="false">
      <c r="A49" s="50"/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67"/>
      <c r="O49" s="48"/>
      <c r="P49" s="48"/>
      <c r="Q49" s="48"/>
    </row>
    <row r="50" customFormat="false" ht="15" hidden="false" customHeight="true" outlineLevel="0" collapsed="false">
      <c r="A50" s="50"/>
      <c r="B50" s="500" t="s">
        <v>1378</v>
      </c>
      <c r="C50" s="467" t="s">
        <v>1969</v>
      </c>
      <c r="D50" s="467"/>
      <c r="G50" s="52" t="s">
        <v>1970</v>
      </c>
      <c r="H50" s="300" t="s">
        <v>1971</v>
      </c>
      <c r="I50" s="52"/>
      <c r="J50" s="139"/>
      <c r="K50" s="139"/>
      <c r="L50" s="139"/>
      <c r="M50" s="139"/>
      <c r="N50" s="67"/>
      <c r="O50" s="48"/>
      <c r="P50" s="48"/>
      <c r="Q50" s="48"/>
    </row>
    <row r="51" customFormat="false" ht="15" hidden="false" customHeight="tru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139"/>
      <c r="K51" s="139"/>
      <c r="L51" s="139"/>
      <c r="M51" s="139"/>
      <c r="N51" s="67"/>
      <c r="O51" s="48"/>
      <c r="P51" s="48"/>
      <c r="Q51" s="48"/>
    </row>
    <row r="52" customFormat="false" ht="15" hidden="false" customHeight="true" outlineLevel="0" collapsed="false">
      <c r="A52" s="50"/>
      <c r="B52" s="50" t="s">
        <v>93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67"/>
      <c r="O52" s="67"/>
      <c r="P52" s="48"/>
      <c r="Q52" s="48"/>
    </row>
    <row r="53" customFormat="false" ht="15" hidden="false" customHeight="true" outlineLevel="0" collapsed="false">
      <c r="A53" s="50"/>
      <c r="B53" s="50" t="s">
        <v>94</v>
      </c>
      <c r="C53" s="50"/>
      <c r="D53" s="50"/>
      <c r="E53" s="50"/>
      <c r="F53" s="50"/>
      <c r="G53" s="50"/>
      <c r="H53" s="50"/>
      <c r="I53" s="50"/>
      <c r="J53" s="52"/>
      <c r="K53" s="52"/>
      <c r="L53" s="52"/>
      <c r="N53" s="67"/>
      <c r="O53" s="67"/>
      <c r="P53" s="48"/>
      <c r="Q53" s="48"/>
    </row>
    <row r="54" customFormat="false" ht="15" hidden="false" customHeight="true" outlineLevel="0" collapsed="false">
      <c r="A54" s="50"/>
      <c r="B54" s="50" t="s">
        <v>95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</row>
    <row r="55" customFormat="false" ht="15" hidden="false" customHeight="true" outlineLevel="0" collapsed="false">
      <c r="A55" s="50"/>
      <c r="B55" s="50" t="s">
        <v>96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</row>
    <row r="56" customFormat="false" ht="15" hidden="false" customHeight="true" outlineLevel="0" collapsed="false">
      <c r="A56" s="50"/>
      <c r="B56" s="50" t="s">
        <v>97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</row>
    <row r="57" customFormat="false" ht="15" hidden="false" customHeight="true" outlineLevel="0" collapsed="false">
      <c r="A57" s="50"/>
      <c r="B57" s="50" t="s">
        <v>98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</row>
    <row r="58" customFormat="false" ht="15" hidden="false" customHeight="true" outlineLevel="0" collapsed="false">
      <c r="A58" s="50"/>
      <c r="B58" s="50" t="s">
        <v>99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</row>
    <row r="59" customFormat="false" ht="15" hidden="false" customHeight="true" outlineLevel="0" collapsed="false">
      <c r="A59" s="50"/>
      <c r="J59" s="50"/>
      <c r="K59" s="50"/>
      <c r="L59" s="50"/>
    </row>
    <row r="60" customFormat="false" ht="15" hidden="false" customHeight="true" outlineLevel="0" collapsed="false">
      <c r="A60" s="50"/>
      <c r="J60" s="50"/>
      <c r="K60" s="50"/>
      <c r="L60" s="50"/>
    </row>
    <row r="61" customFormat="false" ht="15" hidden="false" customHeight="true" outlineLevel="0" collapsed="false">
      <c r="A61" s="50"/>
      <c r="J61" s="50"/>
      <c r="K61" s="50"/>
      <c r="L61" s="50"/>
    </row>
    <row r="62" customFormat="false" ht="15.75" hidden="false" customHeight="false" outlineLevel="0" collapsed="false">
      <c r="A62" s="50"/>
    </row>
    <row r="63" customFormat="false" ht="15" hidden="false" customHeight="false" outlineLevel="0" collapsed="false">
      <c r="N63" s="48"/>
      <c r="O63" s="48"/>
      <c r="P63" s="48"/>
      <c r="Q63" s="48"/>
    </row>
  </sheetData>
  <mergeCells count="34">
    <mergeCell ref="D1:H1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I35:J35"/>
    <mergeCell ref="B38:I38"/>
    <mergeCell ref="J38:M38"/>
    <mergeCell ref="B39:I39"/>
    <mergeCell ref="J39:M39"/>
    <mergeCell ref="B40:I40"/>
    <mergeCell ref="J40:M40"/>
    <mergeCell ref="B41:I41"/>
    <mergeCell ref="J41:M41"/>
    <mergeCell ref="B42:I42"/>
    <mergeCell ref="J42:M42"/>
    <mergeCell ref="B43:I43"/>
    <mergeCell ref="J43:M43"/>
    <mergeCell ref="B44:I44"/>
    <mergeCell ref="J44:M44"/>
    <mergeCell ref="B45:I45"/>
    <mergeCell ref="J45:M45"/>
    <mergeCell ref="B46:I46"/>
    <mergeCell ref="J46:M46"/>
    <mergeCell ref="B47:I47"/>
    <mergeCell ref="J47:M47"/>
    <mergeCell ref="C50:D50"/>
  </mergeCells>
  <conditionalFormatting sqref="L8:L3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1:I3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31:M3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35:N3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K30 M8:M30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61"/>
  <sheetViews>
    <sheetView showFormulas="false" showGridLines="true" showRowColHeaders="true" showZeros="true" rightToLeft="false" tabSelected="false" showOutlineSymbols="true" defaultGridColor="true" view="normal" topLeftCell="A4" colorId="64" zoomScale="140" zoomScaleNormal="140" zoomScalePageLayoutView="100" workbookViewId="0">
      <selection pane="topLeft" activeCell="B16" activeCellId="0" sqref="B16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57"/>
    <col collapsed="false" customWidth="true" hidden="false" outlineLevel="0" max="3" min="3" style="0" width="19.57"/>
    <col collapsed="false" customWidth="false" hidden="false" outlineLevel="0" max="5" min="5" style="45" width="9.14"/>
    <col collapsed="false" customWidth="true" hidden="false" outlineLevel="0" max="6" min="6" style="0" width="10"/>
    <col collapsed="false" customWidth="false" hidden="false" outlineLevel="0" max="12" min="12" style="45" width="9.14"/>
    <col collapsed="false" customWidth="true" hidden="false" outlineLevel="0" max="17" min="17" style="0" width="16.29"/>
    <col collapsed="false" customWidth="true" hidden="false" outlineLevel="0" max="18" min="18" style="0" width="4.57"/>
  </cols>
  <sheetData>
    <row r="1" customFormat="false" ht="19.7" hidden="false" customHeight="false" outlineLevel="0" collapsed="false">
      <c r="C1" s="216" t="s">
        <v>0</v>
      </c>
      <c r="D1" s="216"/>
      <c r="E1" s="216"/>
      <c r="F1" s="216"/>
      <c r="G1" s="216"/>
      <c r="H1" s="2" t="n">
        <f aca="false">set!B1</f>
        <v>2</v>
      </c>
      <c r="I1" s="3"/>
    </row>
    <row r="2" customFormat="false" ht="15" hidden="false" customHeight="false" outlineLevel="0" collapsed="false">
      <c r="O2" s="72" t="s">
        <v>1</v>
      </c>
      <c r="P2" s="72"/>
      <c r="Q2" s="146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ИУК4-72Б факультета ИУК МГТУ им. Н.Э. Баумана"</f>
        <v>Успеваемость студентов за 1 семестр 24/25 учебного года по группе ИУК4-72Б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619" t="s">
        <v>8</v>
      </c>
      <c r="O5" s="392" t="s">
        <v>9</v>
      </c>
      <c r="P5" s="392" t="s">
        <v>10</v>
      </c>
      <c r="Q5" s="14" t="s">
        <v>11</v>
      </c>
      <c r="R5" s="620" t="s">
        <v>1575</v>
      </c>
    </row>
    <row r="6" customFormat="false" ht="1.45" hidden="false" customHeight="false" outlineLevel="0" collapsed="false">
      <c r="A6" s="8"/>
      <c r="B6" s="8"/>
      <c r="C6" s="8"/>
      <c r="D6" s="301"/>
      <c r="E6" s="339" t="s">
        <v>1918</v>
      </c>
      <c r="F6" s="340" t="s">
        <v>1919</v>
      </c>
      <c r="G6" s="340" t="s">
        <v>1920</v>
      </c>
      <c r="H6" s="342" t="s">
        <v>1921</v>
      </c>
      <c r="I6" s="601" t="s">
        <v>1000</v>
      </c>
      <c r="J6" s="340" t="s">
        <v>1922</v>
      </c>
      <c r="K6" s="340" t="s">
        <v>1001</v>
      </c>
      <c r="L6" s="340" t="s">
        <v>377</v>
      </c>
      <c r="M6" s="602" t="s">
        <v>1002</v>
      </c>
      <c r="N6" s="619"/>
      <c r="O6" s="392"/>
      <c r="P6" s="392"/>
      <c r="Q6" s="14"/>
      <c r="R6" s="620"/>
    </row>
    <row r="7" customFormat="false" ht="17.9" hidden="false" customHeight="false" outlineLevel="0" collapsed="false">
      <c r="A7" s="8"/>
      <c r="B7" s="8"/>
      <c r="C7" s="8"/>
      <c r="D7" s="301"/>
      <c r="E7" s="343" t="s">
        <v>741</v>
      </c>
      <c r="F7" s="344" t="s">
        <v>741</v>
      </c>
      <c r="G7" s="344" t="s">
        <v>741</v>
      </c>
      <c r="H7" s="346" t="s">
        <v>741</v>
      </c>
      <c r="I7" s="407" t="s">
        <v>1004</v>
      </c>
      <c r="J7" s="346" t="s">
        <v>742</v>
      </c>
      <c r="K7" s="344" t="s">
        <v>742</v>
      </c>
      <c r="L7" s="344" t="s">
        <v>1456</v>
      </c>
      <c r="M7" s="496" t="s">
        <v>380</v>
      </c>
      <c r="N7" s="619"/>
      <c r="O7" s="392"/>
      <c r="P7" s="392"/>
      <c r="Q7" s="14"/>
      <c r="R7" s="620"/>
    </row>
    <row r="8" customFormat="false" ht="15" hidden="false" customHeight="true" outlineLevel="0" collapsed="false">
      <c r="A8" s="37" t="n">
        <v>1</v>
      </c>
      <c r="B8" s="37" t="s">
        <v>1972</v>
      </c>
      <c r="C8" s="37" t="s">
        <v>1973</v>
      </c>
      <c r="D8" s="621"/>
      <c r="E8" s="622"/>
      <c r="F8" s="562"/>
      <c r="G8" s="563"/>
      <c r="H8" s="564"/>
      <c r="I8" s="562"/>
      <c r="J8" s="563"/>
      <c r="K8" s="563"/>
      <c r="L8" s="563"/>
      <c r="M8" s="623"/>
      <c r="N8" s="394" t="str">
        <f aca="false">IFERROR(AVERAGE(F8:M8),"")</f>
        <v/>
      </c>
      <c r="O8" s="84" t="str">
        <f aca="false">IF(F8&lt;&gt;"",IF(COUNTIF(F8:M8,"&lt;3"),"Не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F8&lt;&gt;"",IF(N8&lt;1.85,"Выговор",IF(N8=1.85,"Выговор",IF(AND(N8&gt;1.85,N8&lt;3),"Предупреждение",IF(AND(N8&gt;3,N8&lt;4.65),"Нормально",IF(AND(N8&gt;4.65,N8&lt;5.1,F8:M8&gt;=4),"Благодарность","Нормально"))))),"")</f>
        <v/>
      </c>
      <c r="R8" s="608" t="n">
        <f aca="false">COUNTIF(F8:M8,2)+COUNTIF(F8:M8,1)+COUNTIF(F8:M8,0)</f>
        <v>0</v>
      </c>
    </row>
    <row r="9" customFormat="false" ht="15" hidden="false" customHeight="true" outlineLevel="0" collapsed="false">
      <c r="A9" s="37" t="n">
        <v>2</v>
      </c>
      <c r="B9" s="37" t="s">
        <v>1974</v>
      </c>
      <c r="C9" s="37" t="s">
        <v>1975</v>
      </c>
      <c r="D9" s="624"/>
      <c r="E9" s="474"/>
      <c r="F9" s="567"/>
      <c r="G9" s="475"/>
      <c r="H9" s="568"/>
      <c r="I9" s="567"/>
      <c r="J9" s="475"/>
      <c r="K9" s="475"/>
      <c r="L9" s="475"/>
      <c r="M9" s="625"/>
      <c r="N9" s="585" t="str">
        <f aca="false">IFERROR(AVERAGE(F9:M9),"")</f>
        <v/>
      </c>
      <c r="O9" s="84" t="str">
        <f aca="false">IF(F9&lt;&gt;"",IF(COUNTIF(F9:M9,"&lt;3"),"Не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F9&lt;&gt;"",IF(N9&lt;1.85,"Выговор",IF(N9=1.85,"Выговор",IF(AND(N9&gt;1.85,N9&lt;3),"Предупреждение",IF(AND(N9&gt;3,N9&lt;4.65),"Нормально",IF(AND(N9&gt;4.65,N9&lt;5.1,F9:M9&gt;=4),"Благодарность","Нормально"))))),"")</f>
        <v/>
      </c>
      <c r="R9" s="437" t="n">
        <f aca="false">COUNTIF(F9:M9,2)+COUNTIF(F9:M9,1)+COUNTIF(F9:M9,0)</f>
        <v>0</v>
      </c>
    </row>
    <row r="10" customFormat="false" ht="15" hidden="false" customHeight="true" outlineLevel="0" collapsed="false">
      <c r="A10" s="37" t="n">
        <v>3</v>
      </c>
      <c r="B10" s="37" t="s">
        <v>1976</v>
      </c>
      <c r="C10" s="37" t="s">
        <v>1977</v>
      </c>
      <c r="D10" s="624"/>
      <c r="E10" s="474"/>
      <c r="F10" s="567"/>
      <c r="G10" s="475"/>
      <c r="H10" s="568"/>
      <c r="I10" s="567"/>
      <c r="J10" s="475"/>
      <c r="K10" s="475"/>
      <c r="L10" s="475"/>
      <c r="M10" s="625"/>
      <c r="N10" s="585" t="str">
        <f aca="false">IFERROR(AVERAGE(F10:M10),"")</f>
        <v/>
      </c>
      <c r="O10" s="84" t="str">
        <f aca="false">IF(F10&lt;&gt;"",IF(COUNTIF(F10:M10,"&lt;3"),"Не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F10&lt;&gt;"",IF(N10&lt;1.85,"Выговор",IF(N10=1.85,"Выговор",IF(AND(N10&gt;1.85,N10&lt;3),"Предупреждение",IF(AND(N10&gt;3,N10&lt;4.65),"Нормально",IF(AND(N10&gt;4.65,N10&lt;5.1,F10:M10&gt;=4),"Благодарность","Нормально"))))),"")</f>
        <v/>
      </c>
      <c r="R10" s="437" t="n">
        <f aca="false">COUNTIF(F10:M10,2)+COUNTIF(F10:M10,1)+COUNTIF(F10:M10,0)</f>
        <v>0</v>
      </c>
    </row>
    <row r="11" customFormat="false" ht="15" hidden="false" customHeight="true" outlineLevel="0" collapsed="false">
      <c r="A11" s="37" t="n">
        <v>4</v>
      </c>
      <c r="B11" s="37" t="s">
        <v>1978</v>
      </c>
      <c r="C11" s="37" t="s">
        <v>1979</v>
      </c>
      <c r="D11" s="624"/>
      <c r="E11" s="474"/>
      <c r="F11" s="567"/>
      <c r="G11" s="475"/>
      <c r="H11" s="568"/>
      <c r="I11" s="567"/>
      <c r="J11" s="475"/>
      <c r="K11" s="475"/>
      <c r="L11" s="475"/>
      <c r="M11" s="625"/>
      <c r="N11" s="585" t="str">
        <f aca="false">IFERROR(AVERAGE(F11:M11),"")</f>
        <v/>
      </c>
      <c r="O11" s="84" t="str">
        <f aca="false">IF(F11&lt;&gt;"",IF(COUNTIF(F11:M11,"&lt;3"),"Не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F11&lt;&gt;"",IF(N11&lt;1.85,"Выговор",IF(N11=1.85,"Выговор",IF(AND(N11&gt;1.85,N11&lt;3),"Предупреждение",IF(AND(N11&gt;3,N11&lt;4.65),"Нормально",IF(AND(N11&gt;4.65,N11&lt;5.1,F11:M11&gt;=4),"Благодарность","Нормально"))))),"")</f>
        <v/>
      </c>
      <c r="R11" s="437" t="n">
        <f aca="false">COUNTIF(F11:M11,2)+COUNTIF(F11:M11,1)+COUNTIF(F11:M11,0)</f>
        <v>0</v>
      </c>
    </row>
    <row r="12" customFormat="false" ht="15" hidden="false" customHeight="true" outlineLevel="0" collapsed="false">
      <c r="A12" s="37" t="n">
        <v>5</v>
      </c>
      <c r="B12" s="37" t="s">
        <v>1980</v>
      </c>
      <c r="C12" s="37" t="s">
        <v>1981</v>
      </c>
      <c r="D12" s="624"/>
      <c r="E12" s="474"/>
      <c r="F12" s="567"/>
      <c r="G12" s="475"/>
      <c r="H12" s="568"/>
      <c r="I12" s="567"/>
      <c r="J12" s="475"/>
      <c r="K12" s="475"/>
      <c r="L12" s="475"/>
      <c r="M12" s="625"/>
      <c r="N12" s="585" t="str">
        <f aca="false">IFERROR(AVERAGE(F12:M12),"")</f>
        <v/>
      </c>
      <c r="O12" s="84" t="str">
        <f aca="false">IF(F12&lt;&gt;"",IF(COUNTIF(F12:M12,"&lt;3"),"Не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F12&lt;&gt;"",IF(N12&lt;1.85,"Выговор",IF(N12=1.85,"Выговор",IF(AND(N12&gt;1.85,N12&lt;3),"Предупреждение",IF(AND(N12&gt;3,N12&lt;4.65),"Нормально",IF(AND(N12&gt;4.65,N12&lt;5.1,F12:M12&gt;=4),"Благодарность","Нормально"))))),"")</f>
        <v/>
      </c>
      <c r="R12" s="437" t="n">
        <f aca="false">COUNTIF(F12:M12,2)+COUNTIF(F12:M12,1)+COUNTIF(F12:M12,0)</f>
        <v>0</v>
      </c>
    </row>
    <row r="13" customFormat="false" ht="15" hidden="false" customHeight="true" outlineLevel="0" collapsed="false">
      <c r="A13" s="37" t="n">
        <v>6</v>
      </c>
      <c r="B13" s="37" t="s">
        <v>1982</v>
      </c>
      <c r="C13" s="37" t="s">
        <v>1983</v>
      </c>
      <c r="D13" s="624"/>
      <c r="E13" s="474"/>
      <c r="F13" s="567"/>
      <c r="G13" s="475"/>
      <c r="H13" s="568"/>
      <c r="I13" s="567"/>
      <c r="J13" s="475"/>
      <c r="K13" s="475"/>
      <c r="L13" s="475"/>
      <c r="M13" s="625"/>
      <c r="N13" s="585" t="str">
        <f aca="false">IFERROR(AVERAGE(F13:M13),"")</f>
        <v/>
      </c>
      <c r="O13" s="84" t="str">
        <f aca="false">IF(F13&lt;&gt;"",IF(COUNTIF(F13:M13,"&lt;3"),"Не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F13&lt;&gt;"",IF(N13&lt;1.85,"Выговор",IF(N13=1.85,"Выговор",IF(AND(N13&gt;1.85,N13&lt;3),"Предупреждение",IF(AND(N13&gt;3,N13&lt;4.65),"Нормально",IF(AND(N13&gt;4.65,N13&lt;5.1,F13:M13&gt;=4),"Благодарность","Нормально"))))),"")</f>
        <v/>
      </c>
      <c r="R13" s="437" t="n">
        <f aca="false">COUNTIF(F13:M13,2)+COUNTIF(F13:M13,1)+COUNTIF(F13:M13,0)</f>
        <v>0</v>
      </c>
    </row>
    <row r="14" customFormat="false" ht="15" hidden="false" customHeight="true" outlineLevel="0" collapsed="false">
      <c r="A14" s="37" t="n">
        <v>7</v>
      </c>
      <c r="B14" s="37" t="s">
        <v>1984</v>
      </c>
      <c r="C14" s="37" t="s">
        <v>571</v>
      </c>
      <c r="D14" s="624"/>
      <c r="E14" s="474"/>
      <c r="F14" s="567"/>
      <c r="G14" s="475"/>
      <c r="H14" s="568"/>
      <c r="I14" s="567"/>
      <c r="J14" s="475"/>
      <c r="K14" s="475"/>
      <c r="L14" s="475"/>
      <c r="M14" s="625"/>
      <c r="N14" s="585" t="str">
        <f aca="false">IFERROR(AVERAGE(F14:M14),"")</f>
        <v/>
      </c>
      <c r="O14" s="84" t="str">
        <f aca="false">IF(F14&lt;&gt;"",IF(COUNTIF(F14:M14,"&lt;3"),"Не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F14&lt;&gt;"",IF(N14&lt;1.85,"Выговор",IF(N14=1.85,"Выговор",IF(AND(N14&gt;1.85,N14&lt;3),"Предупреждение",IF(AND(N14&gt;3,N14&lt;4.65),"Нормально",IF(AND(N14&gt;4.65,N14&lt;5.1,F14:M14&gt;=4),"Благодарность","Нормально"))))),"")</f>
        <v/>
      </c>
      <c r="R14" s="437" t="n">
        <f aca="false">COUNTIF(F14:M14,2)+COUNTIF(F14:M14,1)+COUNTIF(F14:M14,0)</f>
        <v>0</v>
      </c>
    </row>
    <row r="15" customFormat="false" ht="15" hidden="false" customHeight="true" outlineLevel="0" collapsed="false">
      <c r="A15" s="37" t="n">
        <v>8</v>
      </c>
      <c r="B15" s="37" t="s">
        <v>1985</v>
      </c>
      <c r="C15" s="37" t="s">
        <v>1536</v>
      </c>
      <c r="D15" s="624"/>
      <c r="E15" s="474"/>
      <c r="F15" s="567"/>
      <c r="G15" s="475"/>
      <c r="H15" s="568"/>
      <c r="I15" s="567"/>
      <c r="J15" s="475"/>
      <c r="K15" s="475"/>
      <c r="L15" s="475"/>
      <c r="M15" s="625"/>
      <c r="N15" s="585" t="str">
        <f aca="false">IFERROR(AVERAGE(F15:M15),"")</f>
        <v/>
      </c>
      <c r="O15" s="84" t="str">
        <f aca="false">IF(F15&lt;&gt;"",IF(COUNTIF(F15:M15,"&lt;3"),"Не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F15&lt;&gt;"",IF(N15&lt;1.85,"Выговор",IF(N15=1.85,"Выговор",IF(AND(N15&gt;1.85,N15&lt;3),"Предупреждение",IF(AND(N15&gt;3,N15&lt;4.65),"Нормально",IF(AND(N15&gt;4.65,N15&lt;5.1,F15:M15&gt;=4),"Благодарность","Нормально"))))),"")</f>
        <v/>
      </c>
      <c r="R15" s="437" t="n">
        <f aca="false">COUNTIF(F15:M15,2)+COUNTIF(F15:M15,1)+COUNTIF(F15:M15,0)</f>
        <v>0</v>
      </c>
    </row>
    <row r="16" customFormat="false" ht="15" hidden="false" customHeight="true" outlineLevel="0" collapsed="false">
      <c r="A16" s="37" t="n">
        <v>9</v>
      </c>
      <c r="B16" s="37" t="s">
        <v>1986</v>
      </c>
      <c r="C16" s="37" t="s">
        <v>1597</v>
      </c>
      <c r="D16" s="624"/>
      <c r="E16" s="474"/>
      <c r="F16" s="567"/>
      <c r="G16" s="475"/>
      <c r="H16" s="568"/>
      <c r="I16" s="567"/>
      <c r="J16" s="475"/>
      <c r="K16" s="475"/>
      <c r="L16" s="475"/>
      <c r="M16" s="625"/>
      <c r="N16" s="585" t="str">
        <f aca="false">IFERROR(AVERAGE(F16:M16),"")</f>
        <v/>
      </c>
      <c r="O16" s="84" t="str">
        <f aca="false">IF(F16&lt;&gt;"",IF(COUNTIF(F16:M16,"&lt;3"),"Не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F16&lt;&gt;"",IF(N16&lt;1.85,"Выговор",IF(N16=1.85,"Выговор",IF(AND(N16&gt;1.85,N16&lt;3),"Предупреждение",IF(AND(N16&gt;3,N16&lt;4.65),"Нормально",IF(AND(N16&gt;4.65,N16&lt;5.1,F16:M16&gt;=4),"Благодарность","Нормально"))))),"")</f>
        <v/>
      </c>
      <c r="R16" s="437" t="n">
        <f aca="false">COUNTIF(F16:M16,2)+COUNTIF(F16:M16,1)+COUNTIF(F16:M16,0)</f>
        <v>0</v>
      </c>
    </row>
    <row r="17" customFormat="false" ht="15" hidden="false" customHeight="true" outlineLevel="0" collapsed="false">
      <c r="A17" s="37" t="n">
        <v>10</v>
      </c>
      <c r="B17" s="37" t="s">
        <v>1987</v>
      </c>
      <c r="C17" s="37" t="s">
        <v>1988</v>
      </c>
      <c r="D17" s="624"/>
      <c r="E17" s="474"/>
      <c r="F17" s="567"/>
      <c r="G17" s="475"/>
      <c r="H17" s="568"/>
      <c r="I17" s="567"/>
      <c r="J17" s="475"/>
      <c r="K17" s="475"/>
      <c r="L17" s="475"/>
      <c r="M17" s="625"/>
      <c r="N17" s="585" t="str">
        <f aca="false">IFERROR(AVERAGE(F17:M17),"")</f>
        <v/>
      </c>
      <c r="O17" s="84" t="str">
        <f aca="false">IF(F17&lt;&gt;"",IF(COUNTIF(F17:M17,"&lt;3"),"Не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F17&lt;&gt;"",IF(N17&lt;1.85,"Выговор",IF(N17=1.85,"Выговор",IF(AND(N17&gt;1.85,N17&lt;3),"Предупреждение",IF(AND(N17&gt;3,N17&lt;4.65),"Нормально",IF(AND(N17&gt;4.65,N17&lt;5.1,F17:M17&gt;=4),"Благодарность","Нормально"))))),"")</f>
        <v/>
      </c>
      <c r="R17" s="437" t="n">
        <f aca="false">COUNTIF(F17:M17,2)+COUNTIF(F17:M17,1)+COUNTIF(F17:M17,0)</f>
        <v>0</v>
      </c>
    </row>
    <row r="18" customFormat="false" ht="15" hidden="false" customHeight="true" outlineLevel="0" collapsed="false">
      <c r="A18" s="37" t="n">
        <v>11</v>
      </c>
      <c r="B18" s="37" t="s">
        <v>1989</v>
      </c>
      <c r="C18" s="37" t="s">
        <v>1990</v>
      </c>
      <c r="D18" s="624"/>
      <c r="E18" s="474"/>
      <c r="F18" s="567"/>
      <c r="G18" s="475"/>
      <c r="H18" s="568"/>
      <c r="I18" s="567"/>
      <c r="J18" s="475"/>
      <c r="K18" s="475"/>
      <c r="L18" s="475"/>
      <c r="M18" s="625"/>
      <c r="N18" s="585" t="str">
        <f aca="false">IFERROR(AVERAGE(F18:M18),"")</f>
        <v/>
      </c>
      <c r="O18" s="84" t="str">
        <f aca="false">IF(F18&lt;&gt;"",IF(COUNTIF(F18:M18,"&lt;3"),"Не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F18&lt;&gt;"",IF(N18&lt;1.85,"Выговор",IF(N18=1.85,"Выговор",IF(AND(N18&gt;1.85,N18&lt;3),"Предупреждение",IF(AND(N18&gt;3,N18&lt;4.65),"Нормально",IF(AND(N18&gt;4.65,N18&lt;5.1,F18:M18&gt;=4),"Благодарность","Нормально"))))),"")</f>
        <v/>
      </c>
      <c r="R18" s="437" t="n">
        <f aca="false">COUNTIF(F18:M18,2)+COUNTIF(F18:M18,1)+COUNTIF(F18:M18,0)</f>
        <v>0</v>
      </c>
    </row>
    <row r="19" customFormat="false" ht="15" hidden="false" customHeight="true" outlineLevel="0" collapsed="false">
      <c r="A19" s="37" t="n">
        <v>12</v>
      </c>
      <c r="B19" s="37" t="s">
        <v>1991</v>
      </c>
      <c r="C19" s="37" t="s">
        <v>1992</v>
      </c>
      <c r="D19" s="624"/>
      <c r="E19" s="474"/>
      <c r="F19" s="567"/>
      <c r="G19" s="475"/>
      <c r="H19" s="568"/>
      <c r="I19" s="567"/>
      <c r="J19" s="475"/>
      <c r="K19" s="475"/>
      <c r="L19" s="475"/>
      <c r="M19" s="625"/>
      <c r="N19" s="585" t="str">
        <f aca="false">IFERROR(AVERAGE(F19:M19),"")</f>
        <v/>
      </c>
      <c r="O19" s="84" t="str">
        <f aca="false">IF(F19&lt;&gt;"",IF(COUNTIF(F19:M19,"&lt;3"),"Не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F19&lt;&gt;"",IF(N19&lt;1.85,"Выговор",IF(N19=1.85,"Выговор",IF(AND(N19&gt;1.85,N19&lt;3),"Предупреждение",IF(AND(N19&gt;3,N19&lt;4.65),"Нормально",IF(AND(N19&gt;4.65,N19&lt;5.1,F19:M19&gt;=4),"Благодарность","Нормально"))))),"")</f>
        <v/>
      </c>
      <c r="R19" s="437" t="n">
        <f aca="false">COUNTIF(F19:M19,2)+COUNTIF(F19:M19,1)+COUNTIF(F19:M19,0)</f>
        <v>0</v>
      </c>
    </row>
    <row r="20" s="45" customFormat="true" ht="15" hidden="false" customHeight="true" outlineLevel="0" collapsed="false">
      <c r="A20" s="37" t="n">
        <v>13</v>
      </c>
      <c r="B20" s="37" t="s">
        <v>1993</v>
      </c>
      <c r="C20" s="37" t="s">
        <v>1994</v>
      </c>
      <c r="D20" s="624"/>
      <c r="E20" s="474"/>
      <c r="F20" s="567"/>
      <c r="G20" s="475"/>
      <c r="H20" s="568"/>
      <c r="I20" s="567"/>
      <c r="J20" s="475"/>
      <c r="K20" s="475"/>
      <c r="L20" s="475"/>
      <c r="M20" s="625"/>
      <c r="N20" s="585" t="str">
        <f aca="false">IFERROR(AVERAGE(F20:M20),"")</f>
        <v/>
      </c>
      <c r="O20" s="84" t="str">
        <f aca="false">IF(F20&lt;&gt;"",IF(COUNTIF(F20:M20,"&lt;3"),"Не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F20&lt;&gt;"",IF(N20&lt;1.85,"Выговор",IF(N20=1.85,"Выговор",IF(AND(N20&gt;1.85,N20&lt;3),"Предупреждение",IF(AND(N20&gt;3,N20&lt;4.65),"Нормально",IF(AND(N20&gt;4.65,N20&lt;5.1,F20:M20&gt;=4),"Благодарность","Нормально"))))),"")</f>
        <v/>
      </c>
      <c r="R20" s="437" t="n">
        <f aca="false">COUNTIF(F20:M20,2)+COUNTIF(F20:M20,1)+COUNTIF(F20:M20,0)</f>
        <v>0</v>
      </c>
    </row>
    <row r="21" s="45" customFormat="true" ht="15" hidden="false" customHeight="true" outlineLevel="0" collapsed="false">
      <c r="A21" s="37" t="n">
        <v>14</v>
      </c>
      <c r="B21" s="37" t="s">
        <v>1995</v>
      </c>
      <c r="C21" s="37" t="s">
        <v>1996</v>
      </c>
      <c r="D21" s="624"/>
      <c r="E21" s="474"/>
      <c r="F21" s="567"/>
      <c r="G21" s="475"/>
      <c r="H21" s="568"/>
      <c r="I21" s="567"/>
      <c r="J21" s="475"/>
      <c r="K21" s="475"/>
      <c r="L21" s="475"/>
      <c r="M21" s="625"/>
      <c r="N21" s="585" t="str">
        <f aca="false">IFERROR(AVERAGE(F21:M21),"")</f>
        <v/>
      </c>
      <c r="O21" s="84" t="str">
        <f aca="false">IF(F21&lt;&gt;"",IF(COUNTIF(F21:M21,"&lt;3"),"Не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F21&lt;&gt;"",IF(N21&lt;1.85,"Выговор",IF(N21=1.85,"Выговор",IF(AND(N21&gt;1.85,N21&lt;3),"Предупреждение",IF(AND(N21&gt;3,N21&lt;4.65),"Нормально",IF(AND(N21&gt;4.65,N21&lt;5.1,F21:M21&gt;=4),"Благодарность","Нормально"))))),"")</f>
        <v/>
      </c>
      <c r="R21" s="437" t="n">
        <f aca="false">COUNTIF(F21:M21,2)+COUNTIF(F21:M21,1)+COUNTIF(F21:M21,0)</f>
        <v>0</v>
      </c>
    </row>
    <row r="22" s="45" customFormat="true" ht="15" hidden="false" customHeight="true" outlineLevel="0" collapsed="false">
      <c r="A22" s="37" t="n">
        <v>15</v>
      </c>
      <c r="B22" s="37" t="s">
        <v>1997</v>
      </c>
      <c r="C22" s="37" t="s">
        <v>1998</v>
      </c>
      <c r="D22" s="624"/>
      <c r="E22" s="474"/>
      <c r="F22" s="567"/>
      <c r="G22" s="475"/>
      <c r="H22" s="568"/>
      <c r="I22" s="567"/>
      <c r="J22" s="475"/>
      <c r="K22" s="475"/>
      <c r="L22" s="475"/>
      <c r="M22" s="625"/>
      <c r="N22" s="585" t="str">
        <f aca="false">IFERROR(AVERAGE(F22:M22),"")</f>
        <v/>
      </c>
      <c r="O22" s="84" t="str">
        <f aca="false">IF(F22&lt;&gt;"",IF(COUNTIF(F22:M22,"&lt;3"),"Не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F22&lt;&gt;"",IF(N22&lt;1.85,"Выговор",IF(N22=1.85,"Выговор",IF(AND(N22&gt;1.85,N22&lt;3),"Предупреждение",IF(AND(N22&gt;3,N22&lt;4.65),"Нормально",IF(AND(N22&gt;4.65,N22&lt;5.1,F22:M22&gt;=4),"Благодарность","Нормально"))))),"")</f>
        <v/>
      </c>
      <c r="R22" s="437" t="n">
        <f aca="false">COUNTIF(F22:M22,2)+COUNTIF(F22:M22,1)+COUNTIF(F22:M22,0)</f>
        <v>0</v>
      </c>
    </row>
    <row r="23" s="45" customFormat="true" ht="15" hidden="false" customHeight="true" outlineLevel="0" collapsed="false">
      <c r="A23" s="37" t="n">
        <v>16</v>
      </c>
      <c r="B23" s="37" t="s">
        <v>1999</v>
      </c>
      <c r="C23" s="37" t="s">
        <v>2000</v>
      </c>
      <c r="D23" s="624"/>
      <c r="E23" s="474"/>
      <c r="F23" s="567"/>
      <c r="G23" s="475"/>
      <c r="H23" s="568"/>
      <c r="I23" s="567"/>
      <c r="J23" s="475"/>
      <c r="K23" s="475"/>
      <c r="L23" s="475"/>
      <c r="M23" s="625"/>
      <c r="N23" s="585" t="str">
        <f aca="false">IFERROR(AVERAGE(F23:M23),"")</f>
        <v/>
      </c>
      <c r="O23" s="84" t="str">
        <f aca="false">IF(F23&lt;&gt;"",IF(COUNTIF(F23:M23,"&lt;3"),"Не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F23&lt;&gt;"",IF(N23&lt;1.85,"Выговор",IF(N23=1.85,"Выговор",IF(AND(N23&gt;1.85,N23&lt;3),"Предупреждение",IF(AND(N23&gt;3,N23&lt;4.65),"Нормально",IF(AND(N23&gt;4.65,N23&lt;5.1,F23:M23&gt;=4),"Благодарность","Нормально"))))),"")</f>
        <v/>
      </c>
      <c r="R23" s="437" t="n">
        <f aca="false">COUNTIF(F23:M23,2)+COUNTIF(F23:M23,1)+COUNTIF(F23:M23,0)</f>
        <v>0</v>
      </c>
    </row>
    <row r="24" s="45" customFormat="true" ht="15" hidden="false" customHeight="true" outlineLevel="0" collapsed="false">
      <c r="A24" s="37" t="n">
        <v>17</v>
      </c>
      <c r="B24" s="37" t="s">
        <v>2001</v>
      </c>
      <c r="C24" s="37" t="s">
        <v>2002</v>
      </c>
      <c r="D24" s="624"/>
      <c r="E24" s="474"/>
      <c r="F24" s="567"/>
      <c r="G24" s="475"/>
      <c r="H24" s="568"/>
      <c r="I24" s="567"/>
      <c r="J24" s="475"/>
      <c r="K24" s="475"/>
      <c r="L24" s="475"/>
      <c r="M24" s="625"/>
      <c r="N24" s="585" t="str">
        <f aca="false">IFERROR(AVERAGE(F24:M24),"")</f>
        <v/>
      </c>
      <c r="O24" s="84" t="str">
        <f aca="false">IF(F24&lt;&gt;"",IF(COUNTIF(F24:M24,"&lt;3"),"Не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F24&lt;&gt;"",IF(N24&lt;1.85,"Выговор",IF(N24=1.85,"Выговор",IF(AND(N24&gt;1.85,N24&lt;3),"Предупреждение",IF(AND(N24&gt;3,N24&lt;4.65),"Нормально",IF(AND(N24&gt;4.65,N24&lt;5.1,F24:M24&gt;=4),"Благодарность","Нормально"))))),"")</f>
        <v/>
      </c>
      <c r="R24" s="437" t="n">
        <f aca="false">COUNTIF(F24:M24,2)+COUNTIF(F24:M24,1)+COUNTIF(F24:M24,0)</f>
        <v>0</v>
      </c>
    </row>
    <row r="25" s="45" customFormat="true" ht="15" hidden="false" customHeight="true" outlineLevel="0" collapsed="false">
      <c r="A25" s="37" t="n">
        <v>18</v>
      </c>
      <c r="B25" s="37" t="s">
        <v>2003</v>
      </c>
      <c r="C25" s="37" t="s">
        <v>2004</v>
      </c>
      <c r="D25" s="624"/>
      <c r="E25" s="474"/>
      <c r="F25" s="567"/>
      <c r="G25" s="475"/>
      <c r="H25" s="568"/>
      <c r="I25" s="567"/>
      <c r="J25" s="475"/>
      <c r="K25" s="475"/>
      <c r="L25" s="475"/>
      <c r="M25" s="625"/>
      <c r="N25" s="585" t="str">
        <f aca="false">IFERROR(AVERAGE(F25:M25),"")</f>
        <v/>
      </c>
      <c r="O25" s="84" t="str">
        <f aca="false">IF(F25&lt;&gt;"",IF(COUNTIF(F25:M25,"&lt;3"),"Не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F25&lt;&gt;"",IF(N25&lt;1.85,"Выговор",IF(N25=1.85,"Выговор",IF(AND(N25&gt;1.85,N25&lt;3),"Предупреждение",IF(AND(N25&gt;3,N25&lt;4.65),"Нормально",IF(AND(N25&gt;4.65,N25&lt;5.1,F25:M25&gt;=4),"Благодарность","Нормально"))))),"")</f>
        <v/>
      </c>
      <c r="R25" s="437" t="n">
        <f aca="false">COUNTIF(F25:M25,2)+COUNTIF(F25:M25,1)+COUNTIF(F25:M25,0)</f>
        <v>0</v>
      </c>
    </row>
    <row r="26" s="45" customFormat="true" ht="15" hidden="false" customHeight="true" outlineLevel="0" collapsed="false">
      <c r="A26" s="37" t="n">
        <v>19</v>
      </c>
      <c r="B26" s="37" t="s">
        <v>2005</v>
      </c>
      <c r="C26" s="37" t="s">
        <v>2006</v>
      </c>
      <c r="D26" s="624"/>
      <c r="E26" s="474"/>
      <c r="F26" s="567"/>
      <c r="G26" s="475"/>
      <c r="H26" s="568"/>
      <c r="I26" s="567"/>
      <c r="J26" s="475"/>
      <c r="K26" s="475"/>
      <c r="L26" s="475"/>
      <c r="M26" s="625"/>
      <c r="N26" s="585" t="str">
        <f aca="false">IFERROR(AVERAGE(F26:M26),"")</f>
        <v/>
      </c>
      <c r="O26" s="84" t="str">
        <f aca="false">IF(F26&lt;&gt;"",IF(COUNTIF(F26:M26,"&lt;3"),"Не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F26&lt;&gt;"",IF(N26&lt;1.85,"Выговор",IF(N26=1.85,"Выговор",IF(AND(N26&gt;1.85,N26&lt;3),"Предупреждение",IF(AND(N26&gt;3,N26&lt;4.65),"Нормально",IF(AND(N26&gt;4.65,N26&lt;5.1,F26:M26&gt;=4),"Благодарность","Нормально"))))),"")</f>
        <v/>
      </c>
      <c r="R26" s="437" t="n">
        <f aca="false">COUNTIF(F26:M26,2)+COUNTIF(F26:M26,1)+COUNTIF(F26:M26,0)</f>
        <v>0</v>
      </c>
    </row>
    <row r="27" s="45" customFormat="true" ht="15" hidden="false" customHeight="true" outlineLevel="0" collapsed="false">
      <c r="A27" s="37" t="n">
        <v>20</v>
      </c>
      <c r="B27" s="37" t="s">
        <v>2007</v>
      </c>
      <c r="C27" s="37" t="s">
        <v>2008</v>
      </c>
      <c r="D27" s="624"/>
      <c r="E27" s="474"/>
      <c r="F27" s="567"/>
      <c r="G27" s="475"/>
      <c r="H27" s="568"/>
      <c r="I27" s="567"/>
      <c r="J27" s="475"/>
      <c r="K27" s="475"/>
      <c r="L27" s="475"/>
      <c r="M27" s="625"/>
      <c r="N27" s="585" t="str">
        <f aca="false">IFERROR(AVERAGE(F27:M27),"")</f>
        <v/>
      </c>
      <c r="O27" s="84" t="str">
        <f aca="false">IF(F27&lt;&gt;"",IF(COUNTIF(F27:M27,"&lt;3"),"Не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F27&lt;&gt;"",IF(N27&lt;1.85,"Выговор",IF(N27=1.85,"Выговор",IF(AND(N27&gt;1.85,N27&lt;3),"Предупреждение",IF(AND(N27&gt;3,N27&lt;4.65),"Нормально",IF(AND(N27&gt;4.65,N27&lt;5.1,F27:M27&gt;=4),"Благодарность","Нормально"))))),"")</f>
        <v/>
      </c>
      <c r="R27" s="437" t="n">
        <f aca="false">COUNTIF(F27:M27,2)+COUNTIF(F27:M27,1)+COUNTIF(F27:M27,0)</f>
        <v>0</v>
      </c>
    </row>
    <row r="28" s="45" customFormat="true" ht="15" hidden="false" customHeight="true" outlineLevel="0" collapsed="false">
      <c r="A28" s="37" t="n">
        <v>21</v>
      </c>
      <c r="B28" s="37" t="s">
        <v>2009</v>
      </c>
      <c r="C28" s="37" t="s">
        <v>2010</v>
      </c>
      <c r="D28" s="624"/>
      <c r="E28" s="474"/>
      <c r="F28" s="567"/>
      <c r="G28" s="475"/>
      <c r="H28" s="568"/>
      <c r="I28" s="567"/>
      <c r="J28" s="475"/>
      <c r="K28" s="475"/>
      <c r="L28" s="475"/>
      <c r="M28" s="625"/>
      <c r="N28" s="585" t="str">
        <f aca="false">IFERROR(AVERAGE(F28:M28),"")</f>
        <v/>
      </c>
      <c r="O28" s="84" t="str">
        <f aca="false">IF(F28&lt;&gt;"",IF(COUNTIF(F28:M28,"&lt;3"),"Не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F28&lt;&gt;"",IF(N28&lt;1.85,"Выговор",IF(N28=1.85,"Выговор",IF(AND(N28&gt;1.85,N28&lt;3),"Предупреждение",IF(AND(N28&gt;3,N28&lt;4.65),"Нормально",IF(AND(N28&gt;4.65,N28&lt;5.1,F28:M28&gt;=4),"Благодарность","Нормально"))))),"")</f>
        <v/>
      </c>
      <c r="R28" s="437" t="n">
        <f aca="false">COUNTIF(F28:M28,2)+COUNTIF(F28:M28,1)+COUNTIF(F28:M28,0)</f>
        <v>0</v>
      </c>
    </row>
    <row r="29" customFormat="false" ht="15" hidden="false" customHeight="true" outlineLevel="0" collapsed="false">
      <c r="A29" s="37" t="n">
        <v>22</v>
      </c>
      <c r="B29" s="37" t="s">
        <v>2011</v>
      </c>
      <c r="C29" s="37" t="s">
        <v>2012</v>
      </c>
      <c r="D29" s="624"/>
      <c r="E29" s="474"/>
      <c r="F29" s="567"/>
      <c r="G29" s="475"/>
      <c r="H29" s="568"/>
      <c r="I29" s="567"/>
      <c r="J29" s="475"/>
      <c r="K29" s="475"/>
      <c r="L29" s="475"/>
      <c r="M29" s="625"/>
      <c r="N29" s="585" t="str">
        <f aca="false">IFERROR(AVERAGE(F29:M29),"")</f>
        <v/>
      </c>
      <c r="O29" s="84" t="str">
        <f aca="false">IF(F29&lt;&gt;"",IF(COUNTIF(F29:M29,"&lt;3"),"Не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F29&lt;&gt;"",IF(N29&lt;1.85,"Выговор",IF(N29=1.85,"Выговор",IF(AND(N29&gt;1.85,N29&lt;3),"Предупреждение",IF(AND(N29&gt;3,N29&lt;4.65),"Нормально",IF(AND(N29&gt;4.65,N29&lt;5.1,F29:M29&gt;=4),"Благодарность","Нормально"))))),"")</f>
        <v/>
      </c>
      <c r="R29" s="437" t="n">
        <f aca="false">COUNTIF(F29:M29,2)+COUNTIF(F29:M29,1)+COUNTIF(F29:M29,0)</f>
        <v>0</v>
      </c>
    </row>
    <row r="30" customFormat="false" ht="15" hidden="false" customHeight="true" outlineLevel="0" collapsed="false">
      <c r="A30" s="0" t="s">
        <v>77</v>
      </c>
      <c r="D30" s="626"/>
      <c r="E30" s="134" t="e">
        <f aca="false">AVERAGE(E8:E29)</f>
        <v>#DIV/0!</v>
      </c>
      <c r="F30" s="134" t="e">
        <f aca="false">AVERAGE(F8:F29)</f>
        <v>#DIV/0!</v>
      </c>
      <c r="G30" s="134" t="e">
        <f aca="false">AVERAGE(G8:G29)</f>
        <v>#DIV/0!</v>
      </c>
      <c r="H30" s="134" t="e">
        <f aca="false">AVERAGE(H8:H29)</f>
        <v>#DIV/0!</v>
      </c>
      <c r="I30" s="134" t="e">
        <f aca="false">AVERAGE(I8:I29)</f>
        <v>#DIV/0!</v>
      </c>
      <c r="J30" s="134" t="e">
        <f aca="false">AVERAGE(J8:J29)</f>
        <v>#DIV/0!</v>
      </c>
      <c r="K30" s="134" t="e">
        <f aca="false">AVERAGE(K8:K29)</f>
        <v>#DIV/0!</v>
      </c>
      <c r="L30" s="134" t="e">
        <f aca="false">AVERAGE(L8:L29)</f>
        <v>#DIV/0!</v>
      </c>
      <c r="M30" s="134" t="e">
        <f aca="false">AVERAGE(M8:M29)</f>
        <v>#DIV/0!</v>
      </c>
      <c r="N30" s="47"/>
    </row>
    <row r="31" customFormat="false" ht="15" hidden="false" customHeight="true" outlineLevel="0" collapsed="false">
      <c r="A31" s="0" t="s">
        <v>78</v>
      </c>
      <c r="E31" s="454" t="e">
        <f aca="false">(COUNTIF(E8:E29,5)+COUNTIF(E8:E29,4)+COUNTIF(E8:E29,3))/$Q$38*100</f>
        <v>#DIV/0!</v>
      </c>
      <c r="F31" s="454" t="e">
        <f aca="false">(COUNTIF(F8:F29,5)+COUNTIF(F8:F29,4)+COUNTIF(F8:F29,3))/$Q$38*100</f>
        <v>#DIV/0!</v>
      </c>
      <c r="G31" s="454" t="e">
        <f aca="false">(COUNTIF(G8:G29,5)+COUNTIF(G8:G29,4)+COUNTIF(G8:G29,3))/$Q$38*100</f>
        <v>#DIV/0!</v>
      </c>
      <c r="H31" s="454" t="e">
        <f aca="false">(COUNTIF(H8:H29,5)+COUNTIF(H8:H29,4)+COUNTIF(H8:H29,3))/$Q$38*100</f>
        <v>#DIV/0!</v>
      </c>
      <c r="I31" s="454" t="e">
        <f aca="false">(COUNTIF(I8:I29,5)+COUNTIF(I8:I29,4)+COUNTIF(I8:I29,3))/$Q$38*100</f>
        <v>#DIV/0!</v>
      </c>
      <c r="J31" s="454" t="e">
        <f aca="false">(COUNTIF(J8:J29,5)+COUNTIF(J8:J29,4)+COUNTIF(J8:J29,3))/$Q$38*100</f>
        <v>#DIV/0!</v>
      </c>
      <c r="K31" s="454" t="e">
        <f aca="false">(COUNTIF(K8:K29,5)+COUNTIF(K8:K29,4)+COUNTIF(K8:K29,3))/$Q$38*100</f>
        <v>#DIV/0!</v>
      </c>
      <c r="L31" s="454" t="e">
        <f aca="false">(COUNTIF(L8:L29,5)+COUNTIF(L8:L29,4)+COUNTIF(L8:L29,3))/$Q$38*100</f>
        <v>#DIV/0!</v>
      </c>
      <c r="M31" s="454" t="e">
        <f aca="false">(COUNTIF(M8:M29,5)+COUNTIF(M8:M29,4)+COUNTIF(M8:M29,3))/$Q$38*100</f>
        <v>#DIV/0!</v>
      </c>
    </row>
    <row r="32" customFormat="false" ht="15" hidden="false" customHeight="true" outlineLevel="0" collapsed="false"/>
    <row r="33" customFormat="false" ht="15" hidden="false" customHeight="true" outlineLevel="0" collapsed="false">
      <c r="C33" s="50" t="s">
        <v>8</v>
      </c>
      <c r="D33" s="51" t="str">
        <f aca="false">IFERROR(AVERAGE(N8:N29),"")</f>
        <v/>
      </c>
      <c r="E33" s="51"/>
      <c r="F33" s="52" t="s">
        <v>9</v>
      </c>
      <c r="G33" s="52"/>
      <c r="H33" s="53" t="str">
        <f aca="false">IFERROR(COUNTIF(O8:O29,"Успевает")/Q38*100,"")</f>
        <v/>
      </c>
      <c r="I33" s="54" t="s">
        <v>79</v>
      </c>
      <c r="J33" s="54"/>
      <c r="K33" s="454" t="str">
        <f aca="false">IFERROR(AVERAGE(P8:P29),"")</f>
        <v/>
      </c>
    </row>
    <row r="34" customFormat="false" ht="15" hidden="false" customHeight="true" outlineLevel="0" collapsed="false">
      <c r="J34" s="55"/>
      <c r="K34" s="47"/>
      <c r="L34" s="47"/>
      <c r="M34" s="47"/>
      <c r="N34" s="48"/>
      <c r="O34" s="48"/>
      <c r="P34" s="48"/>
      <c r="Q34" s="48"/>
    </row>
    <row r="35" customFormat="false" ht="15" hidden="false" customHeight="true" outlineLevel="0" collapsed="false">
      <c r="F35" s="48"/>
      <c r="G35" s="48"/>
      <c r="H35" s="48"/>
      <c r="I35" s="48"/>
      <c r="J35" s="48"/>
      <c r="K35" s="48"/>
      <c r="L35" s="48"/>
    </row>
    <row r="36" customFormat="false" ht="15" hidden="false" customHeight="true" outlineLevel="0" collapsed="false">
      <c r="B36" s="50"/>
      <c r="C36" s="50"/>
      <c r="D36" s="51"/>
      <c r="E36" s="51"/>
      <c r="F36" s="52"/>
      <c r="G36" s="53"/>
      <c r="H36" s="237"/>
      <c r="I36" s="55"/>
      <c r="J36" s="52"/>
      <c r="K36" s="55"/>
      <c r="L36" s="55"/>
      <c r="M36" s="55"/>
      <c r="N36" s="48"/>
      <c r="O36" s="48"/>
      <c r="P36" s="48"/>
      <c r="Q36" s="48"/>
    </row>
    <row r="37" customFormat="false" ht="15" hidden="false" customHeight="true" outlineLevel="0" collapsed="false">
      <c r="B37" s="50"/>
      <c r="C37" s="50"/>
      <c r="D37" s="50"/>
      <c r="E37" s="50"/>
      <c r="F37" s="56"/>
      <c r="G37" s="56"/>
      <c r="H37" s="56"/>
      <c r="I37" s="56"/>
      <c r="J37" s="56"/>
      <c r="K37" s="56"/>
      <c r="L37" s="56"/>
      <c r="M37" s="56"/>
      <c r="P37" s="193"/>
      <c r="Q37" s="193"/>
    </row>
    <row r="38" customFormat="false" ht="15" hidden="false" customHeight="true" outlineLevel="0" collapsed="false">
      <c r="A38" s="50"/>
      <c r="B38" s="61" t="s">
        <v>81</v>
      </c>
      <c r="C38" s="61"/>
      <c r="D38" s="61"/>
      <c r="E38" s="61"/>
      <c r="F38" s="61"/>
      <c r="G38" s="61"/>
      <c r="H38" s="61"/>
      <c r="I38" s="61"/>
      <c r="J38" s="61" t="s">
        <v>82</v>
      </c>
      <c r="K38" s="61"/>
      <c r="L38" s="61"/>
      <c r="M38" s="61"/>
      <c r="O38" s="590" t="s">
        <v>80</v>
      </c>
      <c r="P38" s="590"/>
      <c r="Q38" s="58" t="n">
        <f aca="false">SUM(Q39,Q40)</f>
        <v>0</v>
      </c>
    </row>
    <row r="39" customFormat="false" ht="15" hidden="false" customHeight="true" outlineLevel="0" collapsed="false">
      <c r="A39" s="50"/>
      <c r="B39" s="65" t="str">
        <f aca="false">$E$6</f>
        <v> Методы принятия решений в программной инженерии</v>
      </c>
      <c r="C39" s="65"/>
      <c r="D39" s="65"/>
      <c r="E39" s="65"/>
      <c r="F39" s="65"/>
      <c r="G39" s="65"/>
      <c r="H39" s="65"/>
      <c r="I39" s="65"/>
      <c r="J39" s="66"/>
      <c r="K39" s="66"/>
      <c r="L39" s="66"/>
      <c r="M39" s="66"/>
      <c r="O39" s="590" t="s">
        <v>83</v>
      </c>
      <c r="P39" s="590"/>
      <c r="Q39" s="58" t="n">
        <f aca="false">COUNTIF(O8:O29,"Успевает")</f>
        <v>0</v>
      </c>
    </row>
    <row r="40" customFormat="false" ht="15" hidden="false" customHeight="true" outlineLevel="0" collapsed="false">
      <c r="A40" s="50"/>
      <c r="B40" s="65" t="str">
        <f aca="false">$F$6</f>
        <v> Проектирование программного обеспечения</v>
      </c>
      <c r="C40" s="65"/>
      <c r="D40" s="65"/>
      <c r="E40" s="65"/>
      <c r="F40" s="65"/>
      <c r="G40" s="65"/>
      <c r="H40" s="65"/>
      <c r="I40" s="65"/>
      <c r="J40" s="66"/>
      <c r="K40" s="66"/>
      <c r="L40" s="66"/>
      <c r="M40" s="66"/>
      <c r="O40" s="591" t="s">
        <v>84</v>
      </c>
      <c r="P40" s="591"/>
      <c r="Q40" s="58" t="n">
        <f aca="false">COUNTIF(O8:O29,"Не успевает")</f>
        <v>0</v>
      </c>
    </row>
    <row r="41" customFormat="false" ht="15" hidden="false" customHeight="true" outlineLevel="0" collapsed="false">
      <c r="A41" s="50"/>
      <c r="B41" s="65" t="str">
        <f aca="false">$G$6</f>
        <v> Технологии обработки больших данных</v>
      </c>
      <c r="C41" s="65"/>
      <c r="D41" s="65"/>
      <c r="E41" s="65"/>
      <c r="F41" s="65"/>
      <c r="G41" s="65"/>
      <c r="H41" s="65"/>
      <c r="I41" s="65"/>
      <c r="J41" s="66"/>
      <c r="K41" s="66"/>
      <c r="L41" s="66"/>
      <c r="M41" s="66"/>
      <c r="O41" s="591" t="s">
        <v>85</v>
      </c>
      <c r="P41" s="591"/>
      <c r="Q41" s="58" t="n">
        <f aca="false">COUNTIF(Q8:Q29,"Благодарность")</f>
        <v>0</v>
      </c>
    </row>
    <row r="42" customFormat="false" ht="15" hidden="false" customHeight="true" outlineLevel="0" collapsed="false">
      <c r="A42" s="50"/>
      <c r="B42" s="65" t="str">
        <f aca="false">$H$6</f>
        <v> Цифровая обработка сигналов</v>
      </c>
      <c r="C42" s="65"/>
      <c r="D42" s="65"/>
      <c r="E42" s="65"/>
      <c r="F42" s="65"/>
      <c r="G42" s="65"/>
      <c r="H42" s="65"/>
      <c r="I42" s="65"/>
      <c r="J42" s="66"/>
      <c r="K42" s="66"/>
      <c r="L42" s="66"/>
      <c r="M42" s="66"/>
      <c r="O42" s="591" t="s">
        <v>86</v>
      </c>
      <c r="P42" s="591"/>
      <c r="Q42" s="58" t="n">
        <f aca="false">COUNTIF(Q8:Q29,"Нормально")</f>
        <v>0</v>
      </c>
    </row>
    <row r="43" customFormat="false" ht="15" hidden="false" customHeight="true" outlineLevel="0" collapsed="false">
      <c r="A43" s="50"/>
      <c r="B43" s="65" t="str">
        <f aca="false">$I$6</f>
        <v> Беспроводные технологии передачи данных</v>
      </c>
      <c r="C43" s="65"/>
      <c r="D43" s="65"/>
      <c r="E43" s="65"/>
      <c r="F43" s="65"/>
      <c r="G43" s="65"/>
      <c r="H43" s="65"/>
      <c r="I43" s="65"/>
      <c r="J43" s="66"/>
      <c r="K43" s="66"/>
      <c r="L43" s="66"/>
      <c r="M43" s="66"/>
      <c r="O43" s="591" t="s">
        <v>87</v>
      </c>
      <c r="P43" s="591"/>
      <c r="Q43" s="58" t="n">
        <f aca="false">COUNTIF(Q8:Q29,"Предупреждение")</f>
        <v>0</v>
      </c>
    </row>
    <row r="44" customFormat="false" ht="15" hidden="false" customHeight="true" outlineLevel="0" collapsed="false">
      <c r="A44" s="50"/>
      <c r="B44" s="65" t="str">
        <f aca="false">$J$6</f>
        <v> Компьютерные сети и Интернет-технологии (к.п.)</v>
      </c>
      <c r="C44" s="65"/>
      <c r="D44" s="65"/>
      <c r="E44" s="65"/>
      <c r="F44" s="65"/>
      <c r="G44" s="65"/>
      <c r="H44" s="65"/>
      <c r="I44" s="65"/>
      <c r="J44" s="66"/>
      <c r="K44" s="66"/>
      <c r="L44" s="66"/>
      <c r="M44" s="66"/>
      <c r="O44" s="591" t="s">
        <v>88</v>
      </c>
      <c r="P44" s="591"/>
      <c r="Q44" s="58" t="n">
        <f aca="false">COUNTIF(Q8:Q29,"Выговор")</f>
        <v>0</v>
      </c>
    </row>
    <row r="45" customFormat="false" ht="15" hidden="false" customHeight="true" outlineLevel="0" collapsed="false">
      <c r="A45" s="50"/>
      <c r="B45" s="65" t="str">
        <f aca="false">$K$6</f>
        <v> Методы машинного обучения </v>
      </c>
      <c r="C45" s="65"/>
      <c r="D45" s="65"/>
      <c r="E45" s="65"/>
      <c r="F45" s="65"/>
      <c r="G45" s="65"/>
      <c r="H45" s="65"/>
      <c r="I45" s="65"/>
      <c r="J45" s="618"/>
      <c r="K45" s="618"/>
      <c r="L45" s="618"/>
      <c r="M45" s="618"/>
      <c r="O45" s="380" t="s">
        <v>1575</v>
      </c>
      <c r="P45" s="380"/>
      <c r="Q45" s="71" t="n">
        <f aca="false">SUM(R8:R29)</f>
        <v>0</v>
      </c>
    </row>
    <row r="46" customFormat="false" ht="15" hidden="false" customHeight="true" outlineLevel="0" collapsed="false">
      <c r="A46" s="50"/>
      <c r="B46" s="65" t="str">
        <f aca="false">$L$6</f>
        <v> Научно-исследовательская работа</v>
      </c>
      <c r="C46" s="65"/>
      <c r="D46" s="65"/>
      <c r="E46" s="65"/>
      <c r="F46" s="65"/>
      <c r="G46" s="65"/>
      <c r="H46" s="65"/>
      <c r="I46" s="65"/>
      <c r="J46" s="618"/>
      <c r="K46" s="618"/>
      <c r="L46" s="618"/>
      <c r="M46" s="618"/>
      <c r="N46" s="67"/>
      <c r="O46" s="48"/>
    </row>
    <row r="47" s="45" customFormat="true" ht="15" hidden="false" customHeight="true" outlineLevel="0" collapsed="false">
      <c r="A47" s="50"/>
      <c r="B47" s="65" t="str">
        <f aca="false">$M$6</f>
        <v> Экономика</v>
      </c>
      <c r="C47" s="65"/>
      <c r="D47" s="65"/>
      <c r="E47" s="65"/>
      <c r="F47" s="65"/>
      <c r="G47" s="65"/>
      <c r="H47" s="65"/>
      <c r="I47" s="65"/>
      <c r="J47" s="66"/>
      <c r="K47" s="66"/>
      <c r="L47" s="66"/>
      <c r="M47" s="66"/>
      <c r="N47" s="67"/>
      <c r="O47" s="48"/>
    </row>
    <row r="49" customFormat="false" ht="14.25" hidden="false" customHeight="true" outlineLevel="0" collapsed="false">
      <c r="A49" s="50"/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139"/>
      <c r="M49" s="139"/>
      <c r="N49" s="67"/>
      <c r="O49" s="48"/>
      <c r="P49" s="48"/>
      <c r="Q49" s="48"/>
    </row>
    <row r="50" customFormat="false" ht="15" hidden="false" customHeight="true" outlineLevel="0" collapsed="false">
      <c r="A50" s="50"/>
      <c r="B50" s="73" t="s">
        <v>1378</v>
      </c>
      <c r="C50" s="467" t="s">
        <v>2013</v>
      </c>
      <c r="D50" s="467"/>
      <c r="E50" s="198"/>
      <c r="F50" s="67"/>
      <c r="G50" s="52" t="s">
        <v>1970</v>
      </c>
      <c r="H50" s="300" t="s">
        <v>1971</v>
      </c>
      <c r="I50" s="52"/>
      <c r="J50" s="52"/>
      <c r="K50" s="139"/>
      <c r="L50" s="139"/>
      <c r="M50" s="139"/>
      <c r="N50" s="67"/>
      <c r="O50" s="48"/>
      <c r="P50" s="48"/>
      <c r="Q50" s="48"/>
    </row>
    <row r="51" customFormat="false" ht="15" hidden="false" customHeight="tru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139"/>
      <c r="L51" s="139"/>
      <c r="M51" s="139"/>
      <c r="N51" s="67"/>
      <c r="O51" s="48"/>
      <c r="P51" s="48"/>
      <c r="Q51" s="48"/>
    </row>
    <row r="52" customFormat="false" ht="15" hidden="false" customHeight="true" outlineLevel="0" collapsed="false">
      <c r="A52" s="50"/>
      <c r="B52" s="50" t="s">
        <v>93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48"/>
      <c r="O52" s="48"/>
      <c r="P52" s="48"/>
      <c r="Q52" s="48"/>
    </row>
    <row r="53" customFormat="false" ht="15" hidden="false" customHeight="true" outlineLevel="0" collapsed="false">
      <c r="A53" s="50"/>
      <c r="B53" s="50" t="s">
        <v>94</v>
      </c>
      <c r="C53" s="50"/>
      <c r="D53" s="50"/>
      <c r="E53" s="50"/>
      <c r="F53" s="50"/>
      <c r="G53" s="50"/>
      <c r="H53" s="50"/>
      <c r="I53" s="50"/>
      <c r="J53" s="50"/>
      <c r="K53" s="52"/>
      <c r="L53" s="52"/>
      <c r="M53" s="52"/>
      <c r="N53" s="48"/>
    </row>
    <row r="54" customFormat="false" ht="15" hidden="false" customHeight="true" outlineLevel="0" collapsed="false">
      <c r="A54" s="50"/>
      <c r="B54" s="50" t="s">
        <v>95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48"/>
    </row>
    <row r="55" customFormat="false" ht="15" hidden="false" customHeight="true" outlineLevel="0" collapsed="false">
      <c r="A55" s="50"/>
      <c r="B55" s="50" t="s">
        <v>96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48"/>
    </row>
    <row r="56" customFormat="false" ht="15" hidden="false" customHeight="true" outlineLevel="0" collapsed="false">
      <c r="A56" s="50"/>
      <c r="B56" s="50" t="s">
        <v>97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48"/>
    </row>
    <row r="57" customFormat="false" ht="15" hidden="false" customHeight="true" outlineLevel="0" collapsed="false">
      <c r="A57" s="50"/>
      <c r="B57" s="50" t="s">
        <v>98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8"/>
    </row>
    <row r="58" customFormat="false" ht="15" hidden="false" customHeight="true" outlineLevel="0" collapsed="false">
      <c r="A58" s="50"/>
      <c r="B58" s="50" t="s">
        <v>99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48"/>
    </row>
    <row r="59" customFormat="false" ht="15" hidden="false" customHeight="true" outlineLevel="0" collapsed="false">
      <c r="A59" s="50"/>
      <c r="K59" s="50"/>
      <c r="L59" s="50"/>
      <c r="M59" s="50"/>
      <c r="N59" s="48"/>
    </row>
    <row r="60" customFormat="false" ht="15.75" hidden="false" customHeight="false" outlineLevel="0" collapsed="false">
      <c r="A60" s="50"/>
      <c r="K60" s="50"/>
      <c r="L60" s="50"/>
      <c r="M60" s="50"/>
      <c r="N60" s="48"/>
    </row>
    <row r="61" customFormat="false" ht="15.75" hidden="false" customHeight="false" outlineLevel="0" collapsed="false">
      <c r="A61" s="50"/>
      <c r="K61" s="50"/>
      <c r="L61" s="50"/>
      <c r="M61" s="50"/>
      <c r="N61" s="48"/>
    </row>
  </sheetData>
  <mergeCells count="35">
    <mergeCell ref="C1:G1"/>
    <mergeCell ref="A3:N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I33:J33"/>
    <mergeCell ref="B38:I38"/>
    <mergeCell ref="J38:M38"/>
    <mergeCell ref="B39:I39"/>
    <mergeCell ref="J39:M39"/>
    <mergeCell ref="B40:I40"/>
    <mergeCell ref="J40:M40"/>
    <mergeCell ref="B41:I41"/>
    <mergeCell ref="J41:M41"/>
    <mergeCell ref="B42:I42"/>
    <mergeCell ref="J42:M42"/>
    <mergeCell ref="B43:I43"/>
    <mergeCell ref="J43:M43"/>
    <mergeCell ref="B44:I44"/>
    <mergeCell ref="J44:M44"/>
    <mergeCell ref="B45:I45"/>
    <mergeCell ref="J45:M45"/>
    <mergeCell ref="B46:I46"/>
    <mergeCell ref="J46:M46"/>
    <mergeCell ref="B47:I47"/>
    <mergeCell ref="J47:M47"/>
    <mergeCell ref="C50:D50"/>
  </mergeCells>
  <conditionalFormatting sqref="L20:L2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1:L19 L29 L8:L9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0:E2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9 E29 E11:E1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0:K22 M20:M22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0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0:K10 M10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30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34:M34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0:M30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9:K29 F8:F9 G8:I10 J8:K9 F11:K19 M29 M11:M19 M8:M9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3:K28 M23:M28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E28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3:L28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9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5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6.43"/>
    <col collapsed="false" customWidth="true" hidden="false" outlineLevel="0" max="2" min="2" style="0" width="10.71"/>
    <col collapsed="false" customWidth="true" hidden="false" outlineLevel="0" max="3" min="3" style="0" width="17.15"/>
    <col collapsed="false" customWidth="false" hidden="false" outlineLevel="0" max="5" min="5" style="45" width="8.71"/>
    <col collapsed="false" customWidth="true" hidden="false" outlineLevel="0" max="7" min="7" style="0" width="9.14"/>
    <col collapsed="false" customWidth="true" hidden="false" outlineLevel="0" max="12" min="12" style="0" width="10.29"/>
    <col collapsed="false" customWidth="true" hidden="false" outlineLevel="0" max="13" min="13" style="0" width="12.71"/>
    <col collapsed="false" customWidth="true" hidden="false" outlineLevel="0" max="14" min="14" style="0" width="9.71"/>
    <col collapsed="false" customWidth="true" hidden="false" outlineLevel="0" max="15" min="15" style="0" width="6.14"/>
    <col collapsed="false" customWidth="true" hidden="false" outlineLevel="0" max="16" min="16" style="0" width="11.85"/>
    <col collapsed="false" customWidth="true" hidden="false" outlineLevel="0" max="17" min="17" style="0" width="4.57"/>
    <col collapsed="false" customWidth="true" hidden="false" outlineLevel="0" max="18" min="18" style="0" width="3.71"/>
    <col collapsed="false" customWidth="true" hidden="false" outlineLevel="0" max="19" min="19" style="0" width="4.14"/>
  </cols>
  <sheetData>
    <row r="1" customFormat="false" ht="19.7" hidden="false" customHeight="false" outlineLevel="0" collapsed="false">
      <c r="C1" s="216" t="s">
        <v>0</v>
      </c>
      <c r="D1" s="216"/>
      <c r="E1" s="216"/>
      <c r="F1" s="216"/>
      <c r="G1" s="216"/>
      <c r="H1" s="216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 t="s">
        <v>1</v>
      </c>
      <c r="M2" s="72"/>
      <c r="N2" s="146" t="n">
        <f aca="false">set!B4</f>
        <v>45608</v>
      </c>
      <c r="O2" s="72"/>
      <c r="P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ИУК4-11М факультета ИУК МГТУ им. Н.Э. Баумана"</f>
        <v>Успеваемость студентов за 1 семестр 24/25 учебного года по группе ИУК4-11М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391" t="s">
        <v>8</v>
      </c>
      <c r="N5" s="392" t="s">
        <v>9</v>
      </c>
      <c r="O5" s="392" t="s">
        <v>10</v>
      </c>
      <c r="P5" s="14" t="s">
        <v>11</v>
      </c>
      <c r="Q5" s="620" t="s">
        <v>1575</v>
      </c>
    </row>
    <row r="6" customFormat="false" ht="15" hidden="false" customHeight="false" outlineLevel="0" collapsed="false">
      <c r="A6" s="8"/>
      <c r="B6" s="8"/>
      <c r="C6" s="8"/>
      <c r="D6" s="9"/>
      <c r="E6" s="627" t="s">
        <v>1078</v>
      </c>
      <c r="F6" s="628" t="s">
        <v>2014</v>
      </c>
      <c r="G6" s="629" t="s">
        <v>1080</v>
      </c>
      <c r="H6" s="630" t="s">
        <v>1081</v>
      </c>
      <c r="I6" s="627" t="s">
        <v>18</v>
      </c>
      <c r="J6" s="629" t="s">
        <v>467</v>
      </c>
      <c r="K6" s="629" t="s">
        <v>1082</v>
      </c>
      <c r="L6" s="630" t="s">
        <v>1405</v>
      </c>
      <c r="M6" s="391"/>
      <c r="N6" s="392"/>
      <c r="O6" s="392"/>
      <c r="P6" s="14"/>
      <c r="Q6" s="620"/>
    </row>
    <row r="7" customFormat="false" ht="17.9" hidden="false" customHeight="false" outlineLevel="0" collapsed="false">
      <c r="A7" s="8"/>
      <c r="B7" s="8"/>
      <c r="C7" s="8"/>
      <c r="D7" s="9"/>
      <c r="E7" s="365" t="s">
        <v>549</v>
      </c>
      <c r="F7" s="445" t="s">
        <v>1084</v>
      </c>
      <c r="G7" s="367" t="s">
        <v>299</v>
      </c>
      <c r="H7" s="346" t="s">
        <v>741</v>
      </c>
      <c r="I7" s="343" t="s">
        <v>27</v>
      </c>
      <c r="J7" s="344" t="s">
        <v>2015</v>
      </c>
      <c r="K7" s="344" t="s">
        <v>2016</v>
      </c>
      <c r="L7" s="346" t="s">
        <v>380</v>
      </c>
      <c r="M7" s="391"/>
      <c r="N7" s="392"/>
      <c r="O7" s="392"/>
      <c r="P7" s="14"/>
      <c r="Q7" s="620"/>
    </row>
    <row r="8" customFormat="false" ht="15" hidden="false" customHeight="true" outlineLevel="0" collapsed="false">
      <c r="A8" s="25" t="n">
        <v>1</v>
      </c>
      <c r="B8" s="25" t="s">
        <v>2017</v>
      </c>
      <c r="C8" s="25" t="s">
        <v>2018</v>
      </c>
      <c r="D8" s="631"/>
      <c r="E8" s="632"/>
      <c r="F8" s="633"/>
      <c r="G8" s="634"/>
      <c r="H8" s="564"/>
      <c r="I8" s="632"/>
      <c r="J8" s="634"/>
      <c r="K8" s="634"/>
      <c r="L8" s="635"/>
      <c r="M8" s="394" t="str">
        <f aca="false">IFERROR(AVERAGE(F8:L8),"")</f>
        <v/>
      </c>
      <c r="N8" s="84" t="str">
        <f aca="false">IF(F8&lt;&gt;"",IF(COUNTIF(F8:L8,"&lt;3"),"Не успевает","Успевает"),"")</f>
        <v/>
      </c>
      <c r="O8" s="241" t="str">
        <f aca="false">IF(D8&lt;&gt;"",(30*(set!B$5)-D8)/(30*(set!B$5))*100,"")</f>
        <v/>
      </c>
      <c r="P8" s="77" t="str">
        <f aca="false" t="array" ref="P8:P8">IF(F8&lt;&gt;"",IF(M8&lt;1.85,"Выговор",IF(M8=1.85,"Выговор",IF(AND(M8&gt;1.85,M8&lt;3),"Предупреждение",IF(AND(M8&gt;3,M8&lt;4.65),"Нормально",IF(AND(M8&gt;4.65,M8&lt;5.1,F8:L8&gt;=4),"Благодарность","Нормально"))))),"")</f>
        <v/>
      </c>
      <c r="Q8" s="36" t="n">
        <f aca="false">COUNTIF(F8:L8,2)+COUNTIF(F8:L8,1)+COUNTIF(F8:L8,0)</f>
        <v>0</v>
      </c>
    </row>
    <row r="9" customFormat="false" ht="15" hidden="false" customHeight="true" outlineLevel="0" collapsed="false">
      <c r="A9" s="85" t="n">
        <v>2</v>
      </c>
      <c r="B9" s="37" t="s">
        <v>2019</v>
      </c>
      <c r="C9" s="37" t="s">
        <v>2020</v>
      </c>
      <c r="D9" s="631"/>
      <c r="E9" s="474"/>
      <c r="F9" s="567"/>
      <c r="G9" s="475"/>
      <c r="H9" s="568"/>
      <c r="I9" s="474"/>
      <c r="J9" s="475"/>
      <c r="K9" s="475"/>
      <c r="L9" s="636"/>
      <c r="M9" s="585" t="str">
        <f aca="false">IFERROR(AVERAGE(F9:L9),"")</f>
        <v/>
      </c>
      <c r="N9" s="84" t="str">
        <f aca="false">IF(F9&lt;&gt;"",IF(COUNTIF(F9:L9,"&lt;3"),"Не успевает","Успевает"),"")</f>
        <v/>
      </c>
      <c r="O9" s="241" t="str">
        <f aca="false">IF(D9&lt;&gt;"",(30*(set!B$5)-D9)/(30*(set!B$5))*100,"")</f>
        <v/>
      </c>
      <c r="P9" s="85" t="str">
        <f aca="false" t="array" ref="P9:P9">IF(F9&lt;&gt;"",IF(M9&lt;1.85,"Выговор",IF(M9=1.85,"Выговор",IF(AND(M9&gt;1.85,M9&lt;3),"Предупреждение",IF(AND(M9&gt;3,M9&lt;4.65),"Нормально",IF(AND(M9&gt;4.65,M9&lt;5.1,F9:L9&gt;=4),"Благодарность","Нормально"))))),"")</f>
        <v/>
      </c>
      <c r="Q9" s="118" t="n">
        <f aca="false">COUNTIF(F9:L9,2)+COUNTIF(F9:L9,1)+COUNTIF(F9:L9,0)</f>
        <v>0</v>
      </c>
    </row>
    <row r="10" customFormat="false" ht="15" hidden="false" customHeight="true" outlineLevel="0" collapsed="false">
      <c r="A10" s="37" t="n">
        <v>3</v>
      </c>
      <c r="B10" s="37" t="s">
        <v>2021</v>
      </c>
      <c r="C10" s="37" t="s">
        <v>2022</v>
      </c>
      <c r="D10" s="631"/>
      <c r="E10" s="474"/>
      <c r="F10" s="567"/>
      <c r="G10" s="475"/>
      <c r="H10" s="568"/>
      <c r="I10" s="474"/>
      <c r="J10" s="475"/>
      <c r="K10" s="475"/>
      <c r="L10" s="636"/>
      <c r="M10" s="585" t="str">
        <f aca="false">IFERROR(AVERAGE(F10:L10),"")</f>
        <v/>
      </c>
      <c r="N10" s="84" t="str">
        <f aca="false">IF(F10&lt;&gt;"",IF(COUNTIF(F10:L10,"&lt;3"),"Не успевает","Успевает"),"")</f>
        <v/>
      </c>
      <c r="O10" s="241" t="str">
        <f aca="false">IF(D10&lt;&gt;"",(30*(set!B$5)-D10)/(30*(set!B$5))*100,"")</f>
        <v/>
      </c>
      <c r="P10" s="85" t="str">
        <f aca="false" t="array" ref="P10:P10">IF(F10&lt;&gt;"",IF(M10&lt;1.85,"Выговор",IF(M10=1.85,"Выговор",IF(AND(M10&gt;1.85,M10&lt;3),"Предупреждение",IF(AND(M10&gt;3,M10&lt;4.65),"Нормально",IF(AND(M10&gt;4.65,M10&lt;5.1,F10:L10&gt;=4),"Благодарность","Нормально"))))),"")</f>
        <v/>
      </c>
      <c r="Q10" s="118" t="n">
        <f aca="false">COUNTIF(F10:L10,2)+COUNTIF(F10:L10,1)+COUNTIF(F10:L10,0)</f>
        <v>0</v>
      </c>
    </row>
    <row r="11" customFormat="false" ht="15" hidden="false" customHeight="true" outlineLevel="0" collapsed="false">
      <c r="A11" s="85" t="n">
        <v>4</v>
      </c>
      <c r="B11" s="37" t="s">
        <v>2023</v>
      </c>
      <c r="C11" s="37" t="s">
        <v>2024</v>
      </c>
      <c r="D11" s="631"/>
      <c r="E11" s="474"/>
      <c r="F11" s="567"/>
      <c r="G11" s="475"/>
      <c r="H11" s="568"/>
      <c r="I11" s="474"/>
      <c r="J11" s="475"/>
      <c r="K11" s="475"/>
      <c r="L11" s="636"/>
      <c r="M11" s="585" t="str">
        <f aca="false">IFERROR(AVERAGE(F11:L11),"")</f>
        <v/>
      </c>
      <c r="N11" s="84" t="str">
        <f aca="false">IF(F11&lt;&gt;"",IF(COUNTIF(F11:L11,"&lt;3"),"Не успевает","Успевает"),"")</f>
        <v/>
      </c>
      <c r="O11" s="241" t="str">
        <f aca="false">IF(D11&lt;&gt;"",(30*(set!B$5)-D11)/(30*(set!B$5))*100,"")</f>
        <v/>
      </c>
      <c r="P11" s="85" t="str">
        <f aca="false" t="array" ref="P11:P11">IF(F11&lt;&gt;"",IF(M11&lt;1.85,"Выговор",IF(M11=1.85,"Выговор",IF(AND(M11&gt;1.85,M11&lt;3),"Предупреждение",IF(AND(M11&gt;3,M11&lt;4.65),"Нормально",IF(AND(M11&gt;4.65,M11&lt;5.1,F11:L11&gt;=4),"Благодарность","Нормально"))))),"")</f>
        <v/>
      </c>
      <c r="Q11" s="118" t="n">
        <f aca="false">COUNTIF(F11:L11,2)+COUNTIF(F11:L11,1)+COUNTIF(F11:L11,0)</f>
        <v>0</v>
      </c>
    </row>
    <row r="12" customFormat="false" ht="15" hidden="false" customHeight="true" outlineLevel="0" collapsed="false">
      <c r="A12" s="37" t="n">
        <v>5</v>
      </c>
      <c r="B12" s="37" t="s">
        <v>2025</v>
      </c>
      <c r="C12" s="37" t="s">
        <v>2026</v>
      </c>
      <c r="D12" s="631"/>
      <c r="E12" s="474"/>
      <c r="F12" s="567"/>
      <c r="G12" s="475"/>
      <c r="H12" s="568"/>
      <c r="I12" s="474"/>
      <c r="J12" s="475"/>
      <c r="K12" s="475"/>
      <c r="L12" s="636"/>
      <c r="M12" s="585" t="str">
        <f aca="false">IFERROR(AVERAGE(F12:L12),"")</f>
        <v/>
      </c>
      <c r="N12" s="84" t="str">
        <f aca="false">IF(F12&lt;&gt;"",IF(COUNTIF(F12:L12,"&lt;3"),"Не успевает","Успевает"),"")</f>
        <v/>
      </c>
      <c r="O12" s="241" t="str">
        <f aca="false">IF(D12&lt;&gt;"",(30*(set!B$5)-D12)/(30*(set!B$5))*100,"")</f>
        <v/>
      </c>
      <c r="P12" s="85" t="str">
        <f aca="false" t="array" ref="P12:P12">IF(F12&lt;&gt;"",IF(M12&lt;1.85,"Выговор",IF(M12=1.85,"Выговор",IF(AND(M12&gt;1.85,M12&lt;3),"Предупреждение",IF(AND(M12&gt;3,M12&lt;4.65),"Нормально",IF(AND(M12&gt;4.65,M12&lt;5.1,F12:L12&gt;=4),"Благодарность","Нормально"))))),"")</f>
        <v/>
      </c>
      <c r="Q12" s="118" t="n">
        <f aca="false">COUNTIF(F12:L12,2)+COUNTIF(F12:L12,1)+COUNTIF(F12:L12,0)</f>
        <v>0</v>
      </c>
    </row>
    <row r="13" customFormat="false" ht="15" hidden="false" customHeight="true" outlineLevel="0" collapsed="false">
      <c r="A13" s="85" t="n">
        <v>6</v>
      </c>
      <c r="B13" s="37" t="s">
        <v>2027</v>
      </c>
      <c r="C13" s="37" t="s">
        <v>2028</v>
      </c>
      <c r="D13" s="631"/>
      <c r="E13" s="474"/>
      <c r="F13" s="567"/>
      <c r="G13" s="475"/>
      <c r="H13" s="568"/>
      <c r="I13" s="474"/>
      <c r="J13" s="475"/>
      <c r="K13" s="475"/>
      <c r="L13" s="636"/>
      <c r="M13" s="585" t="str">
        <f aca="false">IFERROR(AVERAGE(F13:L13),"")</f>
        <v/>
      </c>
      <c r="N13" s="84" t="str">
        <f aca="false">IF(F13&lt;&gt;"",IF(COUNTIF(F13:L13,"&lt;3"),"Не успевает","Успевает"),"")</f>
        <v/>
      </c>
      <c r="O13" s="241" t="str">
        <f aca="false">IF(D13&lt;&gt;"",(30*(set!B$5)-D13)/(30*(set!B$5))*100,"")</f>
        <v/>
      </c>
      <c r="P13" s="85" t="str">
        <f aca="false" t="array" ref="P13:P13">IF(F13&lt;&gt;"",IF(M13&lt;1.85,"Выговор",IF(M13=1.85,"Выговор",IF(AND(M13&gt;1.85,M13&lt;3),"Предупреждение",IF(AND(M13&gt;3,M13&lt;4.65),"Нормально",IF(AND(M13&gt;4.65,M13&lt;5.1,F13:L13&gt;=4),"Благодарность","Нормально"))))),"")</f>
        <v/>
      </c>
      <c r="Q13" s="118" t="n">
        <f aca="false">COUNTIF(F13:L13,2)+COUNTIF(F13:L13,1)+COUNTIF(F13:L13,0)</f>
        <v>0</v>
      </c>
    </row>
    <row r="14" customFormat="false" ht="15" hidden="false" customHeight="true" outlineLevel="0" collapsed="false">
      <c r="A14" s="37" t="n">
        <v>7</v>
      </c>
      <c r="B14" s="37" t="s">
        <v>2029</v>
      </c>
      <c r="C14" s="37" t="s">
        <v>2030</v>
      </c>
      <c r="D14" s="631"/>
      <c r="E14" s="474"/>
      <c r="F14" s="567"/>
      <c r="G14" s="475"/>
      <c r="H14" s="568"/>
      <c r="I14" s="474"/>
      <c r="J14" s="475"/>
      <c r="K14" s="475"/>
      <c r="L14" s="636"/>
      <c r="M14" s="585" t="str">
        <f aca="false">IFERROR(AVERAGE(F14:L14),"")</f>
        <v/>
      </c>
      <c r="N14" s="84" t="str">
        <f aca="false">IF(F14&lt;&gt;"",IF(COUNTIF(F14:L14,"&lt;3"),"Не успевает","Успевает"),"")</f>
        <v/>
      </c>
      <c r="O14" s="241" t="str">
        <f aca="false">IF(D14&lt;&gt;"",(30*(set!B$5)-D14)/(30*(set!B$5))*100,"")</f>
        <v/>
      </c>
      <c r="P14" s="85" t="str">
        <f aca="false" t="array" ref="P14:P14">IF(F14&lt;&gt;"",IF(M14&lt;1.85,"Выговор",IF(M14=1.85,"Выговор",IF(AND(M14&gt;1.85,M14&lt;3),"Предупреждение",IF(AND(M14&gt;3,M14&lt;4.65),"Нормально",IF(AND(M14&gt;4.65,M14&lt;5.1,F14:L14&gt;=4),"Благодарность","Нормально"))))),"")</f>
        <v/>
      </c>
      <c r="Q14" s="118" t="n">
        <f aca="false">COUNTIF(F14:L14,2)+COUNTIF(F14:L14,1)+COUNTIF(F14:L14,0)</f>
        <v>0</v>
      </c>
    </row>
    <row r="15" customFormat="false" ht="15" hidden="false" customHeight="true" outlineLevel="0" collapsed="false">
      <c r="A15" s="37" t="n">
        <v>8</v>
      </c>
      <c r="B15" s="37" t="s">
        <v>2031</v>
      </c>
      <c r="C15" s="37" t="s">
        <v>2032</v>
      </c>
      <c r="D15" s="631"/>
      <c r="E15" s="474"/>
      <c r="F15" s="567"/>
      <c r="G15" s="475"/>
      <c r="H15" s="568"/>
      <c r="I15" s="474"/>
      <c r="J15" s="475"/>
      <c r="K15" s="475"/>
      <c r="L15" s="636"/>
      <c r="M15" s="585" t="str">
        <f aca="false">IFERROR(AVERAGE(F15:L15),"")</f>
        <v/>
      </c>
      <c r="N15" s="84" t="str">
        <f aca="false">IF(F15&lt;&gt;"",IF(COUNTIF(F15:L15,"&lt;3"),"Не успевает","Успевает"),"")</f>
        <v/>
      </c>
      <c r="O15" s="241" t="str">
        <f aca="false">IF(D15&lt;&gt;"",(30*(set!B$5)-D15)/(30*(set!B$5))*100,"")</f>
        <v/>
      </c>
      <c r="P15" s="85" t="str">
        <f aca="false" t="array" ref="P15:P15">IF(F15&lt;&gt;"",IF(M15&lt;1.85,"Выговор",IF(M15=1.85,"Выговор",IF(AND(M15&gt;1.85,M15&lt;3),"Предупреждение",IF(AND(M15&gt;3,M15&lt;4.65),"Нормально",IF(AND(M15&gt;4.65,M15&lt;5.1,F15:L15&gt;=4),"Благодарность","Нормально"))))),"")</f>
        <v/>
      </c>
      <c r="Q15" s="118" t="n">
        <f aca="false">COUNTIF(F15:L15,2)+COUNTIF(F15:L15,1)+COUNTIF(F15:L15,0)</f>
        <v>0</v>
      </c>
    </row>
    <row r="16" customFormat="false" ht="15" hidden="false" customHeight="true" outlineLevel="0" collapsed="false">
      <c r="A16" s="85" t="n">
        <v>9</v>
      </c>
      <c r="B16" s="37" t="s">
        <v>2033</v>
      </c>
      <c r="C16" s="37" t="s">
        <v>2034</v>
      </c>
      <c r="D16" s="631"/>
      <c r="E16" s="474"/>
      <c r="F16" s="567"/>
      <c r="G16" s="475"/>
      <c r="H16" s="568"/>
      <c r="I16" s="474"/>
      <c r="J16" s="475"/>
      <c r="K16" s="475"/>
      <c r="L16" s="636"/>
      <c r="M16" s="585" t="str">
        <f aca="false">IFERROR(AVERAGE(F16:L16),"")</f>
        <v/>
      </c>
      <c r="N16" s="84" t="str">
        <f aca="false">IF(F16&lt;&gt;"",IF(COUNTIF(F16:L16,"&lt;3"),"Не успевает","Успевает"),"")</f>
        <v/>
      </c>
      <c r="O16" s="241" t="str">
        <f aca="false">IF(D16&lt;&gt;"",(30*(set!B$5)-D16)/(30*(set!B$5))*100,"")</f>
        <v/>
      </c>
      <c r="P16" s="85" t="str">
        <f aca="false" t="array" ref="P16:P16">IF(F16&lt;&gt;"",IF(M16&lt;1.85,"Выговор",IF(M16=1.85,"Выговор",IF(AND(M16&gt;1.85,M16&lt;3),"Предупреждение",IF(AND(M16&gt;3,M16&lt;4.65),"Нормально",IF(AND(M16&gt;4.65,M16&lt;5.1,F16:L16&gt;=4),"Благодарность","Нормально"))))),"")</f>
        <v/>
      </c>
      <c r="Q16" s="118" t="n">
        <f aca="false">COUNTIF(F16:L16,2)+COUNTIF(F16:L16,1)+COUNTIF(F16:L16,0)</f>
        <v>0</v>
      </c>
    </row>
    <row r="17" customFormat="false" ht="15" hidden="false" customHeight="true" outlineLevel="0" collapsed="false">
      <c r="A17" s="85" t="n">
        <v>10</v>
      </c>
      <c r="B17" s="37" t="s">
        <v>2035</v>
      </c>
      <c r="C17" s="37" t="s">
        <v>2036</v>
      </c>
      <c r="D17" s="631"/>
      <c r="E17" s="474"/>
      <c r="F17" s="567"/>
      <c r="G17" s="475"/>
      <c r="H17" s="568"/>
      <c r="I17" s="474"/>
      <c r="J17" s="475"/>
      <c r="K17" s="475"/>
      <c r="L17" s="636"/>
      <c r="M17" s="585" t="str">
        <f aca="false">IFERROR(AVERAGE(F17:L17),"")</f>
        <v/>
      </c>
      <c r="N17" s="84" t="str">
        <f aca="false">IF(F17&lt;&gt;"",IF(COUNTIF(F17:L17,"&lt;3"),"Не успевает","Успевает"),"")</f>
        <v/>
      </c>
      <c r="O17" s="241" t="str">
        <f aca="false">IF(D17&lt;&gt;"",(30*(set!B$5)-D17)/(30*(set!B$5))*100,"")</f>
        <v/>
      </c>
      <c r="P17" s="85" t="str">
        <f aca="false" t="array" ref="P17:P17">IF(F17&lt;&gt;"",IF(M17&lt;1.85,"Выговор",IF(M17=1.85,"Выговор",IF(AND(M17&gt;1.85,M17&lt;3),"Предупреждение",IF(AND(M17&gt;3,M17&lt;4.65),"Нормально",IF(AND(M17&gt;4.65,M17&lt;5.1,F17:L17&gt;=4),"Благодарность","Нормально"))))),"")</f>
        <v/>
      </c>
      <c r="Q17" s="118" t="n">
        <f aca="false">COUNTIF(F17:L17,2)+COUNTIF(F17:L17,1)+COUNTIF(F17:L17,0)</f>
        <v>0</v>
      </c>
    </row>
    <row r="18" customFormat="false" ht="15" hidden="false" customHeight="true" outlineLevel="0" collapsed="false">
      <c r="A18" s="37" t="n">
        <v>11</v>
      </c>
      <c r="B18" s="37" t="s">
        <v>2037</v>
      </c>
      <c r="C18" s="37" t="s">
        <v>2038</v>
      </c>
      <c r="D18" s="631"/>
      <c r="E18" s="474"/>
      <c r="F18" s="567"/>
      <c r="G18" s="475"/>
      <c r="H18" s="568"/>
      <c r="I18" s="474"/>
      <c r="J18" s="475"/>
      <c r="K18" s="475"/>
      <c r="L18" s="636"/>
      <c r="M18" s="585" t="str">
        <f aca="false">IFERROR(AVERAGE(F18:L18),"")</f>
        <v/>
      </c>
      <c r="N18" s="84" t="str">
        <f aca="false">IF(F18&lt;&gt;"",IF(COUNTIF(F18:L18,"&lt;3"),"Не успевает","Успевает"),"")</f>
        <v/>
      </c>
      <c r="O18" s="241" t="str">
        <f aca="false">IF(D18&lt;&gt;"",(30*(set!B$5)-D18)/(30*(set!B$5))*100,"")</f>
        <v/>
      </c>
      <c r="P18" s="85" t="str">
        <f aca="false" t="array" ref="P18:P18">IF(F18&lt;&gt;"",IF(M18&lt;1.85,"Выговор",IF(M18=1.85,"Выговор",IF(AND(M18&gt;1.85,M18&lt;3),"Предупреждение",IF(AND(M18&gt;3,M18&lt;4.65),"Нормально",IF(AND(M18&gt;4.65,M18&lt;5.1,F18:L18&gt;=4),"Благодарность","Нормально"))))),"")</f>
        <v/>
      </c>
      <c r="Q18" s="118" t="n">
        <f aca="false">COUNTIF(F18:L18,2)+COUNTIF(F18:L18,1)+COUNTIF(F18:L18,0)</f>
        <v>0</v>
      </c>
    </row>
    <row r="19" customFormat="false" ht="15" hidden="false" customHeight="true" outlineLevel="0" collapsed="false">
      <c r="A19" s="0" t="s">
        <v>77</v>
      </c>
      <c r="D19" s="7"/>
      <c r="E19" s="210" t="e">
        <f aca="false">AVERAGE(E8:E18)</f>
        <v>#DIV/0!</v>
      </c>
      <c r="F19" s="210" t="e">
        <f aca="false">AVERAGE(F8:F18)</f>
        <v>#DIV/0!</v>
      </c>
      <c r="G19" s="210" t="e">
        <f aca="false">AVERAGE(G8:G18)</f>
        <v>#DIV/0!</v>
      </c>
      <c r="H19" s="210" t="e">
        <f aca="false">AVERAGE(H8:H18)</f>
        <v>#DIV/0!</v>
      </c>
      <c r="I19" s="210" t="e">
        <f aca="false">AVERAGE(I8:I18)</f>
        <v>#DIV/0!</v>
      </c>
      <c r="J19" s="210" t="e">
        <f aca="false">AVERAGE(J8:J18)</f>
        <v>#DIV/0!</v>
      </c>
      <c r="K19" s="210" t="e">
        <f aca="false">AVERAGE(K8:K18)</f>
        <v>#DIV/0!</v>
      </c>
      <c r="L19" s="210" t="e">
        <f aca="false">AVERAGE(L8:L18)</f>
        <v>#DIV/0!</v>
      </c>
      <c r="M19" s="48"/>
      <c r="N19" s="47"/>
      <c r="O19" s="48"/>
      <c r="P19" s="49"/>
    </row>
    <row r="20" customFormat="false" ht="15" hidden="false" customHeight="true" outlineLevel="0" collapsed="false">
      <c r="A20" s="0" t="s">
        <v>78</v>
      </c>
      <c r="D20" s="7"/>
      <c r="E20" s="137" t="e">
        <f aca="false">(COUNTIF(E8:E18,5)+COUNTIF(E8:E18,4)+COUNTIF(E8:E18,3))/$Q$25*100</f>
        <v>#DIV/0!</v>
      </c>
      <c r="F20" s="137" t="e">
        <f aca="false">(COUNTIF(F8:F18,5)+COUNTIF(F8:F18,4)+COUNTIF(F8:F18,3))/$Q$25*100</f>
        <v>#DIV/0!</v>
      </c>
      <c r="G20" s="137" t="e">
        <f aca="false">(COUNTIF(G8:G18,5)+COUNTIF(G8:G18,4)+COUNTIF(G8:G18,3))/$Q$25*100</f>
        <v>#DIV/0!</v>
      </c>
      <c r="H20" s="137" t="e">
        <f aca="false">(COUNTIF(H8:H18,5)+COUNTIF(H8:H18,4)+COUNTIF(H8:H18,3))/$Q$25*100</f>
        <v>#DIV/0!</v>
      </c>
      <c r="I20" s="137" t="e">
        <f aca="false">(COUNTIF(I8:I18,5)+COUNTIF(I8:I18,4)+COUNTIF(I8:I18,3))/$Q$25*100</f>
        <v>#DIV/0!</v>
      </c>
      <c r="J20" s="137" t="e">
        <f aca="false">(COUNTIF(J8:J18,5)+COUNTIF(J8:J18,4)+COUNTIF(J8:J18,3))/$Q$25*100</f>
        <v>#DIV/0!</v>
      </c>
      <c r="K20" s="137" t="e">
        <f aca="false">(COUNTIF(K8:K18,5)+COUNTIF(K8:K18,4)+COUNTIF(K8:K18,3))/$Q$25*100</f>
        <v>#DIV/0!</v>
      </c>
      <c r="L20" s="137" t="e">
        <f aca="false">(COUNTIF(L8:L18,5)+COUNTIF(L8:L18,4)+COUNTIF(L8:L18,3))/$Q$25*100</f>
        <v>#DIV/0!</v>
      </c>
      <c r="M20" s="48"/>
      <c r="N20" s="48"/>
      <c r="O20" s="48"/>
      <c r="P20" s="47"/>
      <c r="Q20" s="48"/>
      <c r="R20" s="242"/>
      <c r="S20" s="242"/>
    </row>
    <row r="21" customFormat="false" ht="15" hidden="false" customHeight="true" outlineLevel="0" collapsed="false">
      <c r="D21" s="46"/>
      <c r="E21" s="46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</row>
    <row r="22" customFormat="false" ht="15" hidden="false" customHeight="true" outlineLevel="0" collapsed="false"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</row>
    <row r="23" customFormat="false" ht="15" hidden="false" customHeight="true" outlineLevel="0" collapsed="false">
      <c r="B23" s="50"/>
      <c r="C23" s="50" t="s">
        <v>8</v>
      </c>
      <c r="D23" s="51" t="str">
        <f aca="false">IFERROR(AVERAGE(M8:M18),"")</f>
        <v/>
      </c>
      <c r="E23" s="51"/>
      <c r="F23" s="52" t="s">
        <v>9</v>
      </c>
      <c r="H23" s="53" t="str">
        <f aca="false">IFERROR(COUNTIF(N8:N18,"Успевает")/Q25*100,"")</f>
        <v/>
      </c>
      <c r="I23" s="319" t="s">
        <v>79</v>
      </c>
      <c r="J23" s="319"/>
      <c r="K23" s="55" t="str">
        <f aca="false">IFERROR(AVERAGE(O8:O18),"")</f>
        <v/>
      </c>
      <c r="L23" s="52"/>
      <c r="M23" s="52"/>
      <c r="N23" s="158"/>
    </row>
    <row r="24" customFormat="false" ht="15" hidden="false" customHeight="true" outlineLevel="0" collapsed="false">
      <c r="B24" s="50"/>
      <c r="C24" s="50"/>
      <c r="D24" s="50"/>
      <c r="E24" s="50"/>
      <c r="F24" s="56"/>
      <c r="G24" s="56"/>
      <c r="H24" s="56"/>
      <c r="I24" s="56"/>
      <c r="J24" s="56"/>
      <c r="K24" s="56"/>
      <c r="L24" s="56"/>
      <c r="M24" s="56"/>
      <c r="N24" s="56"/>
    </row>
    <row r="25" customFormat="false" ht="15" hidden="false" customHeight="true" outlineLevel="0" collapsed="false">
      <c r="A25" s="50"/>
      <c r="B25" s="61" t="s">
        <v>81</v>
      </c>
      <c r="C25" s="61"/>
      <c r="D25" s="61"/>
      <c r="E25" s="61"/>
      <c r="F25" s="61"/>
      <c r="G25" s="61"/>
      <c r="H25" s="61"/>
      <c r="I25" s="61"/>
      <c r="J25" s="61"/>
      <c r="K25" s="61"/>
      <c r="L25" s="61" t="s">
        <v>82</v>
      </c>
      <c r="M25" s="61"/>
      <c r="N25" s="56"/>
      <c r="O25" s="57" t="s">
        <v>80</v>
      </c>
      <c r="P25" s="57"/>
      <c r="Q25" s="58" t="n">
        <f aca="false">SUM(Q26,Q27)</f>
        <v>0</v>
      </c>
    </row>
    <row r="26" customFormat="false" ht="15" hidden="false" customHeight="true" outlineLevel="0" collapsed="false">
      <c r="A26" s="50"/>
      <c r="B26" s="65" t="str">
        <f aca="false">$E$6</f>
        <v> Вейвлет-преобразования сигналов</v>
      </c>
      <c r="C26" s="65"/>
      <c r="D26" s="65"/>
      <c r="E26" s="65"/>
      <c r="F26" s="65"/>
      <c r="G26" s="65"/>
      <c r="H26" s="65"/>
      <c r="I26" s="65"/>
      <c r="J26" s="65"/>
      <c r="K26" s="65"/>
      <c r="L26" s="637"/>
      <c r="M26" s="637"/>
      <c r="N26" s="67"/>
      <c r="O26" s="57" t="s">
        <v>83</v>
      </c>
      <c r="P26" s="57"/>
      <c r="Q26" s="58" t="n">
        <f aca="false">COUNTIF(N8:N18,"Успевает")</f>
        <v>0</v>
      </c>
    </row>
    <row r="27" customFormat="false" ht="15" hidden="false" customHeight="true" outlineLevel="0" collapsed="false">
      <c r="A27" s="50"/>
      <c r="B27" s="65" t="str">
        <f aca="false">$F$6</f>
        <v> Методология программной инженерии </v>
      </c>
      <c r="C27" s="65"/>
      <c r="D27" s="65"/>
      <c r="E27" s="65"/>
      <c r="F27" s="65"/>
      <c r="G27" s="65"/>
      <c r="H27" s="65"/>
      <c r="I27" s="65"/>
      <c r="J27" s="65"/>
      <c r="K27" s="65"/>
      <c r="L27" s="637"/>
      <c r="M27" s="637"/>
      <c r="N27" s="67"/>
      <c r="O27" s="98" t="s">
        <v>84</v>
      </c>
      <c r="P27" s="98"/>
      <c r="Q27" s="58" t="n">
        <f aca="false">COUNTIF(N8:N18,"Не успевает")</f>
        <v>0</v>
      </c>
    </row>
    <row r="28" customFormat="false" ht="15" hidden="false" customHeight="true" outlineLevel="0" collapsed="false">
      <c r="A28" s="50"/>
      <c r="B28" s="65" t="str">
        <f aca="false">$G$6</f>
        <v> Проектирование интеллектуальных систем</v>
      </c>
      <c r="C28" s="65"/>
      <c r="D28" s="65"/>
      <c r="E28" s="65"/>
      <c r="F28" s="65"/>
      <c r="G28" s="65"/>
      <c r="H28" s="65"/>
      <c r="I28" s="65"/>
      <c r="J28" s="65"/>
      <c r="K28" s="65"/>
      <c r="L28" s="637"/>
      <c r="M28" s="637"/>
      <c r="N28" s="67"/>
      <c r="O28" s="98" t="s">
        <v>85</v>
      </c>
      <c r="P28" s="98"/>
      <c r="Q28" s="58" t="n">
        <f aca="false">COUNTIF(P8:P18,"Благодарность")</f>
        <v>0</v>
      </c>
    </row>
    <row r="29" customFormat="false" ht="15" hidden="false" customHeight="true" outlineLevel="0" collapsed="false">
      <c r="A29" s="50"/>
      <c r="B29" s="65" t="str">
        <f aca="false">$H$6</f>
        <v> Системы мультимедиа, прототипирование и разработка интерфейса веб-проекта</v>
      </c>
      <c r="C29" s="65"/>
      <c r="D29" s="65"/>
      <c r="E29" s="65"/>
      <c r="F29" s="65"/>
      <c r="G29" s="65"/>
      <c r="H29" s="65"/>
      <c r="I29" s="65"/>
      <c r="J29" s="65"/>
      <c r="K29" s="65"/>
      <c r="L29" s="637"/>
      <c r="M29" s="637"/>
      <c r="N29" s="67"/>
      <c r="O29" s="98" t="s">
        <v>86</v>
      </c>
      <c r="P29" s="98"/>
      <c r="Q29" s="58" t="n">
        <f aca="false">COUNTIF(P8:P18,"Нормально")</f>
        <v>0</v>
      </c>
    </row>
    <row r="30" customFormat="false" ht="15" hidden="false" customHeight="true" outlineLevel="0" collapsed="false">
      <c r="A30" s="50"/>
      <c r="B30" s="65" t="str">
        <f aca="false">$I$6</f>
        <v>Иностранный язык</v>
      </c>
      <c r="C30" s="65"/>
      <c r="D30" s="65"/>
      <c r="E30" s="65"/>
      <c r="F30" s="65"/>
      <c r="G30" s="65"/>
      <c r="H30" s="65"/>
      <c r="I30" s="65"/>
      <c r="J30" s="65"/>
      <c r="K30" s="65"/>
      <c r="L30" s="637"/>
      <c r="M30" s="637"/>
      <c r="N30" s="67"/>
      <c r="O30" s="98" t="s">
        <v>87</v>
      </c>
      <c r="P30" s="98"/>
      <c r="Q30" s="58" t="n">
        <f aca="false">COUNTIF(P8:P18,"Предупреждение")</f>
        <v>0</v>
      </c>
    </row>
    <row r="31" customFormat="false" ht="15" hidden="false" customHeight="true" outlineLevel="0" collapsed="false">
      <c r="A31" s="50"/>
      <c r="B31" s="65" t="str">
        <f aca="false">$J$6</f>
        <v>Научно-исследовательская работа</v>
      </c>
      <c r="C31" s="65"/>
      <c r="D31" s="65"/>
      <c r="E31" s="65"/>
      <c r="F31" s="65"/>
      <c r="G31" s="65"/>
      <c r="H31" s="65"/>
      <c r="I31" s="65"/>
      <c r="J31" s="65"/>
      <c r="K31" s="65"/>
      <c r="L31" s="637"/>
      <c r="M31" s="637"/>
      <c r="N31" s="67"/>
      <c r="O31" s="98" t="s">
        <v>88</v>
      </c>
      <c r="P31" s="98"/>
      <c r="Q31" s="58" t="n">
        <f aca="false">COUNTIF(P8:P18,"Выговор")</f>
        <v>0</v>
      </c>
    </row>
    <row r="32" customFormat="false" ht="15" hidden="false" customHeight="true" outlineLevel="0" collapsed="false">
      <c r="A32" s="50"/>
      <c r="B32" s="638" t="str">
        <f aca="false">$K$6</f>
        <v> Технологическая практика</v>
      </c>
      <c r="C32" s="638"/>
      <c r="D32" s="638"/>
      <c r="E32" s="638"/>
      <c r="F32" s="638"/>
      <c r="G32" s="638"/>
      <c r="H32" s="638"/>
      <c r="I32" s="638"/>
      <c r="J32" s="638"/>
      <c r="K32" s="638"/>
      <c r="L32" s="637"/>
      <c r="M32" s="637"/>
      <c r="N32" s="67"/>
      <c r="O32" s="336" t="s">
        <v>1575</v>
      </c>
      <c r="P32" s="336"/>
      <c r="Q32" s="143" t="n">
        <f aca="false">SUM(Q8:Q18)</f>
        <v>0</v>
      </c>
    </row>
    <row r="33" customFormat="false" ht="15" hidden="false" customHeight="true" outlineLevel="0" collapsed="false">
      <c r="A33" s="50"/>
      <c r="B33" s="65" t="str">
        <f aca="false">$L$6</f>
        <v> Управление персоналом</v>
      </c>
      <c r="C33" s="65"/>
      <c r="D33" s="65"/>
      <c r="E33" s="65"/>
      <c r="F33" s="65"/>
      <c r="G33" s="65"/>
      <c r="H33" s="65"/>
      <c r="I33" s="65"/>
      <c r="J33" s="65"/>
      <c r="K33" s="65"/>
      <c r="L33" s="637"/>
      <c r="M33" s="637"/>
      <c r="N33" s="67"/>
      <c r="O33" s="67"/>
      <c r="P33" s="67"/>
      <c r="Q33" s="48"/>
    </row>
    <row r="34" customFormat="false" ht="15" hidden="false" customHeight="true" outlineLevel="0" collapsed="false">
      <c r="A34" s="50"/>
      <c r="B34" s="639"/>
      <c r="C34" s="639"/>
      <c r="D34" s="639"/>
      <c r="E34" s="639"/>
      <c r="F34" s="639"/>
      <c r="G34" s="639"/>
      <c r="H34" s="639"/>
      <c r="I34" s="639"/>
      <c r="J34" s="639"/>
      <c r="K34" s="639"/>
      <c r="L34" s="639"/>
      <c r="M34" s="639"/>
      <c r="N34" s="67"/>
      <c r="O34" s="67"/>
      <c r="P34" s="67"/>
      <c r="Q34" s="48"/>
    </row>
    <row r="35" customFormat="false" ht="15" hidden="false" customHeight="true" outlineLevel="0" collapsed="false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67"/>
      <c r="O35" s="67"/>
      <c r="P35" s="67"/>
      <c r="Q35" s="67"/>
    </row>
    <row r="36" customFormat="false" ht="15" hidden="false" customHeight="true" outlineLevel="0" collapsed="false">
      <c r="A36" s="50"/>
      <c r="B36" s="73" t="s">
        <v>405</v>
      </c>
      <c r="C36" s="198" t="s">
        <v>2039</v>
      </c>
      <c r="D36" s="198"/>
      <c r="E36" s="501"/>
      <c r="F36" s="67"/>
      <c r="G36" s="52" t="s">
        <v>407</v>
      </c>
      <c r="H36" s="300" t="s">
        <v>2040</v>
      </c>
      <c r="I36" s="52"/>
      <c r="J36" s="52"/>
      <c r="K36" s="52"/>
      <c r="L36" s="52"/>
      <c r="M36" s="50"/>
      <c r="N36" s="50"/>
      <c r="O36" s="48"/>
      <c r="P36" s="48"/>
      <c r="Q36" s="48"/>
    </row>
    <row r="37" customFormat="false" ht="15" hidden="false" customHeight="true" outlineLevel="0" collapsed="false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48"/>
      <c r="P37" s="48"/>
      <c r="Q37" s="48"/>
    </row>
    <row r="38" customFormat="false" ht="15" hidden="false" customHeight="true" outlineLevel="0" collapsed="false">
      <c r="A38" s="50"/>
      <c r="B38" s="50" t="s">
        <v>93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48"/>
      <c r="P38" s="48"/>
      <c r="Q38" s="48"/>
    </row>
    <row r="39" customFormat="false" ht="15" hidden="false" customHeight="true" outlineLevel="0" collapsed="false">
      <c r="A39" s="50"/>
      <c r="B39" s="50" t="s">
        <v>94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48"/>
      <c r="P39" s="48"/>
      <c r="Q39" s="48"/>
    </row>
    <row r="40" customFormat="false" ht="15" hidden="false" customHeight="true" outlineLevel="0" collapsed="false">
      <c r="A40" s="50"/>
      <c r="B40" s="50" t="s">
        <v>95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48"/>
      <c r="P40" s="48"/>
      <c r="Q40" s="48"/>
    </row>
    <row r="41" customFormat="false" ht="15" hidden="false" customHeight="true" outlineLevel="0" collapsed="false">
      <c r="A41" s="50"/>
      <c r="B41" s="50" t="s">
        <v>96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48"/>
      <c r="P41" s="48"/>
      <c r="Q41" s="48"/>
    </row>
    <row r="42" customFormat="false" ht="15" hidden="false" customHeight="true" outlineLevel="0" collapsed="false">
      <c r="A42" s="50"/>
      <c r="B42" s="50" t="s">
        <v>97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48"/>
      <c r="P42" s="48"/>
      <c r="Q42" s="48"/>
    </row>
    <row r="43" customFormat="false" ht="15" hidden="false" customHeight="true" outlineLevel="0" collapsed="false">
      <c r="A43" s="50"/>
      <c r="B43" s="50" t="s">
        <v>98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48"/>
      <c r="P43" s="48"/>
      <c r="Q43" s="48"/>
    </row>
    <row r="44" customFormat="false" ht="15" hidden="false" customHeight="true" outlineLevel="0" collapsed="false">
      <c r="A44" s="50"/>
      <c r="B44" s="50" t="s">
        <v>99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48"/>
      <c r="P44" s="48"/>
      <c r="Q44" s="48"/>
    </row>
    <row r="45" customFormat="false" ht="15" hidden="false" customHeight="true" outlineLevel="0" collapsed="false">
      <c r="A45" s="50"/>
      <c r="N45" s="50"/>
      <c r="O45" s="48"/>
      <c r="P45" s="48"/>
      <c r="Q45" s="48"/>
    </row>
  </sheetData>
  <mergeCells count="42">
    <mergeCell ref="C1:H1"/>
    <mergeCell ref="A3:O3"/>
    <mergeCell ref="A5:A7"/>
    <mergeCell ref="B5:B7"/>
    <mergeCell ref="C5:C7"/>
    <mergeCell ref="D5:D7"/>
    <mergeCell ref="E5:H5"/>
    <mergeCell ref="I5:L5"/>
    <mergeCell ref="M5:M7"/>
    <mergeCell ref="N5:N7"/>
    <mergeCell ref="O5:O7"/>
    <mergeCell ref="P5:P7"/>
    <mergeCell ref="Q5:Q7"/>
    <mergeCell ref="I23:J23"/>
    <mergeCell ref="B25:K25"/>
    <mergeCell ref="L25:M25"/>
    <mergeCell ref="O25:P25"/>
    <mergeCell ref="B26:K26"/>
    <mergeCell ref="L26:M26"/>
    <mergeCell ref="O26:P26"/>
    <mergeCell ref="B27:K27"/>
    <mergeCell ref="L27:M27"/>
    <mergeCell ref="O27:P27"/>
    <mergeCell ref="B28:K28"/>
    <mergeCell ref="L28:M28"/>
    <mergeCell ref="O28:P28"/>
    <mergeCell ref="B29:K29"/>
    <mergeCell ref="L29:M29"/>
    <mergeCell ref="O29:P29"/>
    <mergeCell ref="B30:K30"/>
    <mergeCell ref="L30:M30"/>
    <mergeCell ref="O30:P30"/>
    <mergeCell ref="B31:K31"/>
    <mergeCell ref="L31:M31"/>
    <mergeCell ref="O31:P31"/>
    <mergeCell ref="B32:K32"/>
    <mergeCell ref="L32:M32"/>
    <mergeCell ref="O32:P32"/>
    <mergeCell ref="B33:K33"/>
    <mergeCell ref="L33:M33"/>
    <mergeCell ref="B34:J34"/>
    <mergeCell ref="K34:M34"/>
  </mergeCells>
  <conditionalFormatting sqref="E8:E1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9:N19 E20:P2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9:F1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L1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9:M1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1:O2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9:L19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0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B8" activeCellId="0" sqref="B8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6.29"/>
    <col collapsed="false" customWidth="true" hidden="false" outlineLevel="0" max="2" min="2" style="0" width="10.29"/>
    <col collapsed="false" customWidth="true" hidden="false" outlineLevel="0" max="3" min="3" style="0" width="18.29"/>
    <col collapsed="false" customWidth="false" hidden="false" outlineLevel="0" max="9" min="8" style="45" width="8.71"/>
    <col collapsed="false" customWidth="false" hidden="false" outlineLevel="0" max="11" min="11" style="45" width="8.71"/>
    <col collapsed="false" customWidth="true" hidden="false" outlineLevel="0" max="14" min="13" style="0" width="10.14"/>
    <col collapsed="false" customWidth="true" hidden="false" outlineLevel="0" max="15" min="15" style="0" width="5.71"/>
    <col collapsed="false" customWidth="true" hidden="false" outlineLevel="0" max="16" min="16" style="0" width="15.29"/>
    <col collapsed="false" customWidth="true" hidden="false" outlineLevel="0" max="17" min="17" style="0" width="10"/>
  </cols>
  <sheetData>
    <row r="1" customFormat="false" ht="19.7" hidden="false" customHeight="false" outlineLevel="0" collapsed="false">
      <c r="D1" s="216" t="s">
        <v>0</v>
      </c>
      <c r="E1" s="216"/>
      <c r="F1" s="216"/>
      <c r="G1" s="216"/>
      <c r="H1" s="216"/>
      <c r="I1" s="216"/>
      <c r="J1" s="216"/>
      <c r="K1" s="216"/>
      <c r="L1" s="2" t="n">
        <f aca="false">set!B1</f>
        <v>2</v>
      </c>
    </row>
    <row r="2" customFormat="false" ht="15" hidden="false" customHeight="false" outlineLevel="0" collapsed="false">
      <c r="J2" s="4"/>
      <c r="K2" s="4"/>
      <c r="O2" s="0" t="s">
        <v>2041</v>
      </c>
      <c r="Q2" s="415" t="n">
        <f aca="false">set!B4</f>
        <v>45608</v>
      </c>
      <c r="R2" s="75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ИУК4-31М факультета ИУК МГТУ им. Н.Э. Баумана"</f>
        <v>Успеваемость студентов за 1 семестр 24/25 учебного года по группе ИУК4-31М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574" t="s">
        <v>2</v>
      </c>
      <c r="B5" s="574" t="s">
        <v>3</v>
      </c>
      <c r="C5" s="574" t="s">
        <v>4</v>
      </c>
      <c r="D5" s="560" t="s">
        <v>5</v>
      </c>
      <c r="E5" s="11" t="s">
        <v>6</v>
      </c>
      <c r="F5" s="11"/>
      <c r="G5" s="11"/>
      <c r="H5" s="11" t="s">
        <v>7</v>
      </c>
      <c r="I5" s="11"/>
      <c r="J5" s="11"/>
      <c r="K5" s="11"/>
      <c r="L5" s="11"/>
      <c r="M5" s="619" t="s">
        <v>8</v>
      </c>
      <c r="N5" s="392" t="s">
        <v>9</v>
      </c>
      <c r="O5" s="392" t="s">
        <v>10</v>
      </c>
      <c r="P5" s="14" t="s">
        <v>11</v>
      </c>
      <c r="Q5" s="600" t="s">
        <v>1575</v>
      </c>
    </row>
    <row r="6" customFormat="false" ht="15" hidden="false" customHeight="false" outlineLevel="0" collapsed="false">
      <c r="A6" s="574"/>
      <c r="B6" s="574"/>
      <c r="C6" s="574"/>
      <c r="D6" s="560"/>
      <c r="E6" s="339" t="s">
        <v>504</v>
      </c>
      <c r="F6" s="340" t="s">
        <v>2042</v>
      </c>
      <c r="G6" s="341" t="s">
        <v>1106</v>
      </c>
      <c r="H6" s="339" t="s">
        <v>2043</v>
      </c>
      <c r="I6" s="405" t="s">
        <v>2044</v>
      </c>
      <c r="J6" s="405" t="s">
        <v>2045</v>
      </c>
      <c r="K6" s="405" t="s">
        <v>2046</v>
      </c>
      <c r="L6" s="341" t="s">
        <v>1110</v>
      </c>
      <c r="M6" s="619"/>
      <c r="N6" s="392"/>
      <c r="O6" s="392"/>
      <c r="P6" s="14"/>
      <c r="Q6" s="600"/>
    </row>
    <row r="7" customFormat="false" ht="17.9" hidden="false" customHeight="false" outlineLevel="0" collapsed="false">
      <c r="A7" s="574"/>
      <c r="B7" s="574"/>
      <c r="C7" s="574"/>
      <c r="D7" s="560"/>
      <c r="E7" s="365" t="s">
        <v>509</v>
      </c>
      <c r="F7" s="366" t="s">
        <v>2047</v>
      </c>
      <c r="G7" s="367" t="s">
        <v>299</v>
      </c>
      <c r="H7" s="365" t="s">
        <v>742</v>
      </c>
      <c r="I7" s="445" t="s">
        <v>742</v>
      </c>
      <c r="J7" s="445" t="s">
        <v>2016</v>
      </c>
      <c r="K7" s="445" t="s">
        <v>1004</v>
      </c>
      <c r="L7" s="367" t="s">
        <v>2047</v>
      </c>
      <c r="M7" s="619"/>
      <c r="N7" s="392"/>
      <c r="O7" s="392"/>
      <c r="P7" s="14"/>
      <c r="Q7" s="600"/>
    </row>
    <row r="8" customFormat="false" ht="15" hidden="false" customHeight="true" outlineLevel="0" collapsed="false">
      <c r="A8" s="25" t="n">
        <v>1</v>
      </c>
      <c r="B8" s="25" t="s">
        <v>2048</v>
      </c>
      <c r="C8" s="25" t="s">
        <v>2049</v>
      </c>
      <c r="D8" s="640"/>
      <c r="E8" s="641"/>
      <c r="F8" s="642"/>
      <c r="G8" s="643"/>
      <c r="H8" s="641"/>
      <c r="I8" s="644"/>
      <c r="J8" s="644"/>
      <c r="K8" s="644"/>
      <c r="L8" s="645"/>
      <c r="M8" s="394" t="str">
        <f aca="false">IFERROR(AVERAGE(E8:L8),"")</f>
        <v/>
      </c>
      <c r="N8" s="84" t="str">
        <f aca="false">IF(E8&lt;&gt;"",IF(COUNTIF(E8:L8,"&lt;3"),"Не успевает","Успевает"),"")</f>
        <v/>
      </c>
      <c r="O8" s="241" t="str">
        <f aca="false">IF(D8&lt;&gt;"",(30*(set!B$5)-D8)/(30*(set!B$5))*100,"")</f>
        <v/>
      </c>
      <c r="P8" s="77" t="str">
        <f aca="false" t="array" ref="P8:P8">IF(E8&lt;&gt;"",IF(M8&lt;1.85,"Выговор",IF(M8=1.85,"Выговор",IF(AND(M8&gt;1.85,M8&lt;3),"Предупреждение",IF(AND(M8&gt;3,M8&lt;4.65),"Нормально",IF(AND(M8&gt;4.65,M8&lt;5.1,E8:L8&gt;=4),"Благодарность","Нормально"))))),"")</f>
        <v/>
      </c>
      <c r="Q8" s="608" t="n">
        <f aca="false">COUNTIF(E8:L8,2)+COUNTIF(E8:L8,1)+COUNTIF(E8:L8,0)</f>
        <v>0</v>
      </c>
    </row>
    <row r="9" customFormat="false" ht="15" hidden="false" customHeight="true" outlineLevel="0" collapsed="false">
      <c r="A9" s="37" t="n">
        <v>2</v>
      </c>
      <c r="B9" s="37" t="s">
        <v>2050</v>
      </c>
      <c r="C9" s="37" t="s">
        <v>2051</v>
      </c>
      <c r="D9" s="646"/>
      <c r="E9" s="647"/>
      <c r="F9" s="648"/>
      <c r="G9" s="649"/>
      <c r="H9" s="647"/>
      <c r="I9" s="650"/>
      <c r="J9" s="650"/>
      <c r="K9" s="650"/>
      <c r="L9" s="651"/>
      <c r="M9" s="585" t="str">
        <f aca="false">IFERROR(AVERAGE(E9:L9),"")</f>
        <v/>
      </c>
      <c r="N9" s="84" t="str">
        <f aca="false">IF(E9&lt;&gt;"",IF(COUNTIF(E9:L9,"&lt;3"),"Не успевает","Успевает"),"")</f>
        <v/>
      </c>
      <c r="O9" s="241" t="str">
        <f aca="false">IF(D9&lt;&gt;"",(30*(set!B$5)-D9)/(30*(set!B$5))*100,"")</f>
        <v/>
      </c>
      <c r="P9" s="85" t="str">
        <f aca="false" t="array" ref="P9:P9">IF(E9&lt;&gt;"",IF(M9&lt;1.85,"Выговор",IF(M9=1.85,"Выговор",IF(AND(M9&gt;1.85,M9&lt;3),"Предупреждение",IF(AND(M9&gt;3,M9&lt;4.65),"Нормально",IF(AND(M9&gt;4.65,M9&lt;5.1,E9:L9&gt;=4),"Благодарность","Нормально"))))),"")</f>
        <v/>
      </c>
      <c r="Q9" s="437" t="n">
        <f aca="false">COUNTIF(E9:L9,2)+COUNTIF(E9:L9,1)+COUNTIF(E9:L9,0)</f>
        <v>0</v>
      </c>
    </row>
    <row r="10" customFormat="false" ht="15" hidden="false" customHeight="true" outlineLevel="0" collapsed="false">
      <c r="A10" s="37" t="n">
        <v>3</v>
      </c>
      <c r="B10" s="37" t="s">
        <v>2052</v>
      </c>
      <c r="C10" s="37" t="s">
        <v>2053</v>
      </c>
      <c r="D10" s="646"/>
      <c r="E10" s="647"/>
      <c r="F10" s="648"/>
      <c r="G10" s="649"/>
      <c r="H10" s="647"/>
      <c r="I10" s="650"/>
      <c r="J10" s="650"/>
      <c r="K10" s="650"/>
      <c r="L10" s="651"/>
      <c r="M10" s="585" t="str">
        <f aca="false">IFERROR(AVERAGE(E10:L10),"")</f>
        <v/>
      </c>
      <c r="N10" s="84" t="str">
        <f aca="false">IF(E10&lt;&gt;"",IF(COUNTIF(E10:L10,"&lt;3"),"Не успевает","Успевает"),"")</f>
        <v/>
      </c>
      <c r="O10" s="241" t="str">
        <f aca="false">IF(D10&lt;&gt;"",(30*(set!B$5)-D10)/(30*(set!B$5))*100,"")</f>
        <v/>
      </c>
      <c r="P10" s="85" t="str">
        <f aca="false" t="array" ref="P10:P10">IF(E10&lt;&gt;"",IF(M10&lt;1.85,"Выговор",IF(M10=1.85,"Выговор",IF(AND(M10&gt;1.85,M10&lt;3),"Предупреждение",IF(AND(M10&gt;3,M10&lt;4.65),"Нормально",IF(AND(M10&gt;4.65,M10&lt;5.1,E10:L10&gt;=4),"Благодарность","Нормально"))))),"")</f>
        <v/>
      </c>
      <c r="Q10" s="437" t="n">
        <f aca="false">COUNTIF(E10:L10,2)+COUNTIF(E10:L10,1)+COUNTIF(E10:L10,0)</f>
        <v>0</v>
      </c>
    </row>
    <row r="11" customFormat="false" ht="15" hidden="false" customHeight="true" outlineLevel="0" collapsed="false">
      <c r="A11" s="37" t="n">
        <v>4</v>
      </c>
      <c r="B11" s="37" t="s">
        <v>2054</v>
      </c>
      <c r="C11" s="37" t="s">
        <v>2055</v>
      </c>
      <c r="D11" s="646"/>
      <c r="E11" s="647"/>
      <c r="F11" s="648"/>
      <c r="G11" s="649"/>
      <c r="H11" s="647"/>
      <c r="I11" s="650"/>
      <c r="J11" s="650"/>
      <c r="K11" s="650"/>
      <c r="L11" s="651"/>
      <c r="M11" s="585" t="str">
        <f aca="false">IFERROR(AVERAGE(E11:L11),"")</f>
        <v/>
      </c>
      <c r="N11" s="84" t="str">
        <f aca="false">IF(E11&lt;&gt;"",IF(COUNTIF(E11:L11,"&lt;3"),"Не успевает","Успевает"),"")</f>
        <v/>
      </c>
      <c r="O11" s="241" t="str">
        <f aca="false">IF(D11&lt;&gt;"",(30*(set!B$5)-D11)/(30*(set!B$5))*100,"")</f>
        <v/>
      </c>
      <c r="P11" s="85" t="str">
        <f aca="false" t="array" ref="P11:P11">IF(E11&lt;&gt;"",IF(M11&lt;1.85,"Выговор",IF(M11=1.85,"Выговор",IF(AND(M11&gt;1.85,M11&lt;3),"Предупреждение",IF(AND(M11&gt;3,M11&lt;4.65),"Нормально",IF(AND(M11&gt;4.65,M11&lt;5.1,E11:L11&gt;=4),"Благодарность","Нормально"))))),"")</f>
        <v/>
      </c>
      <c r="Q11" s="437" t="n">
        <f aca="false">COUNTIF(E11:L11,2)+COUNTIF(E11:L11,1)+COUNTIF(E11:L11,0)</f>
        <v>0</v>
      </c>
    </row>
    <row r="12" customFormat="false" ht="15" hidden="false" customHeight="true" outlineLevel="0" collapsed="false">
      <c r="A12" s="37" t="n">
        <v>5</v>
      </c>
      <c r="B12" s="37" t="s">
        <v>2056</v>
      </c>
      <c r="C12" s="37" t="s">
        <v>2057</v>
      </c>
      <c r="D12" s="646"/>
      <c r="E12" s="647"/>
      <c r="F12" s="648"/>
      <c r="G12" s="649"/>
      <c r="H12" s="647"/>
      <c r="I12" s="650"/>
      <c r="J12" s="650"/>
      <c r="K12" s="650"/>
      <c r="L12" s="651"/>
      <c r="M12" s="585" t="str">
        <f aca="false">IFERROR(AVERAGE(E12:L12),"")</f>
        <v/>
      </c>
      <c r="N12" s="84" t="str">
        <f aca="false">IF(E12&lt;&gt;"",IF(COUNTIF(E12:L12,"&lt;3"),"Не успевает","Успевает"),"")</f>
        <v/>
      </c>
      <c r="O12" s="241" t="str">
        <f aca="false">IF(D12&lt;&gt;"",(30*(set!B$5)-D12)/(30*(set!B$5))*100,"")</f>
        <v/>
      </c>
      <c r="P12" s="85" t="str">
        <f aca="false" t="array" ref="P12:P12">IF(E12&lt;&gt;"",IF(M12&lt;1.85,"Выговор",IF(M12=1.85,"Выговор",IF(AND(M12&gt;1.85,M12&lt;3),"Предупреждение",IF(AND(M12&gt;3,M12&lt;4.65),"Нормально",IF(AND(M12&gt;4.65,M12&lt;5.1,E12:L12&gt;=4),"Благодарность","Нормально"))))),"")</f>
        <v/>
      </c>
      <c r="Q12" s="437" t="n">
        <f aca="false">COUNTIF(E12:L12,2)+COUNTIF(E12:L12,1)+COUNTIF(E12:L12,0)</f>
        <v>0</v>
      </c>
    </row>
    <row r="13" customFormat="false" ht="15" hidden="false" customHeight="true" outlineLevel="0" collapsed="false">
      <c r="A13" s="37" t="n">
        <v>6</v>
      </c>
      <c r="B13" s="37" t="s">
        <v>2058</v>
      </c>
      <c r="C13" s="37" t="s">
        <v>2059</v>
      </c>
      <c r="D13" s="646"/>
      <c r="E13" s="647"/>
      <c r="F13" s="648"/>
      <c r="G13" s="649"/>
      <c r="H13" s="647"/>
      <c r="I13" s="650"/>
      <c r="J13" s="650"/>
      <c r="K13" s="650"/>
      <c r="L13" s="651"/>
      <c r="M13" s="585" t="str">
        <f aca="false">IFERROR(AVERAGE(E13:L13),"")</f>
        <v/>
      </c>
      <c r="N13" s="84" t="str">
        <f aca="false">IF(E13&lt;&gt;"",IF(COUNTIF(E13:L13,"&lt;3"),"Не успевает","Успевает"),"")</f>
        <v/>
      </c>
      <c r="O13" s="241" t="str">
        <f aca="false">IF(D13&lt;&gt;"",(30*(set!B$5)-D13)/(30*(set!B$5))*100,"")</f>
        <v/>
      </c>
      <c r="P13" s="85" t="str">
        <f aca="false" t="array" ref="P13:P13">IF(E13&lt;&gt;"",IF(M13&lt;1.85,"Выговор",IF(M13=1.85,"Выговор",IF(AND(M13&gt;1.85,M13&lt;3),"Предупреждение",IF(AND(M13&gt;3,M13&lt;4.65),"Нормально",IF(AND(M13&gt;4.65,M13&lt;5.1,E13:L13&gt;=4),"Благодарность","Нормально"))))),"")</f>
        <v/>
      </c>
      <c r="Q13" s="437" t="n">
        <f aca="false">COUNTIF(E13:L13,2)+COUNTIF(E13:L13,1)+COUNTIF(E13:L13,0)</f>
        <v>0</v>
      </c>
    </row>
    <row r="14" customFormat="false" ht="15" hidden="false" customHeight="true" outlineLevel="0" collapsed="false">
      <c r="A14" s="37" t="n">
        <v>7</v>
      </c>
      <c r="B14" s="37" t="s">
        <v>2060</v>
      </c>
      <c r="C14" s="37" t="s">
        <v>2061</v>
      </c>
      <c r="D14" s="646"/>
      <c r="E14" s="647"/>
      <c r="F14" s="648"/>
      <c r="G14" s="649"/>
      <c r="H14" s="647"/>
      <c r="I14" s="650"/>
      <c r="J14" s="650"/>
      <c r="K14" s="650"/>
      <c r="L14" s="651"/>
      <c r="M14" s="585" t="str">
        <f aca="false">IFERROR(AVERAGE(E14:L14),"")</f>
        <v/>
      </c>
      <c r="N14" s="84" t="str">
        <f aca="false">IF(E14&lt;&gt;"",IF(COUNTIF(E14:L14,"&lt;3"),"Не успевает","Успевает"),"")</f>
        <v/>
      </c>
      <c r="O14" s="241" t="str">
        <f aca="false">IF(D14&lt;&gt;"",(30*(set!B$5)-D14)/(30*(set!B$5))*100,"")</f>
        <v/>
      </c>
      <c r="P14" s="85" t="str">
        <f aca="false" t="array" ref="P14:P14">IF(E14&lt;&gt;"",IF(M14&lt;1.85,"Выговор",IF(M14=1.85,"Выговор",IF(AND(M14&gt;1.85,M14&lt;3),"Предупреждение",IF(AND(M14&gt;3,M14&lt;4.65),"Нормально",IF(AND(M14&gt;4.65,M14&lt;5.1,E14:L14&gt;=4),"Благодарность","Нормально"))))),"")</f>
        <v/>
      </c>
      <c r="Q14" s="437" t="n">
        <f aca="false">COUNTIF(E14:L14,2)+COUNTIF(E14:L14,1)+COUNTIF(E14:L14,0)</f>
        <v>0</v>
      </c>
    </row>
    <row r="15" customFormat="false" ht="15" hidden="false" customHeight="true" outlineLevel="0" collapsed="false">
      <c r="A15" s="37" t="n">
        <v>8</v>
      </c>
      <c r="B15" s="37" t="s">
        <v>2062</v>
      </c>
      <c r="C15" s="37" t="s">
        <v>2063</v>
      </c>
      <c r="D15" s="646"/>
      <c r="E15" s="647"/>
      <c r="F15" s="648"/>
      <c r="G15" s="649"/>
      <c r="H15" s="647"/>
      <c r="I15" s="650"/>
      <c r="J15" s="650"/>
      <c r="K15" s="650"/>
      <c r="L15" s="651"/>
      <c r="M15" s="585" t="str">
        <f aca="false">IFERROR(AVERAGE(E15:L15),"")</f>
        <v/>
      </c>
      <c r="N15" s="84" t="str">
        <f aca="false">IF(E15&lt;&gt;"",IF(COUNTIF(E15:L15,"&lt;3"),"Не успевает","Успевает"),"")</f>
        <v/>
      </c>
      <c r="O15" s="241" t="str">
        <f aca="false">IF(D15&lt;&gt;"",(30*(set!B$5)-D15)/(30*(set!B$5))*100,"")</f>
        <v/>
      </c>
      <c r="P15" s="85" t="str">
        <f aca="false" t="array" ref="P15:P15">IF(E15&lt;&gt;"",IF(M15&lt;1.85,"Выговор",IF(M15=1.85,"Выговор",IF(AND(M15&gt;1.85,M15&lt;3),"Предупреждение",IF(AND(M15&gt;3,M15&lt;4.65),"Нормально",IF(AND(M15&gt;4.65,M15&lt;5.1,E15:L15&gt;=4),"Благодарность","Нормально"))))),"")</f>
        <v/>
      </c>
      <c r="Q15" s="437" t="n">
        <f aca="false">COUNTIF(E15:L15,2)+COUNTIF(E15:L15,1)+COUNTIF(E15:L15,0)</f>
        <v>0</v>
      </c>
    </row>
    <row r="16" customFormat="false" ht="15" hidden="false" customHeight="true" outlineLevel="0" collapsed="false">
      <c r="A16" s="37" t="n">
        <v>9</v>
      </c>
      <c r="B16" s="37" t="s">
        <v>2064</v>
      </c>
      <c r="C16" s="37" t="s">
        <v>2065</v>
      </c>
      <c r="D16" s="646"/>
      <c r="E16" s="647"/>
      <c r="F16" s="648"/>
      <c r="G16" s="649"/>
      <c r="H16" s="647"/>
      <c r="I16" s="650"/>
      <c r="J16" s="650"/>
      <c r="K16" s="650"/>
      <c r="L16" s="651"/>
      <c r="M16" s="585" t="str">
        <f aca="false">IFERROR(AVERAGE(E16:L16),"")</f>
        <v/>
      </c>
      <c r="N16" s="84" t="str">
        <f aca="false">IF(E16&lt;&gt;"",IF(COUNTIF(E16:L16,"&lt;3"),"Не успевает","Успевает"),"")</f>
        <v/>
      </c>
      <c r="O16" s="241" t="str">
        <f aca="false">IF(D16&lt;&gt;"",(30*(set!B$5)-D16)/(30*(set!B$5))*100,"")</f>
        <v/>
      </c>
      <c r="P16" s="85" t="str">
        <f aca="false" t="array" ref="P16:P16">IF(E16&lt;&gt;"",IF(M16&lt;1.85,"Выговор",IF(M16=1.85,"Выговор",IF(AND(M16&gt;1.85,M16&lt;3),"Предупреждение",IF(AND(M16&gt;3,M16&lt;4.65),"Нормально",IF(AND(M16&gt;4.65,M16&lt;5.1,E16:L16&gt;=4),"Благодарность","Нормально"))))),"")</f>
        <v/>
      </c>
      <c r="Q16" s="437" t="n">
        <f aca="false">COUNTIF(E16:L16,2)+COUNTIF(E16:L16,1)+COUNTIF(E16:L16,0)</f>
        <v>0</v>
      </c>
    </row>
    <row r="17" s="45" customFormat="true" ht="15" hidden="false" customHeight="true" outlineLevel="0" collapsed="false">
      <c r="A17" s="37" t="n">
        <v>10</v>
      </c>
      <c r="B17" s="37" t="s">
        <v>2066</v>
      </c>
      <c r="C17" s="37" t="s">
        <v>2067</v>
      </c>
      <c r="D17" s="646"/>
      <c r="E17" s="647"/>
      <c r="F17" s="648"/>
      <c r="G17" s="649"/>
      <c r="H17" s="647"/>
      <c r="I17" s="650"/>
      <c r="J17" s="650"/>
      <c r="K17" s="650"/>
      <c r="L17" s="651"/>
      <c r="M17" s="585" t="str">
        <f aca="false">IFERROR(AVERAGE(E17:L17),"")</f>
        <v/>
      </c>
      <c r="N17" s="84" t="str">
        <f aca="false">IF(E17&lt;&gt;"",IF(COUNTIF(E17:L17,"&lt;3"),"Не успевает","Успевает"),"")</f>
        <v/>
      </c>
      <c r="O17" s="241" t="str">
        <f aca="false">IF(D17&lt;&gt;"",(30*(set!B$5)-D17)/(30*(set!B$5))*100,"")</f>
        <v/>
      </c>
      <c r="P17" s="85" t="str">
        <f aca="false" t="array" ref="P17:P17">IF(E17&lt;&gt;"",IF(M17&lt;1.85,"Выговор",IF(M17=1.85,"Выговор",IF(AND(M17&gt;1.85,M17&lt;3),"Предупреждение",IF(AND(M17&gt;3,M17&lt;4.65),"Нормально",IF(AND(M17&gt;4.65,M17&lt;5.1,E17:L17&gt;=4),"Благодарность","Нормально"))))),"")</f>
        <v/>
      </c>
      <c r="Q17" s="437" t="n">
        <f aca="false">COUNTIF(E17:L17,2)+COUNTIF(E17:L17,1)+COUNTIF(E17:L17,0)</f>
        <v>0</v>
      </c>
    </row>
    <row r="18" s="45" customFormat="true" ht="15" hidden="false" customHeight="true" outlineLevel="0" collapsed="false">
      <c r="A18" s="37" t="n">
        <v>11</v>
      </c>
      <c r="B18" s="37" t="s">
        <v>2068</v>
      </c>
      <c r="C18" s="37" t="s">
        <v>2069</v>
      </c>
      <c r="D18" s="646"/>
      <c r="E18" s="647"/>
      <c r="F18" s="648"/>
      <c r="G18" s="649"/>
      <c r="H18" s="647"/>
      <c r="I18" s="650"/>
      <c r="J18" s="650"/>
      <c r="K18" s="650"/>
      <c r="L18" s="651"/>
      <c r="M18" s="585" t="str">
        <f aca="false">IFERROR(AVERAGE(E18:L18),"")</f>
        <v/>
      </c>
      <c r="N18" s="84" t="str">
        <f aca="false">IF(E18&lt;&gt;"",IF(COUNTIF(E18:L18,"&lt;3"),"Не успевает","Успевает"),"")</f>
        <v/>
      </c>
      <c r="O18" s="241" t="str">
        <f aca="false">IF(D18&lt;&gt;"",(30*(set!B$5)-D18)/(30*(set!B$5))*100,"")</f>
        <v/>
      </c>
      <c r="P18" s="85" t="str">
        <f aca="false" t="array" ref="P18:P18">IF(E18&lt;&gt;"",IF(M18&lt;1.85,"Выговор",IF(M18=1.85,"Выговор",IF(AND(M18&gt;1.85,M18&lt;3),"Предупреждение",IF(AND(M18&gt;3,M18&lt;4.65),"Нормально",IF(AND(M18&gt;4.65,M18&lt;5.1,E18:L18&gt;=4),"Благодарность","Нормально"))))),"")</f>
        <v/>
      </c>
      <c r="Q18" s="437" t="n">
        <f aca="false">COUNTIF(E18:L18,2)+COUNTIF(E18:L18,1)+COUNTIF(E18:L18,0)</f>
        <v>0</v>
      </c>
    </row>
    <row r="19" customFormat="false" ht="15" hidden="false" customHeight="true" outlineLevel="0" collapsed="false">
      <c r="A19" s="37" t="n">
        <v>12</v>
      </c>
      <c r="B19" s="37" t="s">
        <v>2070</v>
      </c>
      <c r="C19" s="37" t="s">
        <v>2071</v>
      </c>
      <c r="D19" s="646"/>
      <c r="E19" s="647"/>
      <c r="F19" s="648"/>
      <c r="G19" s="649"/>
      <c r="H19" s="647"/>
      <c r="I19" s="650"/>
      <c r="J19" s="650"/>
      <c r="K19" s="650"/>
      <c r="L19" s="651"/>
      <c r="M19" s="585" t="str">
        <f aca="false">IFERROR(AVERAGE(E19:L19),"")</f>
        <v/>
      </c>
      <c r="N19" s="84" t="str">
        <f aca="false">IF(E19&lt;&gt;"",IF(COUNTIF(E19:L19,"&lt;3"),"Не успевает","Успевает"),"")</f>
        <v/>
      </c>
      <c r="O19" s="241" t="str">
        <f aca="false">IF(D19&lt;&gt;"",(30*(set!B$5)-D19)/(30*(set!B$5))*100,"")</f>
        <v/>
      </c>
      <c r="P19" s="85" t="str">
        <f aca="false" t="array" ref="P19:P19">IF(E19&lt;&gt;"",IF(M19&lt;1.85,"Выговор",IF(M19=1.85,"Выговор",IF(AND(M19&gt;1.85,M19&lt;3),"Предупреждение",IF(AND(M19&gt;3,M19&lt;4.65),"Нормально",IF(AND(M19&gt;4.65,M19&lt;5.1,E19:L19&gt;=4),"Благодарность","Нормально"))))),"")</f>
        <v/>
      </c>
      <c r="Q19" s="437" t="n">
        <f aca="false">COUNTIF(E19:L19,2)+COUNTIF(E19:L19,1)+COUNTIF(E19:L19,0)</f>
        <v>0</v>
      </c>
    </row>
    <row r="20" customFormat="false" ht="15" hidden="false" customHeight="true" outlineLevel="0" collapsed="false">
      <c r="A20" s="0" t="s">
        <v>77</v>
      </c>
      <c r="D20" s="46"/>
      <c r="E20" s="229" t="e">
        <f aca="false">AVERAGE(E8:E19)</f>
        <v>#DIV/0!</v>
      </c>
      <c r="F20" s="229" t="e">
        <f aca="false">AVERAGE(F8:F19)</f>
        <v>#DIV/0!</v>
      </c>
      <c r="G20" s="229" t="e">
        <f aca="false">AVERAGE(G8:G19)</f>
        <v>#DIV/0!</v>
      </c>
      <c r="H20" s="229" t="e">
        <f aca="false">AVERAGE(H8:H19)</f>
        <v>#DIV/0!</v>
      </c>
      <c r="I20" s="229" t="e">
        <f aca="false">AVERAGE(I8:I19)</f>
        <v>#DIV/0!</v>
      </c>
      <c r="J20" s="229" t="e">
        <f aca="false">AVERAGE(J8:J19)</f>
        <v>#DIV/0!</v>
      </c>
      <c r="K20" s="229" t="e">
        <f aca="false">AVERAGE(K8:K19)</f>
        <v>#DIV/0!</v>
      </c>
      <c r="L20" s="229" t="e">
        <f aca="false">AVERAGE(L8:L19)</f>
        <v>#DIV/0!</v>
      </c>
      <c r="M20" s="48"/>
    </row>
    <row r="21" customFormat="false" ht="15" hidden="false" customHeight="true" outlineLevel="0" collapsed="false">
      <c r="A21" s="0" t="s">
        <v>78</v>
      </c>
      <c r="D21" s="46"/>
      <c r="E21" s="229" t="e">
        <f aca="false">(COUNTIF(E8:E19,5)+COUNTIF(E8:E19,4)+COUNTIF(E8:E19,3))/$R$26*100</f>
        <v>#DIV/0!</v>
      </c>
      <c r="F21" s="229" t="e">
        <f aca="false">(COUNTIF(F8:F19,5)+COUNTIF(F8:F19,4)+COUNTIF(F8:F19,3))/$R$26*100</f>
        <v>#DIV/0!</v>
      </c>
      <c r="G21" s="229" t="e">
        <f aca="false">(COUNTIF(G8:G19,5)+COUNTIF(G8:G19,4)+COUNTIF(G8:G19,3))/$R$26*100</f>
        <v>#DIV/0!</v>
      </c>
      <c r="H21" s="229" t="e">
        <f aca="false">(COUNTIF(H8:H19,5)+COUNTIF(H8:H19,4)+COUNTIF(H8:H19,3))/$R$26*100</f>
        <v>#DIV/0!</v>
      </c>
      <c r="I21" s="229" t="e">
        <f aca="false">(COUNTIF(I8:I19,5)+COUNTIF(I8:I19,4)+COUNTIF(I8:I19,3))/$R$26*100</f>
        <v>#DIV/0!</v>
      </c>
      <c r="J21" s="229" t="e">
        <f aca="false">(COUNTIF(J8:J19,5)+COUNTIF(J8:J19,4)+COUNTIF(J8:J19,3))/$R$26*100</f>
        <v>#DIV/0!</v>
      </c>
      <c r="K21" s="229" t="e">
        <f aca="false">(COUNTIF(K8:K19,5)+COUNTIF(K8:K19,4)+COUNTIF(K8:K19,3))/$R$26*100</f>
        <v>#DIV/0!</v>
      </c>
      <c r="L21" s="229" t="e">
        <f aca="false">(COUNTIF(L8:L19,5)+COUNTIF(L8:L19,4)+COUNTIF(L8:L19,3))/$R$26*100</f>
        <v>#DIV/0!</v>
      </c>
    </row>
    <row r="22" customFormat="false" ht="15" hidden="false" customHeight="true" outlineLevel="0" collapsed="false">
      <c r="D22" s="46"/>
      <c r="E22" s="229"/>
      <c r="F22" s="229"/>
      <c r="G22" s="229"/>
      <c r="H22" s="229"/>
      <c r="I22" s="229"/>
      <c r="J22" s="229"/>
      <c r="K22" s="229"/>
      <c r="L22" s="229"/>
    </row>
    <row r="23" customFormat="false" ht="15" hidden="false" customHeight="true" outlineLevel="0" collapsed="false">
      <c r="E23" s="48"/>
      <c r="F23" s="48"/>
      <c r="G23" s="48"/>
      <c r="H23" s="48"/>
      <c r="I23" s="48"/>
      <c r="J23" s="48"/>
      <c r="K23" s="48"/>
      <c r="L23" s="48"/>
      <c r="M23" s="48"/>
    </row>
    <row r="24" customFormat="false" ht="15" hidden="false" customHeight="true" outlineLevel="0" collapsed="false">
      <c r="B24" s="50"/>
      <c r="C24" s="50" t="s">
        <v>8</v>
      </c>
      <c r="D24" s="51" t="str">
        <f aca="false">IFERROR(AVERAGE(M8:M19),"")</f>
        <v/>
      </c>
      <c r="E24" s="52" t="s">
        <v>9</v>
      </c>
      <c r="F24" s="52"/>
      <c r="G24" s="53" t="str">
        <f aca="false">IFERROR(COUNTIF(N8:N19,"Успевает")/R26*100,"")</f>
        <v/>
      </c>
      <c r="H24" s="53"/>
      <c r="I24" s="53"/>
      <c r="J24" s="54" t="s">
        <v>79</v>
      </c>
      <c r="K24" s="54"/>
      <c r="L24" s="54"/>
      <c r="M24" s="49" t="str">
        <f aca="false">IFERROR(AVERAGE(O8:O19),"")</f>
        <v/>
      </c>
    </row>
    <row r="25" customFormat="false" ht="15" hidden="false" customHeight="true" outlineLevel="0" collapsed="false">
      <c r="B25" s="50"/>
      <c r="C25" s="50"/>
      <c r="D25" s="50"/>
      <c r="E25" s="56"/>
      <c r="F25" s="56"/>
      <c r="G25" s="56"/>
      <c r="H25" s="56"/>
      <c r="I25" s="56"/>
      <c r="J25" s="56"/>
      <c r="K25" s="56"/>
      <c r="L25" s="56"/>
    </row>
    <row r="26" customFormat="false" ht="15" hidden="false" customHeight="true" outlineLevel="0" collapsed="false">
      <c r="A26" s="66" t="s">
        <v>81</v>
      </c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52" t="s">
        <v>82</v>
      </c>
      <c r="M26" s="652"/>
      <c r="N26" s="652"/>
      <c r="P26" s="57" t="s">
        <v>80</v>
      </c>
      <c r="Q26" s="57"/>
      <c r="R26" s="58" t="n">
        <f aca="false">SUM(R27,R28)</f>
        <v>0</v>
      </c>
    </row>
    <row r="27" customFormat="false" ht="15" hidden="false" customHeight="true" outlineLevel="0" collapsed="false">
      <c r="A27" s="65" t="str">
        <f aca="false">$E$6</f>
        <v> Основы системного анализа</v>
      </c>
      <c r="B27" s="65"/>
      <c r="C27" s="65"/>
      <c r="D27" s="65"/>
      <c r="E27" s="65"/>
      <c r="F27" s="65"/>
      <c r="G27" s="65"/>
      <c r="H27" s="65"/>
      <c r="I27" s="65"/>
      <c r="J27" s="65"/>
      <c r="K27" s="65"/>
      <c r="L27" s="66"/>
      <c r="M27" s="66"/>
      <c r="N27" s="66"/>
      <c r="P27" s="57" t="s">
        <v>83</v>
      </c>
      <c r="Q27" s="57"/>
      <c r="R27" s="58" t="n">
        <f aca="false">COUNTIF(N8:N19,"Успевает")</f>
        <v>0</v>
      </c>
    </row>
    <row r="28" customFormat="false" ht="15" hidden="false" customHeight="true" outlineLevel="0" collapsed="false">
      <c r="A28" s="65" t="str">
        <f aca="false">$F$6</f>
        <v> Программные системы распознавания и обработки информации</v>
      </c>
      <c r="B28" s="65"/>
      <c r="C28" s="65"/>
      <c r="D28" s="65"/>
      <c r="E28" s="65"/>
      <c r="F28" s="65"/>
      <c r="G28" s="65"/>
      <c r="H28" s="65"/>
      <c r="I28" s="65"/>
      <c r="J28" s="65"/>
      <c r="K28" s="65"/>
      <c r="L28" s="66"/>
      <c r="M28" s="66"/>
      <c r="N28" s="66"/>
      <c r="P28" s="98" t="s">
        <v>84</v>
      </c>
      <c r="Q28" s="98"/>
      <c r="R28" s="58" t="n">
        <f aca="false">COUNTIF(N8:N19,"Не успевает")</f>
        <v>0</v>
      </c>
    </row>
    <row r="29" customFormat="false" ht="15" hidden="false" customHeight="true" outlineLevel="0" collapsed="false">
      <c r="A29" s="65" t="str">
        <f aca="false">$G$6</f>
        <v> Эргономический анализ человеко-машинных интерфейсов</v>
      </c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6"/>
      <c r="M29" s="66"/>
      <c r="N29" s="66"/>
      <c r="P29" s="98" t="s">
        <v>85</v>
      </c>
      <c r="Q29" s="98"/>
      <c r="R29" s="58" t="n">
        <f aca="false">COUNTIF(P8:P19,"Благодарность")</f>
        <v>0</v>
      </c>
    </row>
    <row r="30" customFormat="false" ht="15" hidden="false" customHeight="true" outlineLevel="0" collapsed="false">
      <c r="A30" s="65" t="str">
        <f aca="false">$H$6</f>
        <v> Интеллектуальные информационные системы анализа данных (к.п.)</v>
      </c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6"/>
      <c r="M30" s="66"/>
      <c r="N30" s="66"/>
      <c r="P30" s="98" t="s">
        <v>86</v>
      </c>
      <c r="Q30" s="98"/>
      <c r="R30" s="58" t="n">
        <f aca="false">COUNTIF(P8:P19,"Нормально")</f>
        <v>0</v>
      </c>
    </row>
    <row r="31" s="45" customFormat="true" ht="15" hidden="false" customHeight="true" outlineLevel="0" collapsed="false">
      <c r="A31" s="65" t="str">
        <f aca="false">$I$6</f>
        <v> Параллельные процессы в информационных
системах</v>
      </c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6"/>
      <c r="M31" s="66"/>
      <c r="N31" s="66"/>
      <c r="P31" s="98" t="s">
        <v>87</v>
      </c>
      <c r="Q31" s="98"/>
      <c r="R31" s="58" t="n">
        <f aca="false">COUNTIF(P8:P19,"Предупреждение")</f>
        <v>0</v>
      </c>
    </row>
    <row r="32" s="45" customFormat="true" ht="15" hidden="false" customHeight="true" outlineLevel="0" collapsed="false">
      <c r="A32" s="65" t="str">
        <f aca="false">$J$6</f>
        <v>Педагогическая практика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6"/>
      <c r="M32" s="66"/>
      <c r="N32" s="66"/>
      <c r="P32" s="98" t="s">
        <v>88</v>
      </c>
      <c r="Q32" s="98"/>
      <c r="R32" s="58" t="n">
        <f aca="false">COUNTIF(P8:P19,"Выговор")</f>
        <v>0</v>
      </c>
    </row>
    <row r="33" s="45" customFormat="true" ht="15" hidden="false" customHeight="true" outlineLevel="0" collapsed="false">
      <c r="A33" s="65" t="str">
        <f aca="false">$K$6</f>
        <v> Перспективные технологии разработки программных средств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6"/>
      <c r="M33" s="66"/>
      <c r="N33" s="66"/>
      <c r="P33" s="185" t="s">
        <v>1575</v>
      </c>
      <c r="Q33" s="653"/>
      <c r="R33" s="427" t="n">
        <f aca="false">SUM(Q8:Q19)</f>
        <v>0</v>
      </c>
    </row>
    <row r="34" customFormat="false" ht="15" hidden="false" customHeight="true" outlineLevel="0" collapsed="false">
      <c r="A34" s="65" t="str">
        <f aca="false">$L$6</f>
        <v>Проектно-технологическая практика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6"/>
      <c r="M34" s="66"/>
      <c r="N34" s="66"/>
    </row>
    <row r="35" customFormat="false" ht="15" hidden="false" customHeight="true" outlineLevel="0" collapsed="false">
      <c r="A35" s="654"/>
      <c r="B35" s="654"/>
      <c r="C35" s="654"/>
      <c r="D35" s="654"/>
      <c r="E35" s="654"/>
      <c r="F35" s="654"/>
      <c r="G35" s="654"/>
      <c r="H35" s="654"/>
      <c r="I35" s="654"/>
      <c r="J35" s="654"/>
      <c r="K35" s="654"/>
      <c r="L35" s="654"/>
      <c r="M35" s="654"/>
      <c r="N35" s="654"/>
    </row>
    <row r="36" customFormat="false" ht="15" hidden="false" customHeight="true" outlineLevel="0" collapsed="false">
      <c r="A36" s="139"/>
      <c r="B36" s="73" t="s">
        <v>89</v>
      </c>
      <c r="C36" s="467" t="s">
        <v>2072</v>
      </c>
      <c r="D36" s="467"/>
      <c r="E36" s="67"/>
      <c r="F36" s="52" t="s">
        <v>369</v>
      </c>
      <c r="G36" s="300" t="s">
        <v>2040</v>
      </c>
      <c r="H36" s="300"/>
      <c r="I36" s="300"/>
      <c r="J36" s="52"/>
      <c r="K36" s="52"/>
      <c r="L36" s="52"/>
      <c r="M36" s="139"/>
      <c r="N36" s="139"/>
    </row>
    <row r="37" customFormat="false" ht="15" hidden="false" customHeight="true" outlineLevel="0" collapsed="false">
      <c r="A37" s="139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139"/>
      <c r="N37" s="139"/>
    </row>
    <row r="38" customFormat="false" ht="15" hidden="false" customHeight="true" outlineLevel="0" collapsed="false">
      <c r="A38" s="139"/>
      <c r="B38" s="50" t="s">
        <v>93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139"/>
      <c r="N38" s="139"/>
    </row>
    <row r="39" customFormat="false" ht="15" hidden="false" customHeight="true" outlineLevel="0" collapsed="false">
      <c r="B39" s="50" t="s">
        <v>94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48"/>
    </row>
    <row r="40" customFormat="false" ht="15" hidden="false" customHeight="true" outlineLevel="0" collapsed="false">
      <c r="B40" s="50" t="s">
        <v>95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64"/>
      <c r="N40" s="193"/>
      <c r="O40" s="193"/>
    </row>
    <row r="41" customFormat="false" ht="15" hidden="false" customHeight="true" outlineLevel="0" collapsed="false">
      <c r="B41" s="50" t="s">
        <v>96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64"/>
      <c r="N41" s="64"/>
      <c r="O41" s="64"/>
    </row>
    <row r="42" customFormat="false" ht="15" hidden="false" customHeight="true" outlineLevel="0" collapsed="false">
      <c r="B42" s="50" t="s">
        <v>97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64"/>
    </row>
    <row r="43" customFormat="false" ht="15" hidden="false" customHeight="true" outlineLevel="0" collapsed="false">
      <c r="B43" s="50" t="s">
        <v>98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64"/>
    </row>
    <row r="44" customFormat="false" ht="15" hidden="false" customHeight="true" outlineLevel="0" collapsed="false">
      <c r="B44" s="50" t="s">
        <v>99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64"/>
    </row>
    <row r="45" customFormat="false" ht="15" hidden="false" customHeight="true" outlineLevel="0" collapsed="false">
      <c r="L45" s="50"/>
      <c r="M45" s="67"/>
    </row>
    <row r="46" customFormat="false" ht="15.75" hidden="false" customHeight="false" outlineLevel="0" collapsed="false">
      <c r="L46" s="50"/>
      <c r="M46" s="48"/>
    </row>
    <row r="47" customFormat="false" ht="15.75" hidden="false" customHeight="false" outlineLevel="0" collapsed="false">
      <c r="L47" s="50"/>
    </row>
    <row r="48" customFormat="false" ht="15.75" hidden="false" customHeight="false" outlineLevel="0" collapsed="false">
      <c r="L48" s="50"/>
    </row>
    <row r="49" customFormat="false" ht="15.75" hidden="false" customHeight="false" outlineLevel="0" collapsed="false">
      <c r="L49" s="50"/>
    </row>
    <row r="50" customFormat="false" ht="15.75" hidden="false" customHeight="false" outlineLevel="0" collapsed="false">
      <c r="L50" s="50"/>
    </row>
  </sheetData>
  <mergeCells count="39">
    <mergeCell ref="D1:J1"/>
    <mergeCell ref="A5:A7"/>
    <mergeCell ref="B5:B7"/>
    <mergeCell ref="C5:C7"/>
    <mergeCell ref="D5:D7"/>
    <mergeCell ref="E5:G5"/>
    <mergeCell ref="H5:L5"/>
    <mergeCell ref="M5:M7"/>
    <mergeCell ref="N5:N7"/>
    <mergeCell ref="O5:O7"/>
    <mergeCell ref="P5:P7"/>
    <mergeCell ref="Q5:Q7"/>
    <mergeCell ref="J24:L24"/>
    <mergeCell ref="A26:K26"/>
    <mergeCell ref="L26:N26"/>
    <mergeCell ref="P26:Q26"/>
    <mergeCell ref="A27:K27"/>
    <mergeCell ref="L27:N27"/>
    <mergeCell ref="P27:Q27"/>
    <mergeCell ref="A28:K28"/>
    <mergeCell ref="L28:N28"/>
    <mergeCell ref="P28:Q28"/>
    <mergeCell ref="A29:K29"/>
    <mergeCell ref="L29:N29"/>
    <mergeCell ref="P29:Q29"/>
    <mergeCell ref="A30:K30"/>
    <mergeCell ref="L30:N30"/>
    <mergeCell ref="P30:Q30"/>
    <mergeCell ref="A31:K31"/>
    <mergeCell ref="L31:N31"/>
    <mergeCell ref="P31:Q31"/>
    <mergeCell ref="A32:K32"/>
    <mergeCell ref="L32:N32"/>
    <mergeCell ref="P32:Q32"/>
    <mergeCell ref="A33:K33"/>
    <mergeCell ref="L33:N33"/>
    <mergeCell ref="A34:K34"/>
    <mergeCell ref="L34:N34"/>
    <mergeCell ref="C36:D36"/>
  </mergeCells>
  <conditionalFormatting sqref="I17:I1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8:I16 I1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7:K1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8:K16 K1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7:H1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H16 H1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7:G18 J17:J18 L17:L1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9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0:L22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G16 E19:G19 J19 J8:J16 L8:L16 L19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63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14"/>
    <col collapsed="false" customWidth="true" hidden="false" outlineLevel="0" max="3" min="3" style="0" width="20.29"/>
    <col collapsed="false" customWidth="true" hidden="false" outlineLevel="0" max="16" min="16" style="0" width="12.29"/>
    <col collapsed="false" customWidth="true" hidden="false" outlineLevel="0" max="17" min="17" style="0" width="16.43"/>
    <col collapsed="false" customWidth="true" hidden="false" outlineLevel="0" max="18" min="18" style="0" width="6.57"/>
    <col collapsed="false" customWidth="true" hidden="false" outlineLevel="0" max="19" min="19" style="0" width="5.57"/>
    <col collapsed="false" customWidth="true" hidden="false" outlineLevel="0" max="20" min="20" style="0" width="4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5"/>
      <c r="P2" s="75" t="n">
        <f aca="false">set!B4</f>
        <v>45608</v>
      </c>
      <c r="Q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ИУК5-11Б факультета ИУК МГТУ им. Н.Э. Баумана"</f>
        <v>Успеваемость студентов за 1 семестр 24/25 учебного года по группе ИУК5-11Б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20" t="s">
        <v>1575</v>
      </c>
    </row>
    <row r="6" customFormat="false" ht="1.45" hidden="false" customHeight="false" outlineLevel="0" collapsed="false">
      <c r="A6" s="8"/>
      <c r="B6" s="8"/>
      <c r="C6" s="8"/>
      <c r="D6" s="301"/>
      <c r="E6" s="339" t="s">
        <v>542</v>
      </c>
      <c r="F6" s="340" t="s">
        <v>543</v>
      </c>
      <c r="G6" s="340" t="s">
        <v>544</v>
      </c>
      <c r="H6" s="602" t="s">
        <v>2073</v>
      </c>
      <c r="I6" s="340" t="s">
        <v>18</v>
      </c>
      <c r="J6" s="340" t="s">
        <v>144</v>
      </c>
      <c r="K6" s="340" t="s">
        <v>1455</v>
      </c>
      <c r="L6" s="340" t="s">
        <v>546</v>
      </c>
      <c r="M6" s="342" t="s">
        <v>147</v>
      </c>
      <c r="N6" s="391"/>
      <c r="O6" s="392"/>
      <c r="P6" s="392"/>
      <c r="Q6" s="14"/>
      <c r="R6" s="620"/>
    </row>
    <row r="7" customFormat="false" ht="17.9" hidden="false" customHeight="false" outlineLevel="0" collapsed="false">
      <c r="A7" s="8"/>
      <c r="B7" s="8"/>
      <c r="C7" s="8"/>
      <c r="D7" s="301"/>
      <c r="E7" s="343" t="s">
        <v>22</v>
      </c>
      <c r="F7" s="344" t="s">
        <v>25</v>
      </c>
      <c r="G7" s="344" t="s">
        <v>24</v>
      </c>
      <c r="H7" s="496" t="s">
        <v>547</v>
      </c>
      <c r="I7" s="407" t="s">
        <v>27</v>
      </c>
      <c r="J7" s="344" t="s">
        <v>149</v>
      </c>
      <c r="K7" s="407" t="s">
        <v>2074</v>
      </c>
      <c r="L7" s="344" t="s">
        <v>549</v>
      </c>
      <c r="M7" s="346" t="s">
        <v>30</v>
      </c>
      <c r="N7" s="391"/>
      <c r="O7" s="392"/>
      <c r="P7" s="392"/>
      <c r="Q7" s="14"/>
      <c r="R7" s="620"/>
    </row>
    <row r="8" customFormat="false" ht="15" hidden="false" customHeight="true" outlineLevel="0" collapsed="false">
      <c r="A8" s="25" t="n">
        <v>1</v>
      </c>
      <c r="B8" s="25" t="s">
        <v>2075</v>
      </c>
      <c r="C8" s="25" t="s">
        <v>2076</v>
      </c>
      <c r="D8" s="202"/>
      <c r="E8" s="655"/>
      <c r="F8" s="656"/>
      <c r="G8" s="656"/>
      <c r="H8" s="657"/>
      <c r="I8" s="655"/>
      <c r="J8" s="656"/>
      <c r="K8" s="656"/>
      <c r="L8" s="656"/>
      <c r="M8" s="658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2077</v>
      </c>
      <c r="C9" s="37" t="s">
        <v>2078</v>
      </c>
      <c r="D9" s="202"/>
      <c r="E9" s="659"/>
      <c r="F9" s="660"/>
      <c r="G9" s="660"/>
      <c r="H9" s="661"/>
      <c r="I9" s="659"/>
      <c r="J9" s="660"/>
      <c r="K9" s="660"/>
      <c r="L9" s="660"/>
      <c r="M9" s="662"/>
      <c r="N9" s="394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7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2079</v>
      </c>
      <c r="C10" s="37" t="s">
        <v>2080</v>
      </c>
      <c r="D10" s="202"/>
      <c r="E10" s="663"/>
      <c r="F10" s="664"/>
      <c r="G10" s="664"/>
      <c r="H10" s="665"/>
      <c r="I10" s="663"/>
      <c r="J10" s="664"/>
      <c r="K10" s="664"/>
      <c r="L10" s="664"/>
      <c r="M10" s="666"/>
      <c r="N10" s="394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7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2081</v>
      </c>
      <c r="C11" s="37" t="s">
        <v>2082</v>
      </c>
      <c r="D11" s="202"/>
      <c r="E11" s="663"/>
      <c r="F11" s="664"/>
      <c r="G11" s="664"/>
      <c r="H11" s="665"/>
      <c r="I11" s="663"/>
      <c r="J11" s="664"/>
      <c r="K11" s="664"/>
      <c r="L11" s="664"/>
      <c r="M11" s="666"/>
      <c r="N11" s="394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7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2083</v>
      </c>
      <c r="C12" s="37" t="s">
        <v>2084</v>
      </c>
      <c r="D12" s="202"/>
      <c r="E12" s="663"/>
      <c r="F12" s="664"/>
      <c r="G12" s="664"/>
      <c r="H12" s="665"/>
      <c r="I12" s="663"/>
      <c r="J12" s="664"/>
      <c r="K12" s="664"/>
      <c r="L12" s="664"/>
      <c r="M12" s="666"/>
      <c r="N12" s="394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7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2085</v>
      </c>
      <c r="C13" s="37" t="s">
        <v>2086</v>
      </c>
      <c r="D13" s="90"/>
      <c r="E13" s="667"/>
      <c r="F13" s="664"/>
      <c r="G13" s="664"/>
      <c r="H13" s="665"/>
      <c r="I13" s="663"/>
      <c r="J13" s="664"/>
      <c r="K13" s="664"/>
      <c r="L13" s="664"/>
      <c r="M13" s="666"/>
      <c r="N13" s="394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7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2087</v>
      </c>
      <c r="C14" s="37" t="s">
        <v>2088</v>
      </c>
      <c r="D14" s="179"/>
      <c r="E14" s="667"/>
      <c r="F14" s="664"/>
      <c r="G14" s="664"/>
      <c r="H14" s="665"/>
      <c r="I14" s="663"/>
      <c r="J14" s="664"/>
      <c r="K14" s="664"/>
      <c r="L14" s="664"/>
      <c r="M14" s="666"/>
      <c r="N14" s="394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7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36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2089</v>
      </c>
      <c r="C15" s="37" t="s">
        <v>2090</v>
      </c>
      <c r="D15" s="179"/>
      <c r="E15" s="668"/>
      <c r="F15" s="669"/>
      <c r="G15" s="669"/>
      <c r="H15" s="670"/>
      <c r="I15" s="671"/>
      <c r="J15" s="669"/>
      <c r="K15" s="669"/>
      <c r="L15" s="669"/>
      <c r="M15" s="672"/>
      <c r="N15" s="394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7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2091</v>
      </c>
      <c r="C16" s="37" t="s">
        <v>2092</v>
      </c>
      <c r="D16" s="90"/>
      <c r="E16" s="668"/>
      <c r="F16" s="669"/>
      <c r="G16" s="669"/>
      <c r="H16" s="670"/>
      <c r="I16" s="671"/>
      <c r="J16" s="669"/>
      <c r="K16" s="669"/>
      <c r="L16" s="669"/>
      <c r="M16" s="672"/>
      <c r="N16" s="394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7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2093</v>
      </c>
      <c r="C17" s="37" t="s">
        <v>2094</v>
      </c>
      <c r="D17" s="90"/>
      <c r="E17" s="668"/>
      <c r="F17" s="669"/>
      <c r="G17" s="669"/>
      <c r="H17" s="670"/>
      <c r="I17" s="671"/>
      <c r="J17" s="669"/>
      <c r="K17" s="669"/>
      <c r="L17" s="669"/>
      <c r="M17" s="672"/>
      <c r="N17" s="394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7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2095</v>
      </c>
      <c r="C18" s="37" t="s">
        <v>2096</v>
      </c>
      <c r="D18" s="179"/>
      <c r="E18" s="668"/>
      <c r="F18" s="669"/>
      <c r="G18" s="669"/>
      <c r="H18" s="670"/>
      <c r="I18" s="671"/>
      <c r="J18" s="669"/>
      <c r="K18" s="669"/>
      <c r="L18" s="669"/>
      <c r="M18" s="672"/>
      <c r="N18" s="394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7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2097</v>
      </c>
      <c r="C19" s="37" t="s">
        <v>2098</v>
      </c>
      <c r="D19" s="202"/>
      <c r="E19" s="671"/>
      <c r="F19" s="669"/>
      <c r="G19" s="669"/>
      <c r="H19" s="670"/>
      <c r="I19" s="671"/>
      <c r="J19" s="669"/>
      <c r="K19" s="669"/>
      <c r="L19" s="669"/>
      <c r="M19" s="672"/>
      <c r="N19" s="394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7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2099</v>
      </c>
      <c r="C20" s="37" t="s">
        <v>2100</v>
      </c>
      <c r="D20" s="202"/>
      <c r="E20" s="671"/>
      <c r="F20" s="669"/>
      <c r="G20" s="669"/>
      <c r="H20" s="670"/>
      <c r="I20" s="671"/>
      <c r="J20" s="669"/>
      <c r="K20" s="669"/>
      <c r="L20" s="669"/>
      <c r="M20" s="672"/>
      <c r="N20" s="394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7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2101</v>
      </c>
      <c r="C21" s="37" t="s">
        <v>2102</v>
      </c>
      <c r="D21" s="202"/>
      <c r="E21" s="671"/>
      <c r="F21" s="669"/>
      <c r="G21" s="669"/>
      <c r="H21" s="670"/>
      <c r="I21" s="671"/>
      <c r="J21" s="669"/>
      <c r="K21" s="669"/>
      <c r="L21" s="669"/>
      <c r="M21" s="672"/>
      <c r="N21" s="394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7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2103</v>
      </c>
      <c r="C22" s="37" t="s">
        <v>2104</v>
      </c>
      <c r="D22" s="202"/>
      <c r="E22" s="671"/>
      <c r="F22" s="669"/>
      <c r="G22" s="669"/>
      <c r="H22" s="670"/>
      <c r="I22" s="671"/>
      <c r="J22" s="669"/>
      <c r="K22" s="669"/>
      <c r="L22" s="669"/>
      <c r="M22" s="672"/>
      <c r="N22" s="394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7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2105</v>
      </c>
      <c r="C23" s="37" t="s">
        <v>2106</v>
      </c>
      <c r="D23" s="202"/>
      <c r="E23" s="671"/>
      <c r="F23" s="669"/>
      <c r="G23" s="669"/>
      <c r="H23" s="670"/>
      <c r="I23" s="671"/>
      <c r="J23" s="669"/>
      <c r="K23" s="669"/>
      <c r="L23" s="669"/>
      <c r="M23" s="672"/>
      <c r="N23" s="394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7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2107</v>
      </c>
      <c r="C24" s="37" t="s">
        <v>2108</v>
      </c>
      <c r="D24" s="202"/>
      <c r="E24" s="671"/>
      <c r="F24" s="669"/>
      <c r="G24" s="669"/>
      <c r="H24" s="670"/>
      <c r="I24" s="671"/>
      <c r="J24" s="669"/>
      <c r="K24" s="669"/>
      <c r="L24" s="669"/>
      <c r="M24" s="672"/>
      <c r="N24" s="394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77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2109</v>
      </c>
      <c r="C25" s="37" t="s">
        <v>2110</v>
      </c>
      <c r="D25" s="202"/>
      <c r="E25" s="671"/>
      <c r="F25" s="669"/>
      <c r="G25" s="669"/>
      <c r="H25" s="670"/>
      <c r="I25" s="671"/>
      <c r="J25" s="669"/>
      <c r="K25" s="669"/>
      <c r="L25" s="669"/>
      <c r="M25" s="672"/>
      <c r="N25" s="394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77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36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2111</v>
      </c>
      <c r="C26" s="37" t="s">
        <v>2112</v>
      </c>
      <c r="D26" s="202"/>
      <c r="E26" s="671"/>
      <c r="F26" s="669"/>
      <c r="G26" s="669"/>
      <c r="H26" s="670"/>
      <c r="I26" s="671"/>
      <c r="J26" s="669"/>
      <c r="K26" s="669"/>
      <c r="L26" s="669"/>
      <c r="M26" s="672"/>
      <c r="N26" s="394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77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36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20</v>
      </c>
      <c r="B27" s="37" t="s">
        <v>2113</v>
      </c>
      <c r="C27" s="37" t="s">
        <v>2114</v>
      </c>
      <c r="D27" s="202"/>
      <c r="E27" s="671"/>
      <c r="F27" s="669"/>
      <c r="G27" s="669"/>
      <c r="H27" s="670"/>
      <c r="I27" s="671"/>
      <c r="J27" s="669"/>
      <c r="K27" s="669"/>
      <c r="L27" s="669"/>
      <c r="M27" s="672"/>
      <c r="N27" s="394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77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36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2115</v>
      </c>
      <c r="C28" s="37" t="s">
        <v>2116</v>
      </c>
      <c r="D28" s="202"/>
      <c r="E28" s="663"/>
      <c r="F28" s="664"/>
      <c r="G28" s="664"/>
      <c r="H28" s="665"/>
      <c r="I28" s="663"/>
      <c r="J28" s="664"/>
      <c r="K28" s="664"/>
      <c r="L28" s="664"/>
      <c r="M28" s="666"/>
      <c r="N28" s="394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77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36" t="n">
        <f aca="false">COUNTIF(E28:M28,2)+COUNTIF(E28:M28,1)+COUNTIF(E28:M28,0)</f>
        <v>0</v>
      </c>
    </row>
    <row r="29" customFormat="false" ht="15" hidden="false" customHeight="true" outlineLevel="0" collapsed="false">
      <c r="A29" s="37" t="n">
        <v>22</v>
      </c>
      <c r="B29" s="37" t="s">
        <v>2117</v>
      </c>
      <c r="C29" s="37" t="s">
        <v>2118</v>
      </c>
      <c r="D29" s="202"/>
      <c r="E29" s="663"/>
      <c r="F29" s="664"/>
      <c r="G29" s="664"/>
      <c r="H29" s="665"/>
      <c r="I29" s="663"/>
      <c r="J29" s="664"/>
      <c r="K29" s="664"/>
      <c r="L29" s="664"/>
      <c r="M29" s="666"/>
      <c r="N29" s="394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77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36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23</v>
      </c>
      <c r="B30" s="37" t="s">
        <v>2119</v>
      </c>
      <c r="C30" s="37" t="s">
        <v>2120</v>
      </c>
      <c r="D30" s="202"/>
      <c r="E30" s="663"/>
      <c r="F30" s="664"/>
      <c r="G30" s="664"/>
      <c r="H30" s="665"/>
      <c r="I30" s="663"/>
      <c r="J30" s="664"/>
      <c r="K30" s="664"/>
      <c r="L30" s="664"/>
      <c r="M30" s="666"/>
      <c r="N30" s="394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77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36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24</v>
      </c>
      <c r="B31" s="37" t="s">
        <v>2121</v>
      </c>
      <c r="C31" s="37" t="s">
        <v>2122</v>
      </c>
      <c r="D31" s="202"/>
      <c r="E31" s="671"/>
      <c r="F31" s="669"/>
      <c r="G31" s="669"/>
      <c r="H31" s="670"/>
      <c r="I31" s="671"/>
      <c r="J31" s="669"/>
      <c r="K31" s="669"/>
      <c r="L31" s="669"/>
      <c r="M31" s="672"/>
      <c r="N31" s="394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77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36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2123</v>
      </c>
      <c r="C32" s="37" t="s">
        <v>2124</v>
      </c>
      <c r="D32" s="202"/>
      <c r="E32" s="663"/>
      <c r="F32" s="664"/>
      <c r="G32" s="664"/>
      <c r="H32" s="665"/>
      <c r="I32" s="663"/>
      <c r="J32" s="664"/>
      <c r="K32" s="664"/>
      <c r="L32" s="664"/>
      <c r="M32" s="666"/>
      <c r="N32" s="394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77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36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26</v>
      </c>
      <c r="B33" s="37" t="s">
        <v>2125</v>
      </c>
      <c r="C33" s="37" t="s">
        <v>2126</v>
      </c>
      <c r="D33" s="202"/>
      <c r="E33" s="663"/>
      <c r="F33" s="664"/>
      <c r="G33" s="664"/>
      <c r="H33" s="665"/>
      <c r="I33" s="663"/>
      <c r="J33" s="664"/>
      <c r="K33" s="664"/>
      <c r="L33" s="664"/>
      <c r="M33" s="666"/>
      <c r="N33" s="394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77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36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27</v>
      </c>
      <c r="B34" s="37" t="s">
        <v>2127</v>
      </c>
      <c r="C34" s="37" t="s">
        <v>2128</v>
      </c>
      <c r="D34" s="202"/>
      <c r="E34" s="663"/>
      <c r="F34" s="664"/>
      <c r="G34" s="664"/>
      <c r="H34" s="665"/>
      <c r="I34" s="663"/>
      <c r="J34" s="664"/>
      <c r="K34" s="664"/>
      <c r="L34" s="664"/>
      <c r="M34" s="666"/>
      <c r="N34" s="394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77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36" t="n">
        <f aca="false">COUNTIF(E34:M34,2)+COUNTIF(E34:M34,1)+COUNTIF(E34:M34,0)</f>
        <v>0</v>
      </c>
    </row>
    <row r="35" customFormat="false" ht="15" hidden="false" customHeight="true" outlineLevel="0" collapsed="false">
      <c r="A35" s="37" t="n">
        <v>28</v>
      </c>
      <c r="B35" s="37" t="s">
        <v>2129</v>
      </c>
      <c r="C35" s="37" t="s">
        <v>2130</v>
      </c>
      <c r="D35" s="202"/>
      <c r="E35" s="663"/>
      <c r="F35" s="664"/>
      <c r="G35" s="664"/>
      <c r="H35" s="665"/>
      <c r="I35" s="663"/>
      <c r="J35" s="664"/>
      <c r="K35" s="664"/>
      <c r="L35" s="664"/>
      <c r="M35" s="666"/>
      <c r="N35" s="394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77" t="str">
        <f aca="false" t="array" ref="Q35:Q35">IF(E35&lt;&gt;"",IF(N35&lt;1.85,"Выговор",IF(N35=1.85,"Выговор",IF(AND(N35&gt;1.85,N35&lt;3),"Предупреждение",IF(AND(N35&gt;3,N35&lt;4.65),"Нормально",IF(AND(N35&gt;4.65,N35&lt;5.1,E35:M35&gt;=4),"Благодарность","Нормально"))))),"")</f>
        <v/>
      </c>
      <c r="R35" s="36" t="n">
        <f aca="false">COUNTIF(E35:M35,2)+COUNTIF(E35:M35,1)+COUNTIF(E35:M35,0)</f>
        <v>0</v>
      </c>
    </row>
    <row r="36" customFormat="false" ht="15" hidden="false" customHeight="true" outlineLevel="0" collapsed="false">
      <c r="A36" s="0" t="s">
        <v>77</v>
      </c>
      <c r="D36" s="209"/>
      <c r="E36" s="210" t="e">
        <f aca="false">AVERAGE(E8:E35)</f>
        <v>#DIV/0!</v>
      </c>
      <c r="F36" s="210" t="e">
        <f aca="false">AVERAGE(F8:F35)</f>
        <v>#DIV/0!</v>
      </c>
      <c r="G36" s="210" t="e">
        <f aca="false">AVERAGE(G8:G35)</f>
        <v>#DIV/0!</v>
      </c>
      <c r="H36" s="210" t="e">
        <f aca="false">AVERAGE(H8:H35)</f>
        <v>#DIV/0!</v>
      </c>
      <c r="I36" s="210" t="e">
        <f aca="false">AVERAGE(I8:I35)</f>
        <v>#DIV/0!</v>
      </c>
      <c r="J36" s="210" t="e">
        <f aca="false">AVERAGE(J8:J35)</f>
        <v>#DIV/0!</v>
      </c>
      <c r="K36" s="210" t="e">
        <f aca="false">AVERAGE(K8:K35)</f>
        <v>#DIV/0!</v>
      </c>
      <c r="L36" s="210" t="e">
        <f aca="false">AVERAGE(L8:L35)</f>
        <v>#DIV/0!</v>
      </c>
      <c r="M36" s="210" t="e">
        <f aca="false">AVERAGE(M8:M35)</f>
        <v>#DIV/0!</v>
      </c>
      <c r="N36" s="48"/>
      <c r="O36" s="48"/>
    </row>
    <row r="37" customFormat="false" ht="15" hidden="false" customHeight="true" outlineLevel="0" collapsed="false">
      <c r="A37" s="0" t="s">
        <v>78</v>
      </c>
      <c r="D37" s="209"/>
      <c r="E37" s="137" t="e">
        <f aca="false">(COUNTIF(E8:E35,5)+COUNTIF(E8:E35,4)+COUNTIF(E8:E35,3))/$R$42*100</f>
        <v>#DIV/0!</v>
      </c>
      <c r="F37" s="137" t="e">
        <f aca="false">(COUNTIF(F8:F35,5)+COUNTIF(F8:F35,4)+COUNTIF(F8:F35,3))/$R$42*100</f>
        <v>#DIV/0!</v>
      </c>
      <c r="G37" s="137" t="e">
        <f aca="false">(COUNTIF(G8:G35,5)+COUNTIF(G8:G35,4)+COUNTIF(G8:G35,3))/$R$42*100</f>
        <v>#DIV/0!</v>
      </c>
      <c r="H37" s="137" t="e">
        <f aca="false">(COUNTIF(H8:H35,5)+COUNTIF(H8:H35,4)+COUNTIF(H8:H35,3))/$R$42*100</f>
        <v>#DIV/0!</v>
      </c>
      <c r="I37" s="137" t="e">
        <f aca="false">(COUNTIF(I8:I35,5)+COUNTIF(I8:I35,4)+COUNTIF(I8:I35,3))/$R$42*100</f>
        <v>#DIV/0!</v>
      </c>
      <c r="J37" s="137" t="e">
        <f aca="false">(COUNTIF(J8:J35,5)+COUNTIF(J8:J35,4)+COUNTIF(J8:J35,3))/$R$42*100</f>
        <v>#DIV/0!</v>
      </c>
      <c r="K37" s="137" t="e">
        <f aca="false">(COUNTIF(K8:K35,5)+COUNTIF(K8:K35,4)+COUNTIF(K8:K35,3))/$R$42*100</f>
        <v>#DIV/0!</v>
      </c>
      <c r="L37" s="137" t="e">
        <f aca="false">(COUNTIF(L8:L35,5)+COUNTIF(L8:L35,4)+COUNTIF(L8:L35,3))/$R$42*100</f>
        <v>#DIV/0!</v>
      </c>
      <c r="M37" s="137" t="e">
        <f aca="false">(COUNTIF(M8:M35,5)+COUNTIF(M8:M35,4)+COUNTIF(M8:M35,3))/$R$42*100</f>
        <v>#DIV/0!</v>
      </c>
      <c r="N37" s="48"/>
      <c r="O37" s="48"/>
    </row>
    <row r="38" customFormat="false" ht="15" hidden="false" customHeight="true" outlineLevel="0" collapsed="false">
      <c r="D38" s="46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8"/>
      <c r="P38" s="48"/>
    </row>
    <row r="39" customFormat="false" ht="15" hidden="false" customHeight="true" outlineLevel="0" collapsed="false"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</row>
    <row r="40" customFormat="false" ht="15" hidden="false" customHeight="true" outlineLevel="0" collapsed="false">
      <c r="B40" s="50"/>
      <c r="C40" s="50" t="s">
        <v>8</v>
      </c>
      <c r="D40" s="51" t="str">
        <f aca="false">IFERROR(AVERAGE(N8:N35),"")</f>
        <v/>
      </c>
      <c r="E40" s="52" t="s">
        <v>9</v>
      </c>
      <c r="F40" s="52"/>
      <c r="G40" s="53" t="str">
        <f aca="false">IFERROR(COUNTIF(O8:O35,"Успевает")/R42*100,"")</f>
        <v/>
      </c>
      <c r="H40" s="319" t="s">
        <v>79</v>
      </c>
      <c r="I40" s="319"/>
      <c r="J40" s="454" t="str">
        <f aca="false">IFERROR(AVERAGE(P8:P35),"")</f>
        <v/>
      </c>
      <c r="N40" s="52"/>
      <c r="O40" s="48"/>
      <c r="P40" s="48"/>
      <c r="Q40" s="48"/>
      <c r="R40" s="48"/>
    </row>
    <row r="41" customFormat="false" ht="15" hidden="false" customHeight="true" outlineLevel="0" collapsed="false">
      <c r="B41" s="50"/>
      <c r="C41" s="50"/>
      <c r="D41" s="50"/>
      <c r="E41" s="56"/>
      <c r="F41" s="56"/>
      <c r="G41" s="56"/>
      <c r="H41" s="56"/>
      <c r="I41" s="56"/>
      <c r="J41" s="56"/>
      <c r="K41" s="56"/>
      <c r="L41" s="56"/>
      <c r="M41" s="56"/>
      <c r="N41" s="56"/>
    </row>
    <row r="42" customFormat="false" ht="15" hidden="false" customHeight="true" outlineLevel="0" collapsed="false">
      <c r="A42" s="50"/>
      <c r="B42" s="61" t="s">
        <v>81</v>
      </c>
      <c r="C42" s="61"/>
      <c r="D42" s="61"/>
      <c r="E42" s="61"/>
      <c r="F42" s="61"/>
      <c r="G42" s="61"/>
      <c r="H42" s="61"/>
      <c r="I42" s="61"/>
      <c r="J42" s="61"/>
      <c r="K42" s="61" t="s">
        <v>82</v>
      </c>
      <c r="L42" s="61"/>
      <c r="M42" s="61"/>
      <c r="N42" s="61"/>
      <c r="P42" s="57" t="s">
        <v>80</v>
      </c>
      <c r="Q42" s="57"/>
      <c r="R42" s="58" t="n">
        <f aca="false">SUM(R43,R44)</f>
        <v>0</v>
      </c>
    </row>
    <row r="43" customFormat="false" ht="15" hidden="false" customHeight="true" outlineLevel="0" collapsed="false">
      <c r="A43" s="50"/>
      <c r="B43" s="65" t="str">
        <f aca="false">$E$6</f>
        <v> Аналитическая геометрия и линейная алгебра</v>
      </c>
      <c r="C43" s="65"/>
      <c r="D43" s="65"/>
      <c r="E43" s="65"/>
      <c r="F43" s="65"/>
      <c r="G43" s="65"/>
      <c r="H43" s="65"/>
      <c r="I43" s="65"/>
      <c r="J43" s="65"/>
      <c r="K43" s="66"/>
      <c r="L43" s="66"/>
      <c r="M43" s="66"/>
      <c r="N43" s="66"/>
      <c r="P43" s="57" t="s">
        <v>83</v>
      </c>
      <c r="Q43" s="57"/>
      <c r="R43" s="58" t="n">
        <f aca="false">COUNTIF(O8:O35,"Успевает")</f>
        <v>0</v>
      </c>
    </row>
    <row r="44" customFormat="false" ht="15" hidden="false" customHeight="true" outlineLevel="0" collapsed="false">
      <c r="A44" s="50"/>
      <c r="B44" s="65" t="str">
        <f aca="false">$F$6</f>
        <v> Инженерная графика</v>
      </c>
      <c r="C44" s="65"/>
      <c r="D44" s="65"/>
      <c r="E44" s="65"/>
      <c r="F44" s="65"/>
      <c r="G44" s="65"/>
      <c r="H44" s="65"/>
      <c r="I44" s="65"/>
      <c r="J44" s="65"/>
      <c r="K44" s="66"/>
      <c r="L44" s="66"/>
      <c r="M44" s="66"/>
      <c r="N44" s="66"/>
      <c r="P44" s="98" t="s">
        <v>84</v>
      </c>
      <c r="Q44" s="98"/>
      <c r="R44" s="58" t="n">
        <f aca="false">COUNTIF(O8:O35,"Не успевает")</f>
        <v>0</v>
      </c>
    </row>
    <row r="45" customFormat="false" ht="15" hidden="false" customHeight="true" outlineLevel="0" collapsed="false">
      <c r="A45" s="50"/>
      <c r="B45" s="65" t="str">
        <f aca="false">$G$6</f>
        <v> Математический анализ</v>
      </c>
      <c r="C45" s="65"/>
      <c r="D45" s="65"/>
      <c r="E45" s="65"/>
      <c r="F45" s="65"/>
      <c r="G45" s="65"/>
      <c r="H45" s="65"/>
      <c r="I45" s="65"/>
      <c r="J45" s="65"/>
      <c r="K45" s="66"/>
      <c r="L45" s="66"/>
      <c r="M45" s="66"/>
      <c r="N45" s="66"/>
      <c r="P45" s="98" t="s">
        <v>85</v>
      </c>
      <c r="Q45" s="98"/>
      <c r="R45" s="58" t="n">
        <f aca="false">COUNTIF(Q8:Q35,"Благодарность")</f>
        <v>0</v>
      </c>
    </row>
    <row r="46" customFormat="false" ht="15" hidden="false" customHeight="true" outlineLevel="0" collapsed="false">
      <c r="A46" s="50"/>
      <c r="B46" s="65" t="str">
        <f aca="false">$H$6</f>
        <v> Основы программирования</v>
      </c>
      <c r="C46" s="65"/>
      <c r="D46" s="65"/>
      <c r="E46" s="65"/>
      <c r="F46" s="65"/>
      <c r="G46" s="65"/>
      <c r="H46" s="65"/>
      <c r="I46" s="65"/>
      <c r="J46" s="65"/>
      <c r="K46" s="66"/>
      <c r="L46" s="66"/>
      <c r="M46" s="66"/>
      <c r="N46" s="66"/>
      <c r="P46" s="98" t="s">
        <v>86</v>
      </c>
      <c r="Q46" s="98"/>
      <c r="R46" s="58" t="n">
        <f aca="false">COUNTIF(Q8:Q35,"Нормально")</f>
        <v>0</v>
      </c>
    </row>
    <row r="47" customFormat="false" ht="15" hidden="false" customHeight="true" outlineLevel="0" collapsed="false">
      <c r="A47" s="50"/>
      <c r="B47" s="65" t="str">
        <f aca="false">$I$6</f>
        <v>Иностранный язык</v>
      </c>
      <c r="C47" s="65"/>
      <c r="D47" s="65"/>
      <c r="E47" s="65"/>
      <c r="F47" s="65"/>
      <c r="G47" s="65"/>
      <c r="H47" s="65"/>
      <c r="I47" s="65"/>
      <c r="J47" s="65"/>
      <c r="K47" s="66"/>
      <c r="L47" s="66"/>
      <c r="M47" s="66"/>
      <c r="N47" s="66"/>
      <c r="P47" s="98" t="s">
        <v>87</v>
      </c>
      <c r="Q47" s="98"/>
      <c r="R47" s="58" t="n">
        <f aca="false">COUNTIF(Q8:Q35,"Предупреждение")</f>
        <v>0</v>
      </c>
    </row>
    <row r="48" customFormat="false" ht="15" hidden="false" customHeight="true" outlineLevel="0" collapsed="false">
      <c r="A48" s="50"/>
      <c r="B48" s="65" t="str">
        <f aca="false">$J$6</f>
        <v> История России</v>
      </c>
      <c r="C48" s="65"/>
      <c r="D48" s="65"/>
      <c r="E48" s="65"/>
      <c r="F48" s="65"/>
      <c r="G48" s="65"/>
      <c r="H48" s="65"/>
      <c r="I48" s="65"/>
      <c r="J48" s="65"/>
      <c r="K48" s="66"/>
      <c r="L48" s="66"/>
      <c r="M48" s="66"/>
      <c r="N48" s="66"/>
      <c r="P48" s="98" t="s">
        <v>88</v>
      </c>
      <c r="Q48" s="98"/>
      <c r="R48" s="58" t="n">
        <f aca="false">COUNTIF(Q8:Q35,"Выговор")</f>
        <v>0</v>
      </c>
    </row>
    <row r="49" customFormat="false" ht="15" hidden="false" customHeight="true" outlineLevel="0" collapsed="false">
      <c r="A49" s="50"/>
      <c r="B49" s="65" t="str">
        <f aca="false">$K$6</f>
        <v> Ознакомительная практика</v>
      </c>
      <c r="C49" s="65"/>
      <c r="D49" s="65"/>
      <c r="E49" s="65"/>
      <c r="F49" s="65"/>
      <c r="G49" s="65"/>
      <c r="H49" s="65"/>
      <c r="I49" s="65"/>
      <c r="J49" s="65"/>
      <c r="K49" s="66"/>
      <c r="L49" s="66"/>
      <c r="M49" s="66"/>
      <c r="N49" s="66"/>
      <c r="O49" s="67"/>
      <c r="P49" s="442" t="s">
        <v>1575</v>
      </c>
      <c r="Q49" s="380"/>
      <c r="R49" s="143" t="n">
        <f aca="false">SUM(R8:R35)</f>
        <v>0</v>
      </c>
    </row>
    <row r="50" customFormat="false" ht="15" hidden="false" customHeight="true" outlineLevel="0" collapsed="false">
      <c r="A50" s="50"/>
      <c r="B50" s="65" t="str">
        <f aca="false">$L$6</f>
        <v> Теоретическая информатика</v>
      </c>
      <c r="C50" s="65"/>
      <c r="D50" s="65"/>
      <c r="E50" s="65"/>
      <c r="F50" s="65"/>
      <c r="G50" s="65"/>
      <c r="H50" s="65"/>
      <c r="I50" s="65"/>
      <c r="J50" s="65"/>
      <c r="K50" s="66"/>
      <c r="L50" s="66"/>
      <c r="M50" s="66"/>
      <c r="N50" s="66"/>
      <c r="O50" s="67"/>
      <c r="P50" s="67"/>
      <c r="Q50" s="48"/>
      <c r="R50" s="48"/>
    </row>
    <row r="51" customFormat="false" ht="15" hidden="false" customHeight="true" outlineLevel="0" collapsed="false">
      <c r="A51" s="50"/>
      <c r="B51" s="65" t="str">
        <f aca="false">$M$6</f>
        <v>Физическая культура и спорт</v>
      </c>
      <c r="C51" s="65"/>
      <c r="D51" s="65"/>
      <c r="E51" s="65"/>
      <c r="F51" s="65"/>
      <c r="G51" s="65"/>
      <c r="H51" s="65"/>
      <c r="I51" s="65"/>
      <c r="J51" s="65"/>
      <c r="K51" s="66"/>
      <c r="L51" s="66"/>
      <c r="M51" s="66"/>
      <c r="N51" s="66"/>
      <c r="O51" s="67"/>
      <c r="P51" s="67"/>
      <c r="Q51" s="48"/>
      <c r="R51" s="48"/>
    </row>
    <row r="52" customFormat="false" ht="15" hidden="false" customHeight="true" outlineLevel="0" collapsed="false">
      <c r="A52" s="50"/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67"/>
      <c r="M52" s="67"/>
      <c r="N52" s="67"/>
      <c r="O52" s="48"/>
      <c r="P52" s="48"/>
      <c r="Q52" s="48"/>
    </row>
    <row r="53" customFormat="false" ht="15" hidden="false" customHeight="true" outlineLevel="0" collapsed="false">
      <c r="A53" s="50"/>
      <c r="B53" s="428" t="s">
        <v>405</v>
      </c>
      <c r="C53" s="455" t="s">
        <v>2131</v>
      </c>
      <c r="D53" s="455"/>
      <c r="E53" s="67"/>
      <c r="F53" s="52" t="s">
        <v>369</v>
      </c>
      <c r="G53" s="300" t="s">
        <v>2132</v>
      </c>
      <c r="H53" s="52"/>
      <c r="I53" s="52"/>
      <c r="J53" s="52"/>
      <c r="K53" s="52"/>
      <c r="L53" s="50"/>
      <c r="M53" s="50"/>
      <c r="N53" s="50"/>
      <c r="O53" s="48"/>
      <c r="P53" s="48"/>
      <c r="Q53" s="48"/>
    </row>
    <row r="54" customFormat="false" ht="15" hidden="false" customHeight="true" outlineLevel="0" collapsed="false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48"/>
      <c r="P54" s="48"/>
      <c r="Q54" s="48"/>
    </row>
    <row r="55" customFormat="false" ht="15" hidden="false" customHeight="true" outlineLevel="0" collapsed="false">
      <c r="A55" s="50"/>
      <c r="B55" s="50" t="s">
        <v>93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48"/>
      <c r="P55" s="48"/>
      <c r="Q55" s="48"/>
    </row>
    <row r="56" customFormat="false" ht="15" hidden="false" customHeight="true" outlineLevel="0" collapsed="false">
      <c r="A56" s="50"/>
      <c r="B56" s="50" t="s">
        <v>94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48"/>
      <c r="P56" s="48"/>
      <c r="Q56" s="48"/>
    </row>
    <row r="57" customFormat="false" ht="15" hidden="false" customHeight="true" outlineLevel="0" collapsed="false">
      <c r="A57" s="50"/>
      <c r="B57" s="50" t="s">
        <v>95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48"/>
      <c r="P57" s="48"/>
      <c r="Q57" s="48"/>
    </row>
    <row r="58" customFormat="false" ht="15" hidden="false" customHeight="true" outlineLevel="0" collapsed="false">
      <c r="A58" s="50"/>
      <c r="B58" s="50" t="s">
        <v>96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48"/>
      <c r="P58" s="48"/>
      <c r="Q58" s="48"/>
    </row>
    <row r="59" customFormat="false" ht="15" hidden="false" customHeight="true" outlineLevel="0" collapsed="false">
      <c r="A59" s="50"/>
      <c r="B59" s="50" t="s">
        <v>97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48"/>
      <c r="P59" s="48"/>
      <c r="Q59" s="48"/>
      <c r="R59" s="48"/>
    </row>
    <row r="60" customFormat="false" ht="15" hidden="false" customHeight="true" outlineLevel="0" collapsed="false">
      <c r="B60" s="50" t="s">
        <v>98</v>
      </c>
      <c r="C60" s="50"/>
      <c r="D60" s="50"/>
      <c r="E60" s="50"/>
      <c r="F60" s="50"/>
      <c r="G60" s="50"/>
      <c r="H60" s="50"/>
      <c r="I60" s="50"/>
      <c r="J60" s="50"/>
      <c r="K60" s="50"/>
    </row>
    <row r="61" customFormat="false" ht="15" hidden="false" customHeight="true" outlineLevel="0" collapsed="false">
      <c r="B61" s="50" t="s">
        <v>99</v>
      </c>
      <c r="C61" s="50"/>
      <c r="D61" s="50"/>
      <c r="E61" s="50"/>
      <c r="F61" s="50"/>
      <c r="G61" s="50"/>
      <c r="H61" s="50"/>
      <c r="I61" s="50"/>
      <c r="J61" s="50"/>
      <c r="K61" s="50"/>
    </row>
    <row r="62" customFormat="false" ht="15" hidden="false" customHeight="true" outlineLevel="0" collapsed="false"/>
    <row r="63" customFormat="false" ht="15" hidden="false" customHeight="true" outlineLevel="0" collapsed="false"/>
  </sheetData>
  <mergeCells count="43">
    <mergeCell ref="E1:H1"/>
    <mergeCell ref="L2:O2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40:I40"/>
    <mergeCell ref="B42:J42"/>
    <mergeCell ref="K42:N42"/>
    <mergeCell ref="P42:Q42"/>
    <mergeCell ref="B43:J43"/>
    <mergeCell ref="K43:N43"/>
    <mergeCell ref="P43:Q43"/>
    <mergeCell ref="B44:J44"/>
    <mergeCell ref="K44:N44"/>
    <mergeCell ref="P44:Q44"/>
    <mergeCell ref="B45:J45"/>
    <mergeCell ref="K45:N45"/>
    <mergeCell ref="P45:Q45"/>
    <mergeCell ref="B46:J46"/>
    <mergeCell ref="K46:N46"/>
    <mergeCell ref="P46:Q46"/>
    <mergeCell ref="B47:J47"/>
    <mergeCell ref="K47:N47"/>
    <mergeCell ref="P47:Q47"/>
    <mergeCell ref="B48:J48"/>
    <mergeCell ref="K48:N48"/>
    <mergeCell ref="P48:Q48"/>
    <mergeCell ref="B49:J49"/>
    <mergeCell ref="K49:N49"/>
    <mergeCell ref="B50:J50"/>
    <mergeCell ref="K50:N50"/>
    <mergeCell ref="B51:J51"/>
    <mergeCell ref="K51:N51"/>
    <mergeCell ref="C53:D53"/>
  </mergeCells>
  <conditionalFormatting sqref="E19:E20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E26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E2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7:E18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E16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5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2:K12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2:M12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8:N38 E36:M37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:M30 F13:M26 E8:M11 E35:M35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1:M34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0"/>
  <sheetViews>
    <sheetView showFormulas="false" showGridLines="true" showRowColHeaders="true" showZeros="true" rightToLeft="false" tabSelected="false" showOutlineSymbols="true" defaultGridColor="true" view="normal" topLeftCell="A3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14"/>
    <col collapsed="false" customWidth="true" hidden="false" outlineLevel="0" max="3" min="3" style="0" width="20.29"/>
    <col collapsed="false" customWidth="true" hidden="false" outlineLevel="0" max="16" min="16" style="0" width="12.42"/>
    <col collapsed="false" customWidth="true" hidden="false" outlineLevel="0" max="17" min="17" style="0" width="16.71"/>
    <col collapsed="false" customWidth="true" hidden="false" outlineLevel="0" max="18" min="18" style="0" width="7.15"/>
    <col collapsed="false" customWidth="true" hidden="false" outlineLevel="0" max="19" min="19" style="0" width="7.86"/>
    <col collapsed="false" customWidth="true" hidden="false" outlineLevel="0" max="20" min="20" style="0" width="4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5"/>
      <c r="P2" s="673" t="n">
        <f aca="false">set!B4</f>
        <v>45608</v>
      </c>
      <c r="Q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ИУК5-12Б факультета ИУК МГТУ им. Н.Э. Баумана"</f>
        <v>Успеваемость студентов за 1 семестр 24/25 учебного года по группе ИУК5-12Б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00" t="s">
        <v>1575</v>
      </c>
    </row>
    <row r="6" customFormat="false" ht="15" hidden="false" customHeight="false" outlineLevel="0" collapsed="false">
      <c r="A6" s="8"/>
      <c r="B6" s="8"/>
      <c r="C6" s="8"/>
      <c r="D6" s="9"/>
      <c r="E6" s="339" t="s">
        <v>542</v>
      </c>
      <c r="F6" s="340" t="s">
        <v>543</v>
      </c>
      <c r="G6" s="340" t="s">
        <v>544</v>
      </c>
      <c r="H6" s="602" t="s">
        <v>2073</v>
      </c>
      <c r="I6" s="339" t="s">
        <v>18</v>
      </c>
      <c r="J6" s="340" t="s">
        <v>144</v>
      </c>
      <c r="K6" s="340" t="s">
        <v>1455</v>
      </c>
      <c r="L6" s="340" t="s">
        <v>546</v>
      </c>
      <c r="M6" s="342" t="s">
        <v>147</v>
      </c>
      <c r="N6" s="391"/>
      <c r="O6" s="392"/>
      <c r="P6" s="392"/>
      <c r="Q6" s="14"/>
      <c r="R6" s="600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25</v>
      </c>
      <c r="G7" s="344" t="s">
        <v>24</v>
      </c>
      <c r="H7" s="496" t="s">
        <v>547</v>
      </c>
      <c r="I7" s="343" t="s">
        <v>27</v>
      </c>
      <c r="J7" s="344" t="s">
        <v>149</v>
      </c>
      <c r="K7" s="407" t="s">
        <v>2074</v>
      </c>
      <c r="L7" s="344" t="s">
        <v>549</v>
      </c>
      <c r="M7" s="346" t="s">
        <v>30</v>
      </c>
      <c r="N7" s="391"/>
      <c r="O7" s="392"/>
      <c r="P7" s="392"/>
      <c r="Q7" s="14"/>
      <c r="R7" s="600"/>
    </row>
    <row r="8" customFormat="false" ht="15" hidden="false" customHeight="true" outlineLevel="0" collapsed="false">
      <c r="A8" s="25" t="n">
        <v>1</v>
      </c>
      <c r="B8" s="25" t="s">
        <v>2133</v>
      </c>
      <c r="C8" s="25" t="s">
        <v>2134</v>
      </c>
      <c r="D8" s="202"/>
      <c r="E8" s="78"/>
      <c r="F8" s="79"/>
      <c r="G8" s="79"/>
      <c r="H8" s="80"/>
      <c r="I8" s="78"/>
      <c r="J8" s="79"/>
      <c r="K8" s="79"/>
      <c r="L8" s="79"/>
      <c r="M8" s="80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F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2135</v>
      </c>
      <c r="C9" s="37" t="s">
        <v>2136</v>
      </c>
      <c r="D9" s="202"/>
      <c r="E9" s="86"/>
      <c r="F9" s="87"/>
      <c r="G9" s="87"/>
      <c r="H9" s="89"/>
      <c r="I9" s="86"/>
      <c r="J9" s="87"/>
      <c r="K9" s="87"/>
      <c r="L9" s="87"/>
      <c r="M9" s="89"/>
      <c r="N9" s="394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77" t="str">
        <f aca="false" t="array" ref="Q9:Q9">IF(E9&lt;&gt;"",IF(N9&lt;1.85,"Выговор",IF(N9=1.85,"Выговор",IF(AND(N9&gt;1.85,N9&lt;3),"Предупреждение",IF(AND(N9&gt;3,N9&lt;4.65),"Нормально",IF(AND(N9&gt;4.65,N9&lt;5.1,E9:F9&gt;=4),"Благодарность","Нормально"))))),"")</f>
        <v/>
      </c>
      <c r="R9" s="36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2137</v>
      </c>
      <c r="C10" s="37" t="s">
        <v>2138</v>
      </c>
      <c r="D10" s="202"/>
      <c r="E10" s="86"/>
      <c r="F10" s="87"/>
      <c r="G10" s="87"/>
      <c r="H10" s="89"/>
      <c r="I10" s="86"/>
      <c r="J10" s="87"/>
      <c r="K10" s="87"/>
      <c r="L10" s="87"/>
      <c r="M10" s="89"/>
      <c r="N10" s="394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7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F10&gt;=4),"Благодарность","Нормально"))))),"")</f>
        <v/>
      </c>
      <c r="R10" s="36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2139</v>
      </c>
      <c r="C11" s="37" t="s">
        <v>2140</v>
      </c>
      <c r="D11" s="202"/>
      <c r="E11" s="86"/>
      <c r="F11" s="87"/>
      <c r="G11" s="87"/>
      <c r="H11" s="89"/>
      <c r="I11" s="86"/>
      <c r="J11" s="87"/>
      <c r="K11" s="87"/>
      <c r="L11" s="87"/>
      <c r="M11" s="89"/>
      <c r="N11" s="394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7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F11&gt;=4),"Благодарность","Нормально"))))),"")</f>
        <v/>
      </c>
      <c r="R11" s="36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2141</v>
      </c>
      <c r="C12" s="37" t="s">
        <v>2142</v>
      </c>
      <c r="D12" s="202"/>
      <c r="E12" s="86"/>
      <c r="F12" s="87"/>
      <c r="G12" s="87"/>
      <c r="H12" s="89"/>
      <c r="I12" s="86"/>
      <c r="J12" s="87"/>
      <c r="K12" s="87"/>
      <c r="L12" s="87"/>
      <c r="M12" s="89"/>
      <c r="N12" s="394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7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F12&gt;=4),"Благодарность","Нормально"))))),"")</f>
        <v/>
      </c>
      <c r="R12" s="36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2143</v>
      </c>
      <c r="C13" s="37" t="s">
        <v>2144</v>
      </c>
      <c r="D13" s="202"/>
      <c r="E13" s="86"/>
      <c r="F13" s="87"/>
      <c r="G13" s="87"/>
      <c r="H13" s="89"/>
      <c r="I13" s="86"/>
      <c r="J13" s="87"/>
      <c r="K13" s="87"/>
      <c r="L13" s="87"/>
      <c r="M13" s="89"/>
      <c r="N13" s="394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7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F13&gt;=4),"Благодарность","Нормально"))))),"")</f>
        <v/>
      </c>
      <c r="R13" s="36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2145</v>
      </c>
      <c r="C14" s="37" t="s">
        <v>2146</v>
      </c>
      <c r="D14" s="202"/>
      <c r="E14" s="86"/>
      <c r="F14" s="87"/>
      <c r="G14" s="87"/>
      <c r="H14" s="89"/>
      <c r="I14" s="86"/>
      <c r="J14" s="87"/>
      <c r="K14" s="87"/>
      <c r="L14" s="87"/>
      <c r="M14" s="89"/>
      <c r="N14" s="394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7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F14&gt;=4),"Благодарность","Нормально"))))),"")</f>
        <v/>
      </c>
      <c r="R14" s="36" t="n">
        <f aca="false">COUNTIF(E14:M14,2)+COUNTIF(E14:M14,1)+COUNTIF(E14:M14,0)</f>
        <v>0</v>
      </c>
    </row>
    <row r="15" customFormat="false" ht="14.25" hidden="false" customHeight="true" outlineLevel="0" collapsed="false">
      <c r="A15" s="85" t="n">
        <v>8</v>
      </c>
      <c r="B15" s="37" t="s">
        <v>2147</v>
      </c>
      <c r="C15" s="37" t="s">
        <v>2148</v>
      </c>
      <c r="D15" s="202"/>
      <c r="E15" s="86"/>
      <c r="F15" s="87"/>
      <c r="G15" s="87"/>
      <c r="H15" s="89"/>
      <c r="I15" s="86"/>
      <c r="J15" s="87"/>
      <c r="K15" s="87"/>
      <c r="L15" s="87"/>
      <c r="M15" s="89"/>
      <c r="N15" s="394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7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F15&gt;=4),"Благодарность","Нормально"))))),"")</f>
        <v/>
      </c>
      <c r="R15" s="36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2149</v>
      </c>
      <c r="C16" s="37" t="s">
        <v>2150</v>
      </c>
      <c r="D16" s="202"/>
      <c r="E16" s="86"/>
      <c r="F16" s="87"/>
      <c r="G16" s="87"/>
      <c r="H16" s="89"/>
      <c r="I16" s="86"/>
      <c r="J16" s="87"/>
      <c r="K16" s="87"/>
      <c r="L16" s="87"/>
      <c r="M16" s="89"/>
      <c r="N16" s="394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7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F16&gt;=4),"Благодарность","Нормально"))))),"")</f>
        <v/>
      </c>
      <c r="R16" s="36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2151</v>
      </c>
      <c r="C17" s="37" t="s">
        <v>2152</v>
      </c>
      <c r="D17" s="202"/>
      <c r="E17" s="86"/>
      <c r="F17" s="87"/>
      <c r="G17" s="87"/>
      <c r="H17" s="89"/>
      <c r="I17" s="86"/>
      <c r="J17" s="87"/>
      <c r="K17" s="87"/>
      <c r="L17" s="87"/>
      <c r="M17" s="89"/>
      <c r="N17" s="394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7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F17&gt;=4),"Благодарность","Нормально"))))),"")</f>
        <v/>
      </c>
      <c r="R17" s="36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2153</v>
      </c>
      <c r="C18" s="37" t="s">
        <v>571</v>
      </c>
      <c r="D18" s="202"/>
      <c r="E18" s="86"/>
      <c r="F18" s="87"/>
      <c r="G18" s="87"/>
      <c r="H18" s="89"/>
      <c r="I18" s="86"/>
      <c r="J18" s="87"/>
      <c r="K18" s="87"/>
      <c r="L18" s="87"/>
      <c r="M18" s="89"/>
      <c r="N18" s="394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7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F18&gt;=4),"Благодарность","Нормально"))))),"")</f>
        <v/>
      </c>
      <c r="R18" s="36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2154</v>
      </c>
      <c r="C19" s="37" t="s">
        <v>2155</v>
      </c>
      <c r="D19" s="202"/>
      <c r="E19" s="86"/>
      <c r="F19" s="87"/>
      <c r="G19" s="87"/>
      <c r="H19" s="89"/>
      <c r="I19" s="86"/>
      <c r="J19" s="87"/>
      <c r="K19" s="87"/>
      <c r="L19" s="87"/>
      <c r="M19" s="89"/>
      <c r="N19" s="394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7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F19&gt;=4),"Благодарность","Нормально"))))),"")</f>
        <v/>
      </c>
      <c r="R19" s="36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2156</v>
      </c>
      <c r="C20" s="37" t="s">
        <v>2157</v>
      </c>
      <c r="D20" s="202"/>
      <c r="E20" s="86"/>
      <c r="F20" s="87"/>
      <c r="G20" s="87"/>
      <c r="H20" s="89"/>
      <c r="I20" s="86"/>
      <c r="J20" s="87"/>
      <c r="K20" s="87"/>
      <c r="L20" s="87"/>
      <c r="M20" s="89"/>
      <c r="N20" s="394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7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F20&gt;=4),"Благодарность","Нормально"))))),"")</f>
        <v/>
      </c>
      <c r="R20" s="36" t="n">
        <f aca="false">COUNTIF(E20:M20,2)+COUNTIF(E20:M20,1)+COUNTIF(E20:M20,0)</f>
        <v>0</v>
      </c>
    </row>
    <row r="21" customFormat="false" ht="15" hidden="false" customHeight="true" outlineLevel="0" collapsed="false">
      <c r="A21" s="85" t="n">
        <v>14</v>
      </c>
      <c r="B21" s="37" t="s">
        <v>2158</v>
      </c>
      <c r="C21" s="37" t="s">
        <v>2159</v>
      </c>
      <c r="D21" s="202"/>
      <c r="E21" s="86"/>
      <c r="F21" s="87"/>
      <c r="G21" s="87"/>
      <c r="H21" s="89"/>
      <c r="I21" s="86"/>
      <c r="J21" s="87"/>
      <c r="K21" s="87"/>
      <c r="L21" s="87"/>
      <c r="M21" s="89"/>
      <c r="N21" s="394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7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F21&gt;=4),"Благодарность","Нормально"))))),"")</f>
        <v/>
      </c>
      <c r="R21" s="36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2160</v>
      </c>
      <c r="C22" s="37" t="s">
        <v>2161</v>
      </c>
      <c r="D22" s="202"/>
      <c r="E22" s="86"/>
      <c r="F22" s="87"/>
      <c r="G22" s="87"/>
      <c r="H22" s="89"/>
      <c r="I22" s="86"/>
      <c r="J22" s="87"/>
      <c r="K22" s="87"/>
      <c r="L22" s="87"/>
      <c r="M22" s="89"/>
      <c r="N22" s="394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7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F22&gt;=4),"Благодарность","Нормально"))))),"")</f>
        <v/>
      </c>
      <c r="R22" s="36" t="n">
        <f aca="false">COUNTIF(E22:M22,2)+COUNTIF(E22:M22,1)+COUNTIF(E22:M22,0)</f>
        <v>0</v>
      </c>
    </row>
    <row r="23" customFormat="false" ht="15" hidden="false" customHeight="true" outlineLevel="0" collapsed="false">
      <c r="A23" s="85" t="n">
        <v>16</v>
      </c>
      <c r="B23" s="37" t="s">
        <v>2162</v>
      </c>
      <c r="C23" s="37" t="s">
        <v>2163</v>
      </c>
      <c r="D23" s="202"/>
      <c r="E23" s="86"/>
      <c r="F23" s="87"/>
      <c r="G23" s="87"/>
      <c r="H23" s="89"/>
      <c r="I23" s="86"/>
      <c r="J23" s="87"/>
      <c r="K23" s="87"/>
      <c r="L23" s="87"/>
      <c r="M23" s="89"/>
      <c r="N23" s="394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7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F23&gt;=4),"Благодарность","Нормально"))))),"")</f>
        <v/>
      </c>
      <c r="R23" s="36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2164</v>
      </c>
      <c r="C24" s="37" t="s">
        <v>2165</v>
      </c>
      <c r="D24" s="202"/>
      <c r="E24" s="86"/>
      <c r="F24" s="87"/>
      <c r="G24" s="87"/>
      <c r="H24" s="89"/>
      <c r="I24" s="86"/>
      <c r="J24" s="87"/>
      <c r="K24" s="87"/>
      <c r="L24" s="87"/>
      <c r="M24" s="89"/>
      <c r="N24" s="394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77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F24&gt;=4),"Благодарность","Нормально"))))),"")</f>
        <v/>
      </c>
      <c r="R24" s="36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2166</v>
      </c>
      <c r="C25" s="37" t="s">
        <v>2167</v>
      </c>
      <c r="D25" s="202"/>
      <c r="E25" s="86"/>
      <c r="F25" s="87"/>
      <c r="G25" s="87"/>
      <c r="H25" s="89"/>
      <c r="I25" s="86"/>
      <c r="J25" s="87"/>
      <c r="K25" s="87"/>
      <c r="L25" s="87"/>
      <c r="M25" s="89"/>
      <c r="N25" s="394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77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F25&gt;=4),"Благодарность","Нормально"))))),"")</f>
        <v/>
      </c>
      <c r="R25" s="36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2168</v>
      </c>
      <c r="C26" s="37" t="s">
        <v>2169</v>
      </c>
      <c r="D26" s="202"/>
      <c r="E26" s="86"/>
      <c r="F26" s="87"/>
      <c r="G26" s="87"/>
      <c r="H26" s="89"/>
      <c r="I26" s="86"/>
      <c r="J26" s="87"/>
      <c r="K26" s="87"/>
      <c r="L26" s="87"/>
      <c r="M26" s="89"/>
      <c r="N26" s="394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77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F26&gt;=4),"Благодарность","Нормально"))))),"")</f>
        <v/>
      </c>
      <c r="R26" s="36" t="n">
        <f aca="false">COUNTIF(E26:M26,2)+COUNTIF(E26:M26,1)+COUNTIF(E26:M26,0)</f>
        <v>0</v>
      </c>
    </row>
    <row r="27" customFormat="false" ht="15" hidden="false" customHeight="true" outlineLevel="0" collapsed="false">
      <c r="A27" s="85" t="n">
        <v>20</v>
      </c>
      <c r="B27" s="37" t="s">
        <v>2170</v>
      </c>
      <c r="C27" s="37" t="s">
        <v>2171</v>
      </c>
      <c r="D27" s="202"/>
      <c r="E27" s="86"/>
      <c r="F27" s="87"/>
      <c r="G27" s="87"/>
      <c r="H27" s="89"/>
      <c r="I27" s="86"/>
      <c r="J27" s="87"/>
      <c r="K27" s="87"/>
      <c r="L27" s="87"/>
      <c r="M27" s="89"/>
      <c r="N27" s="394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77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F27&gt;=4),"Благодарность","Нормально"))))),"")</f>
        <v/>
      </c>
      <c r="R27" s="36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2172</v>
      </c>
      <c r="C28" s="37" t="s">
        <v>2173</v>
      </c>
      <c r="D28" s="202"/>
      <c r="E28" s="86"/>
      <c r="F28" s="87"/>
      <c r="G28" s="87"/>
      <c r="H28" s="89"/>
      <c r="I28" s="86"/>
      <c r="J28" s="87"/>
      <c r="K28" s="87"/>
      <c r="L28" s="87"/>
      <c r="M28" s="89"/>
      <c r="N28" s="394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77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F28&gt;=4),"Благодарность","Нормально"))))),"")</f>
        <v/>
      </c>
      <c r="R28" s="36" t="n">
        <f aca="false">COUNTIF(E28:M28,2)+COUNTIF(E28:M28,1)+COUNTIF(E28:M28,0)</f>
        <v>0</v>
      </c>
    </row>
    <row r="29" s="45" customFormat="true" ht="15" hidden="false" customHeight="true" outlineLevel="0" collapsed="false">
      <c r="A29" s="85" t="n">
        <v>22</v>
      </c>
      <c r="B29" s="37" t="s">
        <v>2174</v>
      </c>
      <c r="C29" s="37" t="s">
        <v>2175</v>
      </c>
      <c r="D29" s="202"/>
      <c r="E29" s="86"/>
      <c r="F29" s="87"/>
      <c r="G29" s="87"/>
      <c r="H29" s="89"/>
      <c r="I29" s="86"/>
      <c r="J29" s="87"/>
      <c r="K29" s="87"/>
      <c r="L29" s="87"/>
      <c r="M29" s="89"/>
      <c r="N29" s="394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77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F29&gt;=4),"Благодарность","Нормально"))))),"")</f>
        <v/>
      </c>
      <c r="R29" s="36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2176</v>
      </c>
      <c r="C30" s="37" t="s">
        <v>2177</v>
      </c>
      <c r="D30" s="202"/>
      <c r="E30" s="86"/>
      <c r="F30" s="87"/>
      <c r="G30" s="87"/>
      <c r="H30" s="89"/>
      <c r="I30" s="86"/>
      <c r="J30" s="87"/>
      <c r="K30" s="87"/>
      <c r="L30" s="87"/>
      <c r="M30" s="89"/>
      <c r="N30" s="394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77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F30&gt;=4),"Благодарность","Нормально"))))),"")</f>
        <v/>
      </c>
      <c r="R30" s="36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24</v>
      </c>
      <c r="B31" s="37" t="s">
        <v>2178</v>
      </c>
      <c r="C31" s="37" t="s">
        <v>2179</v>
      </c>
      <c r="D31" s="202"/>
      <c r="E31" s="86"/>
      <c r="F31" s="87"/>
      <c r="G31" s="87"/>
      <c r="H31" s="89"/>
      <c r="I31" s="86"/>
      <c r="J31" s="87"/>
      <c r="K31" s="87"/>
      <c r="L31" s="87"/>
      <c r="M31" s="89"/>
      <c r="N31" s="394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77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F31&gt;=4),"Благодарность","Нормально"))))),"")</f>
        <v/>
      </c>
      <c r="R31" s="36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2180</v>
      </c>
      <c r="C32" s="37" t="s">
        <v>2181</v>
      </c>
      <c r="D32" s="202"/>
      <c r="E32" s="86"/>
      <c r="F32" s="87"/>
      <c r="G32" s="87"/>
      <c r="H32" s="89"/>
      <c r="I32" s="86"/>
      <c r="J32" s="87"/>
      <c r="K32" s="87"/>
      <c r="L32" s="87"/>
      <c r="M32" s="89"/>
      <c r="N32" s="394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77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F32&gt;=4),"Благодарность","Нормально"))))),"")</f>
        <v/>
      </c>
      <c r="R32" s="36" t="n">
        <f aca="false">COUNTIF(E32:M32,2)+COUNTIF(E32:M32,1)+COUNTIF(E32:M32,0)</f>
        <v>0</v>
      </c>
    </row>
    <row r="33" customFormat="false" ht="15" hidden="false" customHeight="true" outlineLevel="0" collapsed="false">
      <c r="A33" s="85" t="n">
        <v>26</v>
      </c>
      <c r="B33" s="37" t="s">
        <v>2182</v>
      </c>
      <c r="C33" s="37" t="s">
        <v>2183</v>
      </c>
      <c r="D33" s="202"/>
      <c r="E33" s="86"/>
      <c r="F33" s="87"/>
      <c r="G33" s="87"/>
      <c r="H33" s="88"/>
      <c r="I33" s="86"/>
      <c r="J33" s="87"/>
      <c r="K33" s="87"/>
      <c r="L33" s="87"/>
      <c r="M33" s="89"/>
      <c r="N33" s="394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77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F33&gt;=4),"Благодарность","Нормально"))))),"")</f>
        <v/>
      </c>
      <c r="R33" s="36" t="n">
        <f aca="false">COUNTIF(E33:M33,2)+COUNTIF(E33:M33,1)+COUNTIF(E33:M33,0)</f>
        <v>0</v>
      </c>
    </row>
    <row r="34" customFormat="false" ht="15" hidden="false" customHeight="true" outlineLevel="0" collapsed="false">
      <c r="A34" s="0" t="s">
        <v>77</v>
      </c>
      <c r="D34" s="209"/>
      <c r="E34" s="210" t="e">
        <f aca="false">AVERAGE(E8:E33)</f>
        <v>#DIV/0!</v>
      </c>
      <c r="F34" s="210" t="e">
        <f aca="false">AVERAGE(F8:F33)</f>
        <v>#DIV/0!</v>
      </c>
      <c r="G34" s="210" t="e">
        <f aca="false">AVERAGE(G8:G33)</f>
        <v>#DIV/0!</v>
      </c>
      <c r="H34" s="210" t="e">
        <f aca="false">AVERAGE(H8:H33)</f>
        <v>#DIV/0!</v>
      </c>
      <c r="I34" s="210" t="e">
        <f aca="false">AVERAGE(I8:I33)</f>
        <v>#DIV/0!</v>
      </c>
      <c r="J34" s="210" t="e">
        <f aca="false">AVERAGE(J8:J33)</f>
        <v>#DIV/0!</v>
      </c>
      <c r="K34" s="210" t="e">
        <f aca="false">AVERAGE(K8:K33)</f>
        <v>#DIV/0!</v>
      </c>
      <c r="L34" s="210" t="e">
        <f aca="false">AVERAGE(L8:L33)</f>
        <v>#DIV/0!</v>
      </c>
      <c r="M34" s="210" t="e">
        <f aca="false">AVERAGE(M8:M33)</f>
        <v>#DIV/0!</v>
      </c>
      <c r="N34" s="48"/>
      <c r="O34" s="48"/>
      <c r="P34" s="535"/>
    </row>
    <row r="35" customFormat="false" ht="15" hidden="false" customHeight="true" outlineLevel="0" collapsed="false">
      <c r="A35" s="0" t="s">
        <v>78</v>
      </c>
      <c r="D35" s="209"/>
      <c r="E35" s="137" t="e">
        <f aca="false">(COUNTIF(E8:E33,5)+COUNTIF(E8:E33,4)+COUNTIF(E8:E33,3))/$R$40*100</f>
        <v>#DIV/0!</v>
      </c>
      <c r="F35" s="137" t="e">
        <f aca="false">(COUNTIF(F8:F33,5)+COUNTIF(F8:F33,4)+COUNTIF(F8:F33,3))/$R$40*100</f>
        <v>#DIV/0!</v>
      </c>
      <c r="G35" s="137" t="e">
        <f aca="false">(COUNTIF(G8:G33,5)+COUNTIF(G8:G33,4)+COUNTIF(G8:G33,3))/$R$40*100</f>
        <v>#DIV/0!</v>
      </c>
      <c r="H35" s="137" t="e">
        <f aca="false">(COUNTIF(H8:H33,5)+COUNTIF(H8:H33,4)+COUNTIF(H8:H33,3))/$R$40*100</f>
        <v>#DIV/0!</v>
      </c>
      <c r="I35" s="137" t="e">
        <f aca="false">(COUNTIF(I8:I33,5)+COUNTIF(I8:I33,4)+COUNTIF(I8:I33,3))/$R$40*100</f>
        <v>#DIV/0!</v>
      </c>
      <c r="J35" s="137" t="e">
        <f aca="false">(COUNTIF(J8:J33,5)+COUNTIF(J8:J33,4)+COUNTIF(J8:J33,3))/$R$40*100</f>
        <v>#DIV/0!</v>
      </c>
      <c r="K35" s="137" t="e">
        <f aca="false">(COUNTIF(K8:K33,5)+COUNTIF(K8:K33,4)+COUNTIF(K8:K33,3))/$R$40*100</f>
        <v>#DIV/0!</v>
      </c>
      <c r="L35" s="137" t="e">
        <f aca="false">(COUNTIF(L8:L33,5)+COUNTIF(L8:L33,4)+COUNTIF(L8:L33,3))/$R$40*100</f>
        <v>#DIV/0!</v>
      </c>
      <c r="M35" s="137" t="e">
        <f aca="false">(COUNTIF(M8:M33,5)+COUNTIF(M8:M33,4)+COUNTIF(M8:M33,3))/$R$40*100</f>
        <v>#DIV/0!</v>
      </c>
      <c r="N35" s="48"/>
      <c r="O35" s="48"/>
      <c r="P35" s="49"/>
    </row>
    <row r="36" customFormat="false" ht="15" hidden="false" customHeight="true" outlineLevel="0" collapsed="false">
      <c r="D36" s="46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8"/>
      <c r="P36" s="48"/>
      <c r="Q36" s="49"/>
    </row>
    <row r="37" customFormat="false" ht="15" hidden="false" customHeight="true" outlineLevel="0" collapsed="false">
      <c r="E37" s="48"/>
      <c r="F37" s="48"/>
      <c r="G37" s="48"/>
      <c r="H37" s="48"/>
      <c r="I37" s="48"/>
      <c r="J37" s="48"/>
      <c r="M37" s="48"/>
      <c r="N37" s="48"/>
      <c r="O37" s="48"/>
      <c r="P37" s="48"/>
      <c r="Q37" s="48"/>
      <c r="R37" s="48"/>
    </row>
    <row r="38" customFormat="false" ht="15" hidden="false" customHeight="true" outlineLevel="0" collapsed="false">
      <c r="B38" s="50"/>
      <c r="C38" s="50" t="s">
        <v>8</v>
      </c>
      <c r="D38" s="51" t="str">
        <f aca="false">IFERROR(AVERAGE(N8:N33),"")</f>
        <v/>
      </c>
      <c r="E38" s="52" t="s">
        <v>9</v>
      </c>
      <c r="F38" s="52"/>
      <c r="G38" s="53" t="str">
        <f aca="false">IFERROR(COUNTIF(O8:O33,"Успевает")/R40*100,"")</f>
        <v/>
      </c>
      <c r="H38" s="319" t="s">
        <v>79</v>
      </c>
      <c r="I38" s="319"/>
      <c r="J38" s="454" t="str">
        <f aca="false">IFERROR(AVERAGE(P8:P33),"")</f>
        <v/>
      </c>
      <c r="K38" s="52"/>
      <c r="L38" s="52"/>
      <c r="M38" s="52"/>
      <c r="N38" s="52"/>
      <c r="O38" s="48"/>
      <c r="P38" s="48"/>
      <c r="Q38" s="48"/>
      <c r="R38" s="48"/>
    </row>
    <row r="39" customFormat="false" ht="15" hidden="false" customHeight="true" outlineLevel="0" collapsed="false">
      <c r="B39" s="50"/>
      <c r="C39" s="50"/>
      <c r="D39" s="50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customFormat="false" ht="15" hidden="false" customHeight="true" outlineLevel="0" collapsed="false">
      <c r="A40" s="50"/>
      <c r="B40" s="61" t="s">
        <v>81</v>
      </c>
      <c r="C40" s="61"/>
      <c r="D40" s="61"/>
      <c r="E40" s="61"/>
      <c r="F40" s="61"/>
      <c r="G40" s="61"/>
      <c r="H40" s="61"/>
      <c r="I40" s="61"/>
      <c r="J40" s="61"/>
      <c r="K40" s="61" t="s">
        <v>82</v>
      </c>
      <c r="L40" s="61"/>
      <c r="M40" s="61"/>
      <c r="N40" s="61"/>
      <c r="P40" s="57" t="s">
        <v>80</v>
      </c>
      <c r="Q40" s="57"/>
      <c r="R40" s="58" t="n">
        <f aca="false">SUM(R41,R42)</f>
        <v>0</v>
      </c>
      <c r="S40" s="674" t="s">
        <v>2184</v>
      </c>
    </row>
    <row r="41" customFormat="false" ht="15" hidden="false" customHeight="true" outlineLevel="0" collapsed="false">
      <c r="A41" s="50"/>
      <c r="B41" s="65" t="str">
        <f aca="false">$E$6</f>
        <v> Аналитическая геометрия и линейная алгебра</v>
      </c>
      <c r="C41" s="65"/>
      <c r="D41" s="65"/>
      <c r="E41" s="65"/>
      <c r="F41" s="65"/>
      <c r="G41" s="65"/>
      <c r="H41" s="65"/>
      <c r="I41" s="65"/>
      <c r="J41" s="65"/>
      <c r="K41" s="66"/>
      <c r="L41" s="66"/>
      <c r="M41" s="66"/>
      <c r="N41" s="66"/>
      <c r="P41" s="57" t="s">
        <v>83</v>
      </c>
      <c r="Q41" s="57"/>
      <c r="R41" s="58" t="n">
        <f aca="false">COUNTIF(O8:O33,"Успевает")</f>
        <v>0</v>
      </c>
      <c r="S41" s="675" t="s">
        <v>2185</v>
      </c>
    </row>
    <row r="42" customFormat="false" ht="15" hidden="false" customHeight="true" outlineLevel="0" collapsed="false">
      <c r="A42" s="50"/>
      <c r="B42" s="65" t="str">
        <f aca="false">$F$6</f>
        <v> Инженерная графика</v>
      </c>
      <c r="C42" s="65"/>
      <c r="D42" s="65"/>
      <c r="E42" s="65"/>
      <c r="F42" s="65"/>
      <c r="G42" s="65"/>
      <c r="H42" s="65"/>
      <c r="I42" s="65"/>
      <c r="J42" s="65"/>
      <c r="K42" s="66"/>
      <c r="L42" s="66"/>
      <c r="M42" s="66"/>
      <c r="N42" s="66"/>
      <c r="P42" s="98" t="s">
        <v>84</v>
      </c>
      <c r="Q42" s="98"/>
      <c r="R42" s="58" t="n">
        <f aca="false">COUNTIF(O8:O33,"Не успевает")</f>
        <v>0</v>
      </c>
      <c r="S42" s="676" t="s">
        <v>2186</v>
      </c>
    </row>
    <row r="43" customFormat="false" ht="15" hidden="false" customHeight="true" outlineLevel="0" collapsed="false">
      <c r="A43" s="50"/>
      <c r="B43" s="65" t="str">
        <f aca="false">$G$6</f>
        <v> Математический анализ</v>
      </c>
      <c r="C43" s="65"/>
      <c r="D43" s="65"/>
      <c r="E43" s="65"/>
      <c r="F43" s="65"/>
      <c r="G43" s="65"/>
      <c r="H43" s="65"/>
      <c r="I43" s="65"/>
      <c r="J43" s="65"/>
      <c r="K43" s="66"/>
      <c r="L43" s="66"/>
      <c r="M43" s="66"/>
      <c r="N43" s="66"/>
      <c r="P43" s="98" t="s">
        <v>85</v>
      </c>
      <c r="Q43" s="98"/>
      <c r="R43" s="58" t="n">
        <f aca="false">COUNTIF(Q8:Q33,"Благодарность")</f>
        <v>0</v>
      </c>
      <c r="S43" s="677" t="s">
        <v>1575</v>
      </c>
    </row>
    <row r="44" customFormat="false" ht="15" hidden="false" customHeight="true" outlineLevel="0" collapsed="false">
      <c r="A44" s="50"/>
      <c r="B44" s="65" t="str">
        <f aca="false">$H$6</f>
        <v> Основы программирования</v>
      </c>
      <c r="C44" s="65"/>
      <c r="D44" s="65"/>
      <c r="E44" s="65"/>
      <c r="F44" s="65"/>
      <c r="G44" s="65"/>
      <c r="H44" s="65"/>
      <c r="I44" s="65"/>
      <c r="J44" s="65"/>
      <c r="K44" s="66"/>
      <c r="L44" s="66"/>
      <c r="M44" s="66"/>
      <c r="N44" s="66"/>
      <c r="P44" s="98" t="s">
        <v>86</v>
      </c>
      <c r="Q44" s="98"/>
      <c r="R44" s="58" t="n">
        <f aca="false">COUNTIF(Q8:Q33,"Нормально")</f>
        <v>0</v>
      </c>
      <c r="S44" s="48"/>
    </row>
    <row r="45" customFormat="false" ht="15" hidden="false" customHeight="true" outlineLevel="0" collapsed="false">
      <c r="A45" s="50"/>
      <c r="B45" s="65" t="str">
        <f aca="false">$I$6</f>
        <v>Иностранный язык</v>
      </c>
      <c r="C45" s="65"/>
      <c r="D45" s="65"/>
      <c r="E45" s="65"/>
      <c r="F45" s="65"/>
      <c r="G45" s="65"/>
      <c r="H45" s="65"/>
      <c r="I45" s="65"/>
      <c r="J45" s="65"/>
      <c r="K45" s="66"/>
      <c r="L45" s="66"/>
      <c r="M45" s="66"/>
      <c r="N45" s="66"/>
      <c r="P45" s="98" t="s">
        <v>87</v>
      </c>
      <c r="Q45" s="98"/>
      <c r="R45" s="58" t="n">
        <f aca="false">COUNTIF(Q8:Q33,"Предупреждение")</f>
        <v>0</v>
      </c>
      <c r="S45" s="48"/>
    </row>
    <row r="46" customFormat="false" ht="15" hidden="false" customHeight="true" outlineLevel="0" collapsed="false">
      <c r="A46" s="50"/>
      <c r="B46" s="65" t="str">
        <f aca="false">$J$6</f>
        <v> История России</v>
      </c>
      <c r="C46" s="65"/>
      <c r="D46" s="65"/>
      <c r="E46" s="65"/>
      <c r="F46" s="65"/>
      <c r="G46" s="65"/>
      <c r="H46" s="65"/>
      <c r="I46" s="65"/>
      <c r="J46" s="65"/>
      <c r="K46" s="66"/>
      <c r="L46" s="66"/>
      <c r="M46" s="66"/>
      <c r="N46" s="66"/>
      <c r="P46" s="98" t="s">
        <v>88</v>
      </c>
      <c r="Q46" s="98"/>
      <c r="R46" s="58" t="n">
        <f aca="false">COUNTIF(Q8:Q33,"Выговор")</f>
        <v>0</v>
      </c>
      <c r="S46" s="48"/>
    </row>
    <row r="47" customFormat="false" ht="15" hidden="false" customHeight="true" outlineLevel="0" collapsed="false">
      <c r="A47" s="50"/>
      <c r="B47" s="65" t="str">
        <f aca="false">$K$6</f>
        <v> Ознакомительная практика</v>
      </c>
      <c r="C47" s="65"/>
      <c r="D47" s="65"/>
      <c r="E47" s="65"/>
      <c r="F47" s="65"/>
      <c r="G47" s="65"/>
      <c r="H47" s="65"/>
      <c r="I47" s="65"/>
      <c r="J47" s="65"/>
      <c r="K47" s="66"/>
      <c r="L47" s="66"/>
      <c r="M47" s="66"/>
      <c r="N47" s="66"/>
      <c r="O47" s="67"/>
      <c r="P47" s="442" t="s">
        <v>1575</v>
      </c>
      <c r="Q47" s="380"/>
      <c r="R47" s="678" t="n">
        <f aca="false">SUM(R8:R33)</f>
        <v>0</v>
      </c>
      <c r="S47" s="48"/>
    </row>
    <row r="48" customFormat="false" ht="15" hidden="false" customHeight="true" outlineLevel="0" collapsed="false">
      <c r="A48" s="50"/>
      <c r="B48" s="65" t="str">
        <f aca="false">$L$6</f>
        <v> Теоретическая информатика</v>
      </c>
      <c r="C48" s="65"/>
      <c r="D48" s="65"/>
      <c r="E48" s="65"/>
      <c r="F48" s="65"/>
      <c r="G48" s="65"/>
      <c r="H48" s="65"/>
      <c r="I48" s="65"/>
      <c r="J48" s="65"/>
      <c r="K48" s="66"/>
      <c r="L48" s="66"/>
      <c r="M48" s="66"/>
      <c r="N48" s="66"/>
      <c r="O48" s="67"/>
      <c r="P48" s="67"/>
      <c r="Q48" s="48"/>
      <c r="R48" s="48"/>
    </row>
    <row r="49" customFormat="false" ht="15" hidden="false" customHeight="true" outlineLevel="0" collapsed="false">
      <c r="A49" s="50"/>
      <c r="B49" s="65" t="str">
        <f aca="false">$M$6</f>
        <v>Физическая культура и спорт</v>
      </c>
      <c r="C49" s="65"/>
      <c r="D49" s="65"/>
      <c r="E49" s="65"/>
      <c r="F49" s="65"/>
      <c r="G49" s="65"/>
      <c r="H49" s="65"/>
      <c r="I49" s="65"/>
      <c r="J49" s="65"/>
      <c r="K49" s="66"/>
      <c r="L49" s="66"/>
      <c r="M49" s="66"/>
      <c r="N49" s="66"/>
      <c r="O49" s="67"/>
      <c r="P49" s="67"/>
      <c r="Q49" s="48"/>
      <c r="R49" s="48"/>
    </row>
    <row r="50" customFormat="false" ht="15" hidden="false" customHeight="true" outlineLevel="0" collapsed="false">
      <c r="A50" s="50"/>
      <c r="B50" s="139"/>
      <c r="C50" s="139"/>
      <c r="D50" s="139"/>
      <c r="E50" s="139"/>
      <c r="F50" s="139"/>
      <c r="G50" s="139"/>
      <c r="H50" s="139"/>
      <c r="I50" s="139"/>
      <c r="J50" s="139"/>
      <c r="K50" s="139"/>
      <c r="L50" s="50"/>
      <c r="M50" s="50"/>
      <c r="N50" s="50"/>
      <c r="O50" s="48"/>
      <c r="P50" s="48"/>
      <c r="Q50" s="48"/>
      <c r="R50" s="48"/>
    </row>
    <row r="51" customFormat="false" ht="15" hidden="false" customHeight="true" outlineLevel="0" collapsed="false">
      <c r="A51" s="50"/>
      <c r="B51" s="428" t="s">
        <v>89</v>
      </c>
      <c r="C51" s="449" t="s">
        <v>2187</v>
      </c>
      <c r="D51" s="449"/>
      <c r="E51" s="67"/>
      <c r="F51" s="52" t="s">
        <v>369</v>
      </c>
      <c r="G51" s="300" t="s">
        <v>2188</v>
      </c>
      <c r="H51" s="52"/>
      <c r="I51" s="52"/>
      <c r="J51" s="52"/>
      <c r="K51" s="52"/>
      <c r="L51" s="50"/>
      <c r="M51" s="50"/>
      <c r="N51" s="50"/>
      <c r="O51" s="48"/>
      <c r="P51" s="48"/>
      <c r="Q51" s="48"/>
      <c r="R51" s="48"/>
    </row>
    <row r="52" customFormat="false" ht="15" hidden="false" customHeight="tru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48"/>
      <c r="P52" s="48"/>
    </row>
    <row r="53" customFormat="false" ht="15" hidden="false" customHeight="true" outlineLevel="0" collapsed="false">
      <c r="A53" s="50"/>
      <c r="B53" s="50" t="s">
        <v>93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48"/>
      <c r="P53" s="48"/>
    </row>
    <row r="54" customFormat="false" ht="15" hidden="false" customHeight="true" outlineLevel="0" collapsed="false">
      <c r="A54" s="50"/>
      <c r="B54" s="50" t="s">
        <v>94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48"/>
      <c r="P54" s="48"/>
    </row>
    <row r="55" customFormat="false" ht="15" hidden="false" customHeight="true" outlineLevel="0" collapsed="false">
      <c r="A55" s="50"/>
      <c r="B55" s="50" t="s">
        <v>95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48"/>
      <c r="P55" s="48"/>
    </row>
    <row r="56" customFormat="false" ht="15" hidden="false" customHeight="true" outlineLevel="0" collapsed="false">
      <c r="B56" s="50" t="s">
        <v>96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</row>
    <row r="57" customFormat="false" ht="15" hidden="false" customHeight="true" outlineLevel="0" collapsed="false">
      <c r="B57" s="50" t="s">
        <v>97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</row>
    <row r="58" customFormat="false" ht="15" hidden="false" customHeight="true" outlineLevel="0" collapsed="false">
      <c r="B58" s="50" t="s">
        <v>98</v>
      </c>
      <c r="C58" s="50"/>
      <c r="D58" s="50"/>
      <c r="E58" s="50"/>
      <c r="F58" s="50"/>
      <c r="G58" s="50"/>
      <c r="H58" s="50"/>
      <c r="I58" s="50"/>
      <c r="J58" s="50"/>
      <c r="K58" s="50"/>
    </row>
    <row r="59" customFormat="false" ht="15" hidden="false" customHeight="true" outlineLevel="0" collapsed="false">
      <c r="B59" s="50" t="s">
        <v>99</v>
      </c>
      <c r="C59" s="50"/>
      <c r="D59" s="50"/>
      <c r="E59" s="50"/>
      <c r="F59" s="50"/>
      <c r="G59" s="50"/>
      <c r="H59" s="50"/>
      <c r="I59" s="50"/>
      <c r="J59" s="50"/>
      <c r="K59" s="50"/>
    </row>
    <row r="60" customFormat="false" ht="15" hidden="false" customHeight="true" outlineLevel="0" collapsed="false"/>
  </sheetData>
  <mergeCells count="43">
    <mergeCell ref="E1:H1"/>
    <mergeCell ref="L2:O2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8:I38"/>
    <mergeCell ref="B40:J40"/>
    <mergeCell ref="K40:N40"/>
    <mergeCell ref="P40:Q40"/>
    <mergeCell ref="B41:J41"/>
    <mergeCell ref="K41:N41"/>
    <mergeCell ref="P41:Q41"/>
    <mergeCell ref="B42:J42"/>
    <mergeCell ref="K42:N42"/>
    <mergeCell ref="P42:Q42"/>
    <mergeCell ref="B43:J43"/>
    <mergeCell ref="K43:N43"/>
    <mergeCell ref="P43:Q43"/>
    <mergeCell ref="B44:J44"/>
    <mergeCell ref="K44:N44"/>
    <mergeCell ref="P44:Q44"/>
    <mergeCell ref="B45:J45"/>
    <mergeCell ref="K45:N45"/>
    <mergeCell ref="P45:Q45"/>
    <mergeCell ref="B46:J46"/>
    <mergeCell ref="K46:N46"/>
    <mergeCell ref="P46:Q46"/>
    <mergeCell ref="B47:J47"/>
    <mergeCell ref="K47:N47"/>
    <mergeCell ref="B48:J48"/>
    <mergeCell ref="K48:N48"/>
    <mergeCell ref="B49:J49"/>
    <mergeCell ref="K49:N49"/>
    <mergeCell ref="C51:D51"/>
  </mergeCells>
  <conditionalFormatting sqref="M29:M3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33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5:M28 M8:M13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9:J32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E32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4 G14 K1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4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3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33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5:J28 J8:J13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3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28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4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33:L33 G33:I33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5:I28 K15:L28 I13 H13:H28 G13 F8:I8 K8:L13 G9:I12 G15:G16 F9:F16 F17:G28 F33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9:L32 F29:I32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6:N36 E34:M35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62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14"/>
    <col collapsed="false" customWidth="true" hidden="false" outlineLevel="0" max="3" min="3" style="0" width="20.29"/>
    <col collapsed="false" customWidth="true" hidden="false" outlineLevel="0" max="16" min="16" style="0" width="11.57"/>
    <col collapsed="false" customWidth="true" hidden="false" outlineLevel="0" max="17" min="17" style="0" width="17.29"/>
    <col collapsed="false" customWidth="true" hidden="false" outlineLevel="0" max="18" min="18" style="0" width="7.86"/>
    <col collapsed="false" customWidth="true" hidden="false" outlineLevel="0" max="20" min="19" style="0" width="4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5"/>
      <c r="P2" s="75" t="n">
        <f aca="false">set!B4</f>
        <v>45608</v>
      </c>
      <c r="Q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ИУК5-13Б факультета ИУК МГТУ им. Н.Э. Баумана"</f>
        <v>Успеваемость студентов за 1 семестр 24/25 учебного года по группе ИУК5-13Б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20" t="s">
        <v>1575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542</v>
      </c>
      <c r="F6" s="340" t="s">
        <v>543</v>
      </c>
      <c r="G6" s="340" t="s">
        <v>544</v>
      </c>
      <c r="H6" s="602" t="s">
        <v>2073</v>
      </c>
      <c r="I6" s="340" t="s">
        <v>18</v>
      </c>
      <c r="J6" s="340" t="s">
        <v>144</v>
      </c>
      <c r="K6" s="340" t="s">
        <v>546</v>
      </c>
      <c r="L6" s="340" t="s">
        <v>679</v>
      </c>
      <c r="M6" s="342" t="s">
        <v>147</v>
      </c>
      <c r="N6" s="391"/>
      <c r="O6" s="391"/>
      <c r="P6" s="391"/>
      <c r="Q6" s="14"/>
      <c r="R6" s="620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25</v>
      </c>
      <c r="G7" s="344" t="s">
        <v>24</v>
      </c>
      <c r="H7" s="496" t="s">
        <v>547</v>
      </c>
      <c r="I7" s="407" t="s">
        <v>27</v>
      </c>
      <c r="J7" s="344" t="s">
        <v>149</v>
      </c>
      <c r="K7" s="344" t="s">
        <v>549</v>
      </c>
      <c r="L7" s="407" t="s">
        <v>2074</v>
      </c>
      <c r="M7" s="346" t="s">
        <v>30</v>
      </c>
      <c r="N7" s="391"/>
      <c r="O7" s="391"/>
      <c r="P7" s="391"/>
      <c r="Q7" s="14"/>
      <c r="R7" s="620"/>
    </row>
    <row r="8" customFormat="false" ht="15" hidden="false" customHeight="true" outlineLevel="0" collapsed="false">
      <c r="A8" s="103" t="n">
        <v>1</v>
      </c>
      <c r="B8" s="25" t="s">
        <v>2189</v>
      </c>
      <c r="C8" s="25" t="s">
        <v>2078</v>
      </c>
      <c r="D8" s="679"/>
      <c r="E8" s="180"/>
      <c r="F8" s="84"/>
      <c r="G8" s="84"/>
      <c r="H8" s="181"/>
      <c r="I8" s="180"/>
      <c r="J8" s="84"/>
      <c r="K8" s="84"/>
      <c r="L8" s="84"/>
      <c r="M8" s="181"/>
      <c r="N8" s="585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85" t="str">
        <f aca="false" t="array" ref="Q8:Q8">IF(E8&lt;&gt;"",IF(N8&lt;1.85,"Выговор",IF(N8=1.85,"Выговор",IF(AND(N8&gt;1.85,N8&lt;3),"Предупреждение",IF(AND(N8&gt;3,N8&lt;4.65),"Нормально",IF(AND(N8&gt;4.65,N8&lt;5.1,E8:F8&gt;=4),"Благодарность","Нормально"))))),"")</f>
        <v/>
      </c>
      <c r="R8" s="118" t="n">
        <f aca="false">COUNTIF(E8:M8,2)+COUNTIF(E8:M8,1)+COUNTIF(E8:M8,0)</f>
        <v>0</v>
      </c>
    </row>
    <row r="9" customFormat="false" ht="15" hidden="false" customHeight="true" outlineLevel="0" collapsed="false">
      <c r="A9" s="85" t="n">
        <v>2</v>
      </c>
      <c r="B9" s="37" t="s">
        <v>2190</v>
      </c>
      <c r="C9" s="37" t="s">
        <v>2191</v>
      </c>
      <c r="D9" s="679"/>
      <c r="E9" s="150"/>
      <c r="F9" s="117"/>
      <c r="G9" s="117"/>
      <c r="H9" s="152"/>
      <c r="I9" s="150"/>
      <c r="J9" s="117"/>
      <c r="K9" s="117"/>
      <c r="L9" s="117"/>
      <c r="M9" s="181"/>
      <c r="N9" s="58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F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85" t="n">
        <v>3</v>
      </c>
      <c r="B10" s="37" t="s">
        <v>2192</v>
      </c>
      <c r="C10" s="37" t="s">
        <v>2193</v>
      </c>
      <c r="D10" s="679"/>
      <c r="E10" s="150"/>
      <c r="F10" s="117"/>
      <c r="G10" s="117"/>
      <c r="H10" s="152"/>
      <c r="I10" s="150"/>
      <c r="J10" s="117"/>
      <c r="K10" s="117"/>
      <c r="L10" s="117"/>
      <c r="M10" s="181"/>
      <c r="N10" s="58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F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85" t="n">
        <v>4</v>
      </c>
      <c r="B11" s="37" t="s">
        <v>2194</v>
      </c>
      <c r="C11" s="37" t="s">
        <v>2195</v>
      </c>
      <c r="D11" s="679"/>
      <c r="E11" s="150"/>
      <c r="F11" s="117"/>
      <c r="G11" s="117"/>
      <c r="H11" s="152"/>
      <c r="I11" s="150"/>
      <c r="J11" s="117"/>
      <c r="K11" s="117"/>
      <c r="L11" s="117"/>
      <c r="M11" s="181"/>
      <c r="N11" s="58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F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85" t="n">
        <v>5</v>
      </c>
      <c r="B12" s="37" t="s">
        <v>2196</v>
      </c>
      <c r="C12" s="37" t="s">
        <v>2197</v>
      </c>
      <c r="D12" s="679"/>
      <c r="E12" s="150"/>
      <c r="F12" s="117"/>
      <c r="G12" s="117"/>
      <c r="H12" s="152"/>
      <c r="I12" s="150"/>
      <c r="J12" s="117"/>
      <c r="K12" s="117"/>
      <c r="L12" s="117"/>
      <c r="M12" s="181"/>
      <c r="N12" s="58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F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85" t="n">
        <v>6</v>
      </c>
      <c r="B13" s="37" t="s">
        <v>2198</v>
      </c>
      <c r="C13" s="37" t="s">
        <v>2199</v>
      </c>
      <c r="D13" s="679"/>
      <c r="E13" s="680"/>
      <c r="F13" s="117"/>
      <c r="G13" s="117"/>
      <c r="H13" s="152"/>
      <c r="I13" s="150"/>
      <c r="J13" s="117"/>
      <c r="K13" s="117"/>
      <c r="L13" s="117"/>
      <c r="M13" s="181"/>
      <c r="N13" s="58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F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85" t="n">
        <v>7</v>
      </c>
      <c r="B14" s="37" t="s">
        <v>2200</v>
      </c>
      <c r="C14" s="37" t="s">
        <v>2201</v>
      </c>
      <c r="D14" s="679"/>
      <c r="E14" s="150"/>
      <c r="F14" s="117"/>
      <c r="G14" s="117"/>
      <c r="H14" s="152"/>
      <c r="I14" s="681"/>
      <c r="J14" s="117"/>
      <c r="K14" s="117"/>
      <c r="L14" s="117"/>
      <c r="M14" s="181"/>
      <c r="N14" s="58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F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85" t="n">
        <v>8</v>
      </c>
      <c r="B15" s="37" t="s">
        <v>2202</v>
      </c>
      <c r="C15" s="37" t="s">
        <v>2203</v>
      </c>
      <c r="D15" s="679"/>
      <c r="E15" s="150"/>
      <c r="F15" s="117"/>
      <c r="G15" s="117"/>
      <c r="H15" s="152"/>
      <c r="I15" s="150"/>
      <c r="J15" s="117"/>
      <c r="K15" s="117"/>
      <c r="L15" s="117"/>
      <c r="M15" s="181"/>
      <c r="N15" s="58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F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85" t="n">
        <v>9</v>
      </c>
      <c r="B16" s="37" t="s">
        <v>2204</v>
      </c>
      <c r="C16" s="37" t="s">
        <v>2205</v>
      </c>
      <c r="D16" s="679"/>
      <c r="E16" s="150"/>
      <c r="F16" s="117"/>
      <c r="G16" s="117"/>
      <c r="H16" s="152"/>
      <c r="I16" s="150"/>
      <c r="J16" s="117"/>
      <c r="K16" s="117"/>
      <c r="L16" s="117"/>
      <c r="M16" s="181"/>
      <c r="N16" s="58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F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85" t="n">
        <v>10</v>
      </c>
      <c r="B17" s="37" t="s">
        <v>2206</v>
      </c>
      <c r="C17" s="37" t="s">
        <v>2207</v>
      </c>
      <c r="D17" s="679"/>
      <c r="E17" s="150"/>
      <c r="F17" s="117"/>
      <c r="G17" s="117"/>
      <c r="H17" s="152"/>
      <c r="I17" s="150"/>
      <c r="J17" s="117"/>
      <c r="K17" s="117"/>
      <c r="L17" s="117"/>
      <c r="M17" s="181"/>
      <c r="N17" s="58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F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85" t="n">
        <v>11</v>
      </c>
      <c r="B18" s="37" t="s">
        <v>2208</v>
      </c>
      <c r="C18" s="37" t="s">
        <v>2209</v>
      </c>
      <c r="D18" s="679"/>
      <c r="E18" s="150"/>
      <c r="F18" s="117"/>
      <c r="G18" s="117"/>
      <c r="H18" s="152"/>
      <c r="I18" s="150"/>
      <c r="J18" s="117"/>
      <c r="K18" s="117"/>
      <c r="L18" s="117"/>
      <c r="M18" s="181"/>
      <c r="N18" s="58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F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85" t="n">
        <v>12</v>
      </c>
      <c r="B19" s="37" t="s">
        <v>2210</v>
      </c>
      <c r="C19" s="37" t="s">
        <v>2211</v>
      </c>
      <c r="D19" s="679"/>
      <c r="E19" s="150"/>
      <c r="F19" s="117"/>
      <c r="G19" s="117"/>
      <c r="H19" s="152"/>
      <c r="I19" s="150"/>
      <c r="J19" s="117"/>
      <c r="K19" s="117"/>
      <c r="L19" s="117"/>
      <c r="M19" s="181"/>
      <c r="N19" s="58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F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85" t="n">
        <v>13</v>
      </c>
      <c r="B20" s="37" t="s">
        <v>2212</v>
      </c>
      <c r="C20" s="37" t="s">
        <v>2213</v>
      </c>
      <c r="D20" s="679"/>
      <c r="E20" s="150"/>
      <c r="F20" s="117"/>
      <c r="G20" s="117"/>
      <c r="H20" s="152"/>
      <c r="I20" s="150"/>
      <c r="J20" s="117"/>
      <c r="K20" s="117"/>
      <c r="L20" s="117"/>
      <c r="M20" s="181"/>
      <c r="N20" s="58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F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85" t="n">
        <v>14</v>
      </c>
      <c r="B21" s="37" t="s">
        <v>2214</v>
      </c>
      <c r="C21" s="37" t="s">
        <v>2215</v>
      </c>
      <c r="D21" s="679"/>
      <c r="E21" s="150"/>
      <c r="F21" s="117"/>
      <c r="G21" s="117"/>
      <c r="H21" s="152"/>
      <c r="I21" s="150"/>
      <c r="J21" s="117"/>
      <c r="K21" s="117"/>
      <c r="L21" s="117"/>
      <c r="M21" s="181"/>
      <c r="N21" s="58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F21&gt;=4),"Благодарность","Нормально")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85" t="n">
        <v>15</v>
      </c>
      <c r="B22" s="37" t="s">
        <v>2216</v>
      </c>
      <c r="C22" s="37" t="s">
        <v>2217</v>
      </c>
      <c r="D22" s="679"/>
      <c r="E22" s="150"/>
      <c r="F22" s="117"/>
      <c r="G22" s="117"/>
      <c r="H22" s="152"/>
      <c r="I22" s="150"/>
      <c r="J22" s="117"/>
      <c r="K22" s="117"/>
      <c r="L22" s="117"/>
      <c r="M22" s="181"/>
      <c r="N22" s="585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F22&gt;=4),"Благодарность","Нормально"))))),"")</f>
        <v/>
      </c>
      <c r="R22" s="118" t="n">
        <f aca="false">COUNTIF(E22:M22,2)+COUNTIF(E22:M22,1)+COUNTIF(E22:M22,0)</f>
        <v>0</v>
      </c>
    </row>
    <row r="23" customFormat="false" ht="15" hidden="false" customHeight="true" outlineLevel="0" collapsed="false">
      <c r="A23" s="85" t="n">
        <v>16</v>
      </c>
      <c r="B23" s="37" t="s">
        <v>2218</v>
      </c>
      <c r="C23" s="37" t="s">
        <v>2219</v>
      </c>
      <c r="D23" s="679"/>
      <c r="E23" s="150"/>
      <c r="F23" s="117"/>
      <c r="G23" s="117"/>
      <c r="H23" s="152"/>
      <c r="I23" s="150"/>
      <c r="J23" s="117"/>
      <c r="K23" s="117"/>
      <c r="L23" s="117"/>
      <c r="M23" s="181"/>
      <c r="N23" s="585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F23&gt;=4),"Благодарность","Нормально"))))),"")</f>
        <v/>
      </c>
      <c r="R23" s="118" t="n">
        <f aca="false">COUNTIF(E23:M23,2)+COUNTIF(E23:M23,1)+COUNTIF(E23:M23,0)</f>
        <v>0</v>
      </c>
    </row>
    <row r="24" customFormat="false" ht="15" hidden="false" customHeight="true" outlineLevel="0" collapsed="false">
      <c r="A24" s="85" t="n">
        <v>17</v>
      </c>
      <c r="B24" s="37" t="s">
        <v>2220</v>
      </c>
      <c r="C24" s="37" t="s">
        <v>2221</v>
      </c>
      <c r="D24" s="679"/>
      <c r="E24" s="150"/>
      <c r="F24" s="117"/>
      <c r="G24" s="117"/>
      <c r="H24" s="152"/>
      <c r="I24" s="150"/>
      <c r="J24" s="117"/>
      <c r="K24" s="117"/>
      <c r="L24" s="117"/>
      <c r="M24" s="181"/>
      <c r="N24" s="585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F24&gt;=4),"Благодарность","Нормально"))))),"")</f>
        <v/>
      </c>
      <c r="R24" s="118" t="n">
        <f aca="false">COUNTIF(E24:M24,2)+COUNTIF(E24:M24,1)+COUNTIF(E24:M24,0)</f>
        <v>0</v>
      </c>
    </row>
    <row r="25" customFormat="false" ht="15" hidden="false" customHeight="true" outlineLevel="0" collapsed="false">
      <c r="A25" s="85" t="n">
        <v>18</v>
      </c>
      <c r="B25" s="37" t="s">
        <v>2222</v>
      </c>
      <c r="C25" s="37" t="s">
        <v>2223</v>
      </c>
      <c r="D25" s="679"/>
      <c r="E25" s="150"/>
      <c r="F25" s="117"/>
      <c r="G25" s="117"/>
      <c r="H25" s="152"/>
      <c r="I25" s="150"/>
      <c r="J25" s="117"/>
      <c r="K25" s="117"/>
      <c r="L25" s="117"/>
      <c r="M25" s="181"/>
      <c r="N25" s="585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F25&gt;=4),"Благодарность","Нормально"))))),"")</f>
        <v/>
      </c>
      <c r="R25" s="118" t="n">
        <f aca="false">COUNTIF(E25:M25,2)+COUNTIF(E25:M25,1)+COUNTIF(E25:M25,0)</f>
        <v>0</v>
      </c>
    </row>
    <row r="26" customFormat="false" ht="15" hidden="false" customHeight="true" outlineLevel="0" collapsed="false">
      <c r="A26" s="85" t="n">
        <v>19</v>
      </c>
      <c r="B26" s="37" t="s">
        <v>2224</v>
      </c>
      <c r="C26" s="37" t="s">
        <v>2225</v>
      </c>
      <c r="D26" s="679"/>
      <c r="E26" s="150"/>
      <c r="F26" s="117"/>
      <c r="G26" s="117"/>
      <c r="H26" s="152"/>
      <c r="I26" s="150"/>
      <c r="J26" s="117"/>
      <c r="K26" s="117"/>
      <c r="L26" s="117"/>
      <c r="M26" s="181"/>
      <c r="N26" s="585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F26&gt;=4),"Благодарность","Нормально"))))),"")</f>
        <v/>
      </c>
      <c r="R26" s="118" t="n">
        <f aca="false">COUNTIF(E26:M26,2)+COUNTIF(E26:M26,1)+COUNTIF(E26:M26,0)</f>
        <v>0</v>
      </c>
    </row>
    <row r="27" customFormat="false" ht="15" hidden="false" customHeight="true" outlineLevel="0" collapsed="false">
      <c r="A27" s="85" t="n">
        <v>20</v>
      </c>
      <c r="B27" s="37" t="s">
        <v>2226</v>
      </c>
      <c r="C27" s="37" t="s">
        <v>2227</v>
      </c>
      <c r="D27" s="679"/>
      <c r="E27" s="150"/>
      <c r="F27" s="117"/>
      <c r="G27" s="117"/>
      <c r="H27" s="152"/>
      <c r="I27" s="150"/>
      <c r="J27" s="117"/>
      <c r="K27" s="117"/>
      <c r="L27" s="117"/>
      <c r="M27" s="181"/>
      <c r="N27" s="585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F27&gt;=4),"Благодарность","Нормально"))))),"")</f>
        <v/>
      </c>
      <c r="R27" s="118" t="n">
        <f aca="false">COUNTIF(E27:M27,2)+COUNTIF(E27:M27,1)+COUNTIF(E27:M27,0)</f>
        <v>0</v>
      </c>
    </row>
    <row r="28" customFormat="false" ht="15" hidden="false" customHeight="true" outlineLevel="0" collapsed="false">
      <c r="A28" s="85" t="n">
        <v>21</v>
      </c>
      <c r="B28" s="37" t="s">
        <v>2228</v>
      </c>
      <c r="C28" s="37" t="s">
        <v>2229</v>
      </c>
      <c r="D28" s="679"/>
      <c r="E28" s="150"/>
      <c r="F28" s="117"/>
      <c r="G28" s="117"/>
      <c r="H28" s="152"/>
      <c r="I28" s="150"/>
      <c r="J28" s="117"/>
      <c r="K28" s="117"/>
      <c r="L28" s="117"/>
      <c r="M28" s="181"/>
      <c r="N28" s="585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F28&gt;=4),"Благодарность","Нормально"))))),"")</f>
        <v/>
      </c>
      <c r="R28" s="118" t="n">
        <f aca="false">COUNTIF(E28:M28,2)+COUNTIF(E28:M28,1)+COUNTIF(E28:M28,0)</f>
        <v>0</v>
      </c>
    </row>
    <row r="29" s="45" customFormat="true" ht="15" hidden="false" customHeight="true" outlineLevel="0" collapsed="false">
      <c r="A29" s="85" t="n">
        <v>22</v>
      </c>
      <c r="B29" s="37" t="s">
        <v>2230</v>
      </c>
      <c r="C29" s="37" t="s">
        <v>2231</v>
      </c>
      <c r="D29" s="679"/>
      <c r="E29" s="150"/>
      <c r="F29" s="117"/>
      <c r="G29" s="117"/>
      <c r="H29" s="152"/>
      <c r="I29" s="150"/>
      <c r="J29" s="117"/>
      <c r="K29" s="117"/>
      <c r="L29" s="117"/>
      <c r="M29" s="181"/>
      <c r="N29" s="585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F29&gt;=4),"Благодарность","Нормально"))))),"")</f>
        <v/>
      </c>
      <c r="R29" s="118" t="n">
        <f aca="false">COUNTIF(E29:M29,2)+COUNTIF(E29:M29,1)+COUNTIF(E29:M29,0)</f>
        <v>0</v>
      </c>
    </row>
    <row r="30" s="45" customFormat="true" ht="15" hidden="false" customHeight="true" outlineLevel="0" collapsed="false">
      <c r="A30" s="85" t="n">
        <v>23</v>
      </c>
      <c r="B30" s="37" t="s">
        <v>2232</v>
      </c>
      <c r="C30" s="37" t="s">
        <v>2233</v>
      </c>
      <c r="D30" s="679"/>
      <c r="E30" s="150"/>
      <c r="F30" s="117"/>
      <c r="G30" s="117"/>
      <c r="H30" s="152"/>
      <c r="I30" s="150"/>
      <c r="J30" s="117"/>
      <c r="K30" s="117"/>
      <c r="L30" s="117"/>
      <c r="M30" s="181"/>
      <c r="N30" s="585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F30&gt;=4),"Благодарность","Нормально"))))),"")</f>
        <v/>
      </c>
      <c r="R30" s="118" t="n">
        <f aca="false">COUNTIF(E30:M30,2)+COUNTIF(E30:M30,1)+COUNTIF(E30:M30,0)</f>
        <v>0</v>
      </c>
    </row>
    <row r="31" s="45" customFormat="true" ht="15" hidden="false" customHeight="true" outlineLevel="0" collapsed="false">
      <c r="A31" s="85" t="n">
        <v>24</v>
      </c>
      <c r="B31" s="37" t="s">
        <v>2234</v>
      </c>
      <c r="C31" s="37" t="s">
        <v>2235</v>
      </c>
      <c r="D31" s="679"/>
      <c r="E31" s="150"/>
      <c r="F31" s="117"/>
      <c r="G31" s="117"/>
      <c r="H31" s="152"/>
      <c r="I31" s="150"/>
      <c r="J31" s="117"/>
      <c r="K31" s="117"/>
      <c r="L31" s="117"/>
      <c r="M31" s="181"/>
      <c r="N31" s="585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F31&gt;=4),"Благодарность","Нормально"))))),"")</f>
        <v/>
      </c>
      <c r="R31" s="118" t="n">
        <f aca="false">COUNTIF(E31:M31,2)+COUNTIF(E31:M31,1)+COUNTIF(E31:M31,0)</f>
        <v>0</v>
      </c>
    </row>
    <row r="32" s="45" customFormat="true" ht="15" hidden="false" customHeight="true" outlineLevel="0" collapsed="false">
      <c r="A32" s="85" t="n">
        <v>25</v>
      </c>
      <c r="B32" s="37" t="s">
        <v>2236</v>
      </c>
      <c r="C32" s="37" t="s">
        <v>2237</v>
      </c>
      <c r="D32" s="679"/>
      <c r="E32" s="150"/>
      <c r="F32" s="117"/>
      <c r="G32" s="117"/>
      <c r="H32" s="152"/>
      <c r="I32" s="150"/>
      <c r="J32" s="117"/>
      <c r="K32" s="117"/>
      <c r="L32" s="117"/>
      <c r="M32" s="181"/>
      <c r="N32" s="585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F32&gt;=4),"Благодарность","Нормально"))))),"")</f>
        <v/>
      </c>
      <c r="R32" s="118" t="n">
        <f aca="false">COUNTIF(E32:M32,2)+COUNTIF(E32:M32,1)+COUNTIF(E32:M32,0)</f>
        <v>0</v>
      </c>
    </row>
    <row r="33" s="45" customFormat="true" ht="15" hidden="false" customHeight="true" outlineLevel="0" collapsed="false">
      <c r="A33" s="85" t="n">
        <v>26</v>
      </c>
      <c r="B33" s="37" t="s">
        <v>2238</v>
      </c>
      <c r="C33" s="37" t="s">
        <v>2239</v>
      </c>
      <c r="D33" s="679"/>
      <c r="E33" s="150"/>
      <c r="F33" s="117"/>
      <c r="G33" s="117"/>
      <c r="H33" s="152"/>
      <c r="I33" s="150"/>
      <c r="J33" s="117"/>
      <c r="K33" s="117"/>
      <c r="L33" s="117"/>
      <c r="M33" s="181"/>
      <c r="N33" s="585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F33&gt;=4),"Благодарность","Нормально"))))),"")</f>
        <v/>
      </c>
      <c r="R33" s="118" t="n">
        <f aca="false">COUNTIF(E33:M33,2)+COUNTIF(E33:M33,1)+COUNTIF(E33:M33,0)</f>
        <v>0</v>
      </c>
    </row>
    <row r="34" s="45" customFormat="true" ht="15" hidden="false" customHeight="true" outlineLevel="0" collapsed="false">
      <c r="A34" s="85" t="n">
        <v>27</v>
      </c>
      <c r="B34" s="37" t="s">
        <v>2240</v>
      </c>
      <c r="C34" s="37" t="s">
        <v>2241</v>
      </c>
      <c r="D34" s="679"/>
      <c r="E34" s="150"/>
      <c r="F34" s="117"/>
      <c r="G34" s="117"/>
      <c r="H34" s="152"/>
      <c r="I34" s="150"/>
      <c r="J34" s="117"/>
      <c r="K34" s="117"/>
      <c r="L34" s="117"/>
      <c r="M34" s="181"/>
      <c r="N34" s="585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5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F34&gt;=4),"Благодарность","Нормально"))))),"")</f>
        <v/>
      </c>
      <c r="R34" s="118" t="n">
        <f aca="false">COUNTIF(E34:M34,2)+COUNTIF(E34:M34,1)+COUNTIF(E34:M34,0)</f>
        <v>0</v>
      </c>
    </row>
    <row r="35" customFormat="false" ht="15" hidden="false" customHeight="true" outlineLevel="0" collapsed="false">
      <c r="A35" s="0" t="s">
        <v>77</v>
      </c>
      <c r="D35" s="209"/>
      <c r="E35" s="210" t="e">
        <f aca="false">AVERAGE(E8:E34)</f>
        <v>#DIV/0!</v>
      </c>
      <c r="F35" s="210" t="e">
        <f aca="false">AVERAGE(F8:F34)</f>
        <v>#DIV/0!</v>
      </c>
      <c r="G35" s="210" t="e">
        <f aca="false">AVERAGE(G8:G34)</f>
        <v>#DIV/0!</v>
      </c>
      <c r="H35" s="210" t="e">
        <f aca="false">AVERAGE(H8:H34)</f>
        <v>#DIV/0!</v>
      </c>
      <c r="I35" s="210" t="e">
        <f aca="false">AVERAGE(I8:I34)</f>
        <v>#DIV/0!</v>
      </c>
      <c r="J35" s="210" t="e">
        <f aca="false">AVERAGE(J8:J34)</f>
        <v>#DIV/0!</v>
      </c>
      <c r="K35" s="210" t="e">
        <f aca="false">AVERAGE(K8:K34)</f>
        <v>#DIV/0!</v>
      </c>
      <c r="L35" s="210" t="e">
        <f aca="false">AVERAGE(L8:L34)</f>
        <v>#DIV/0!</v>
      </c>
      <c r="M35" s="210" t="e">
        <f aca="false">AVERAGE(M8:M34)</f>
        <v>#DIV/0!</v>
      </c>
      <c r="N35" s="48"/>
      <c r="O35" s="48"/>
      <c r="P35" s="535"/>
    </row>
    <row r="36" customFormat="false" ht="15" hidden="false" customHeight="true" outlineLevel="0" collapsed="false">
      <c r="A36" s="0" t="s">
        <v>78</v>
      </c>
      <c r="D36" s="209"/>
      <c r="E36" s="137" t="e">
        <f aca="false">(COUNTIF(E8:E34,5)+COUNTIF(E8:E34,4)+COUNTIF(E8:E34,3))/$Q$41*100</f>
        <v>#DIV/0!</v>
      </c>
      <c r="F36" s="137" t="e">
        <f aca="false">(COUNTIF(F8:F34,5)+COUNTIF(F8:F34,4)+COUNTIF(F8:F34,3))/$Q$41*100</f>
        <v>#DIV/0!</v>
      </c>
      <c r="G36" s="137" t="e">
        <f aca="false">(COUNTIF(G8:G34,5)+COUNTIF(G8:G34,4)+COUNTIF(G8:G34,3))/$Q$41*100</f>
        <v>#DIV/0!</v>
      </c>
      <c r="H36" s="137" t="e">
        <f aca="false">(COUNTIF(H8:H34,5)+COUNTIF(H8:H34,4)+COUNTIF(H8:H34,3))/$Q$41*100</f>
        <v>#DIV/0!</v>
      </c>
      <c r="I36" s="137" t="e">
        <f aca="false">(COUNTIF(I8:I34,5)+COUNTIF(I8:I34,4)+COUNTIF(I8:I34,3))/$Q$41*100</f>
        <v>#DIV/0!</v>
      </c>
      <c r="J36" s="137" t="e">
        <f aca="false">(COUNTIF(J8:J34,5)+COUNTIF(J8:J34,4)+COUNTIF(J8:J34,3))/$Q$41*100</f>
        <v>#DIV/0!</v>
      </c>
      <c r="K36" s="137" t="e">
        <f aca="false">(COUNTIF(K8:K34,5)+COUNTIF(K8:K34,4)+COUNTIF(K8:K34,3))/$Q$41*100</f>
        <v>#DIV/0!</v>
      </c>
      <c r="L36" s="137" t="e">
        <f aca="false">(COUNTIF(L8:L34,5)+COUNTIF(L8:L34,4)+COUNTIF(L8:L34,3))/$Q$41*100</f>
        <v>#DIV/0!</v>
      </c>
      <c r="M36" s="137" t="e">
        <f aca="false">(COUNTIF(M8:M34,5)+COUNTIF(M8:M34,4)+COUNTIF(M8:M34,3))/$Q$41*100</f>
        <v>#DIV/0!</v>
      </c>
      <c r="N36" s="48"/>
      <c r="O36" s="48"/>
      <c r="P36" s="49"/>
    </row>
    <row r="37" customFormat="false" ht="15" hidden="false" customHeight="true" outlineLevel="0" collapsed="false">
      <c r="D37" s="46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8"/>
      <c r="P37" s="48"/>
      <c r="Q37" s="49"/>
    </row>
    <row r="38" customFormat="false" ht="15" hidden="false" customHeight="true" outlineLevel="0" collapsed="false">
      <c r="E38" s="48"/>
      <c r="F38" s="48"/>
      <c r="G38" s="48"/>
      <c r="H38" s="48"/>
      <c r="I38" s="48"/>
      <c r="J38" s="48"/>
      <c r="K38" s="48"/>
      <c r="N38" s="48"/>
      <c r="O38" s="48"/>
      <c r="P38" s="48"/>
      <c r="Q38" s="48"/>
      <c r="R38" s="48"/>
    </row>
    <row r="39" customFormat="false" ht="15" hidden="false" customHeight="true" outlineLevel="0" collapsed="false">
      <c r="B39" s="50"/>
      <c r="C39" s="50" t="s">
        <v>8</v>
      </c>
      <c r="D39" s="51" t="str">
        <f aca="false">IFERROR(AVERAGE(N8:N34),"")</f>
        <v/>
      </c>
      <c r="E39" s="52" t="s">
        <v>9</v>
      </c>
      <c r="F39" s="52"/>
      <c r="G39" s="53" t="str">
        <f aca="false">IFERROR(COUNTIF(O8:O34,"Успевает")/Q41*100,"")</f>
        <v/>
      </c>
      <c r="H39" s="319" t="s">
        <v>79</v>
      </c>
      <c r="I39" s="319"/>
      <c r="J39" s="454" t="str">
        <f aca="false">IFERROR(AVERAGE(P8:P34),"")</f>
        <v/>
      </c>
      <c r="K39" s="52"/>
      <c r="L39" s="52"/>
      <c r="M39" s="52"/>
      <c r="N39" s="52"/>
      <c r="O39" s="48"/>
      <c r="P39" s="48"/>
      <c r="Q39" s="48"/>
      <c r="R39" s="48"/>
    </row>
    <row r="40" customFormat="false" ht="15" hidden="false" customHeight="true" outlineLevel="0" collapsed="false">
      <c r="B40" s="50"/>
      <c r="C40" s="50"/>
      <c r="D40" s="50"/>
      <c r="E40" s="56"/>
      <c r="F40" s="56"/>
      <c r="G40" s="56"/>
      <c r="H40" s="56"/>
      <c r="I40" s="56"/>
      <c r="J40" s="56"/>
      <c r="K40" s="56"/>
      <c r="L40" s="56"/>
      <c r="M40" s="56"/>
      <c r="N40" s="56"/>
      <c r="R40" s="59"/>
    </row>
    <row r="41" customFormat="false" ht="15" hidden="false" customHeight="true" outlineLevel="0" collapsed="false">
      <c r="A41" s="50"/>
      <c r="B41" s="61" t="s">
        <v>81</v>
      </c>
      <c r="C41" s="61"/>
      <c r="D41" s="61"/>
      <c r="E41" s="61"/>
      <c r="F41" s="61"/>
      <c r="G41" s="61"/>
      <c r="H41" s="61"/>
      <c r="I41" s="61"/>
      <c r="J41" s="61"/>
      <c r="K41" s="61" t="s">
        <v>82</v>
      </c>
      <c r="L41" s="61"/>
      <c r="M41" s="61"/>
      <c r="N41" s="138"/>
      <c r="O41" s="57" t="s">
        <v>80</v>
      </c>
      <c r="P41" s="57"/>
      <c r="Q41" s="58" t="n">
        <f aca="false">SUM(Q42,Q43)</f>
        <v>0</v>
      </c>
      <c r="R41" s="64"/>
    </row>
    <row r="42" customFormat="false" ht="15" hidden="false" customHeight="true" outlineLevel="0" collapsed="false">
      <c r="A42" s="50"/>
      <c r="B42" s="65" t="str">
        <f aca="false">$E$6</f>
        <v> Аналитическая геометрия и линейная алгебра</v>
      </c>
      <c r="C42" s="65"/>
      <c r="D42" s="65"/>
      <c r="E42" s="65"/>
      <c r="F42" s="65"/>
      <c r="G42" s="65"/>
      <c r="H42" s="65"/>
      <c r="I42" s="65"/>
      <c r="J42" s="65"/>
      <c r="K42" s="66"/>
      <c r="L42" s="66"/>
      <c r="M42" s="66"/>
      <c r="N42" s="139"/>
      <c r="O42" s="57" t="s">
        <v>83</v>
      </c>
      <c r="P42" s="57"/>
      <c r="Q42" s="58" t="n">
        <f aca="false">COUNTIF(O8:O34,"Успевает")</f>
        <v>0</v>
      </c>
      <c r="R42" s="99"/>
    </row>
    <row r="43" customFormat="false" ht="15" hidden="false" customHeight="true" outlineLevel="0" collapsed="false">
      <c r="A43" s="50"/>
      <c r="B43" s="65" t="str">
        <f aca="false">$F$6</f>
        <v> Инженерная графика</v>
      </c>
      <c r="C43" s="65"/>
      <c r="D43" s="65"/>
      <c r="E43" s="65"/>
      <c r="F43" s="65"/>
      <c r="G43" s="65"/>
      <c r="H43" s="65"/>
      <c r="I43" s="65"/>
      <c r="J43" s="65"/>
      <c r="K43" s="66"/>
      <c r="L43" s="66"/>
      <c r="M43" s="66"/>
      <c r="N43" s="139"/>
      <c r="O43" s="98" t="s">
        <v>84</v>
      </c>
      <c r="P43" s="98"/>
      <c r="Q43" s="58" t="n">
        <f aca="false">COUNTIF(O8:O34,"Не успевает")</f>
        <v>0</v>
      </c>
      <c r="R43" s="64"/>
    </row>
    <row r="44" customFormat="false" ht="15" hidden="false" customHeight="true" outlineLevel="0" collapsed="false">
      <c r="A44" s="50"/>
      <c r="B44" s="65" t="str">
        <f aca="false">$G$6</f>
        <v> Математический анализ</v>
      </c>
      <c r="C44" s="65"/>
      <c r="D44" s="65"/>
      <c r="E44" s="65"/>
      <c r="F44" s="65"/>
      <c r="G44" s="65"/>
      <c r="H44" s="65"/>
      <c r="I44" s="65"/>
      <c r="J44" s="65"/>
      <c r="K44" s="66"/>
      <c r="L44" s="66"/>
      <c r="M44" s="66"/>
      <c r="N44" s="139"/>
      <c r="O44" s="98" t="s">
        <v>85</v>
      </c>
      <c r="P44" s="98"/>
      <c r="Q44" s="58" t="n">
        <f aca="false">COUNTIF(Q8:Q34,"Благодарность")</f>
        <v>0</v>
      </c>
      <c r="R44" s="48"/>
    </row>
    <row r="45" customFormat="false" ht="15" hidden="false" customHeight="true" outlineLevel="0" collapsed="false">
      <c r="A45" s="50"/>
      <c r="B45" s="65" t="str">
        <f aca="false">$H$6</f>
        <v> Основы программирования</v>
      </c>
      <c r="C45" s="65"/>
      <c r="D45" s="65"/>
      <c r="E45" s="65"/>
      <c r="F45" s="65"/>
      <c r="G45" s="65"/>
      <c r="H45" s="65"/>
      <c r="I45" s="65"/>
      <c r="J45" s="65"/>
      <c r="K45" s="66"/>
      <c r="L45" s="66"/>
      <c r="M45" s="66"/>
      <c r="N45" s="139"/>
      <c r="O45" s="98" t="s">
        <v>86</v>
      </c>
      <c r="P45" s="98"/>
      <c r="Q45" s="58" t="n">
        <f aca="false">COUNTIF(Q8:Q34,"Нормально")</f>
        <v>0</v>
      </c>
      <c r="R45" s="48"/>
    </row>
    <row r="46" customFormat="false" ht="15" hidden="false" customHeight="true" outlineLevel="0" collapsed="false">
      <c r="A46" s="50"/>
      <c r="B46" s="65" t="str">
        <f aca="false">$I$6</f>
        <v>Иностранный язык</v>
      </c>
      <c r="C46" s="65"/>
      <c r="D46" s="65"/>
      <c r="E46" s="65"/>
      <c r="F46" s="65"/>
      <c r="G46" s="65"/>
      <c r="H46" s="65"/>
      <c r="I46" s="65"/>
      <c r="J46" s="65"/>
      <c r="K46" s="66"/>
      <c r="L46" s="66"/>
      <c r="M46" s="66"/>
      <c r="N46" s="139"/>
      <c r="O46" s="98" t="s">
        <v>87</v>
      </c>
      <c r="P46" s="98"/>
      <c r="Q46" s="58" t="n">
        <f aca="false">COUNTIF(Q8:Q34,"Предупреждение")</f>
        <v>0</v>
      </c>
      <c r="R46" s="48"/>
    </row>
    <row r="47" customFormat="false" ht="15" hidden="false" customHeight="true" outlineLevel="0" collapsed="false">
      <c r="A47" s="50"/>
      <c r="B47" s="65" t="str">
        <f aca="false">$J$6</f>
        <v> История России</v>
      </c>
      <c r="C47" s="65"/>
      <c r="D47" s="65"/>
      <c r="E47" s="65"/>
      <c r="F47" s="65"/>
      <c r="G47" s="65"/>
      <c r="H47" s="65"/>
      <c r="I47" s="65"/>
      <c r="J47" s="65"/>
      <c r="K47" s="66"/>
      <c r="L47" s="66"/>
      <c r="M47" s="66"/>
      <c r="N47" s="139"/>
      <c r="O47" s="98" t="s">
        <v>88</v>
      </c>
      <c r="P47" s="98"/>
      <c r="Q47" s="58" t="n">
        <f aca="false">COUNTIF(Q8:Q34,"Выговор")</f>
        <v>0</v>
      </c>
      <c r="R47" s="48"/>
    </row>
    <row r="48" customFormat="false" ht="15" hidden="false" customHeight="true" outlineLevel="0" collapsed="false">
      <c r="A48" s="50"/>
      <c r="B48" s="65" t="str">
        <f aca="false">$K$6</f>
        <v> Теоретическая информатика</v>
      </c>
      <c r="C48" s="65"/>
      <c r="D48" s="65"/>
      <c r="E48" s="65"/>
      <c r="F48" s="65"/>
      <c r="G48" s="65"/>
      <c r="H48" s="65"/>
      <c r="I48" s="65"/>
      <c r="J48" s="65"/>
      <c r="K48" s="66"/>
      <c r="L48" s="66"/>
      <c r="M48" s="66"/>
      <c r="N48" s="139"/>
      <c r="O48" s="442" t="s">
        <v>1575</v>
      </c>
      <c r="P48" s="380"/>
      <c r="Q48" s="143" t="n">
        <f aca="false">SUM(R8:R34)</f>
        <v>0</v>
      </c>
      <c r="R48" s="48"/>
    </row>
    <row r="49" customFormat="false" ht="15" hidden="false" customHeight="true" outlineLevel="0" collapsed="false">
      <c r="A49" s="50"/>
      <c r="B49" s="65" t="str">
        <f aca="false">$L$6</f>
        <v> Учебно-технологический практикум</v>
      </c>
      <c r="C49" s="65"/>
      <c r="D49" s="65"/>
      <c r="E49" s="65"/>
      <c r="F49" s="65"/>
      <c r="G49" s="65"/>
      <c r="H49" s="65"/>
      <c r="I49" s="65"/>
      <c r="J49" s="65"/>
      <c r="K49" s="66"/>
      <c r="L49" s="66"/>
      <c r="M49" s="66"/>
      <c r="N49" s="139"/>
      <c r="O49" s="67"/>
      <c r="P49" s="67"/>
      <c r="Q49" s="48"/>
      <c r="R49" s="48"/>
    </row>
    <row r="50" customFormat="false" ht="15" hidden="false" customHeight="true" outlineLevel="0" collapsed="false">
      <c r="A50" s="50"/>
      <c r="B50" s="65" t="str">
        <f aca="false">$M$6</f>
        <v>Физическая культура и спорт</v>
      </c>
      <c r="C50" s="65"/>
      <c r="D50" s="65"/>
      <c r="E50" s="65"/>
      <c r="F50" s="65"/>
      <c r="G50" s="65"/>
      <c r="H50" s="65"/>
      <c r="I50" s="65"/>
      <c r="J50" s="65"/>
      <c r="K50" s="66"/>
      <c r="L50" s="66"/>
      <c r="M50" s="66"/>
      <c r="N50" s="139"/>
      <c r="O50" s="67"/>
      <c r="P50" s="67"/>
      <c r="Q50" s="48"/>
      <c r="R50" s="48"/>
    </row>
    <row r="51" customFormat="false" ht="15" hidden="false" customHeight="true" outlineLevel="0" collapsed="false">
      <c r="A51" s="50"/>
      <c r="B51" s="139"/>
      <c r="C51" s="139"/>
      <c r="D51" s="139"/>
      <c r="E51" s="139"/>
      <c r="F51" s="139"/>
      <c r="G51" s="139"/>
      <c r="H51" s="139"/>
      <c r="I51" s="139"/>
      <c r="J51" s="139"/>
      <c r="K51" s="139"/>
      <c r="L51" s="50"/>
      <c r="M51" s="50"/>
      <c r="N51" s="50"/>
      <c r="O51" s="48"/>
      <c r="P51" s="48"/>
      <c r="Q51" s="48"/>
      <c r="R51" s="48"/>
    </row>
    <row r="52" customFormat="false" ht="15" hidden="false" customHeight="true" outlineLevel="0" collapsed="false">
      <c r="A52" s="50"/>
      <c r="B52" s="428" t="s">
        <v>89</v>
      </c>
      <c r="C52" s="449" t="s">
        <v>2242</v>
      </c>
      <c r="D52" s="449"/>
      <c r="E52" s="67"/>
      <c r="F52" s="52" t="s">
        <v>369</v>
      </c>
      <c r="G52" s="300" t="s">
        <v>2188</v>
      </c>
      <c r="H52" s="52"/>
      <c r="I52" s="52"/>
      <c r="J52" s="52"/>
      <c r="K52" s="52"/>
      <c r="L52" s="50"/>
      <c r="M52" s="50"/>
      <c r="N52" s="50"/>
      <c r="R52" s="48"/>
    </row>
    <row r="53" customFormat="false" ht="15" hidden="false" customHeight="true" outlineLevel="0" collapsed="false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R53" s="48"/>
    </row>
    <row r="54" customFormat="false" ht="15" hidden="false" customHeight="true" outlineLevel="0" collapsed="false">
      <c r="A54" s="50"/>
      <c r="B54" s="50" t="s">
        <v>93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R54" s="48"/>
    </row>
    <row r="55" customFormat="false" ht="15" hidden="false" customHeight="true" outlineLevel="0" collapsed="false">
      <c r="A55" s="50"/>
      <c r="B55" s="50" t="s">
        <v>94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R55" s="48"/>
    </row>
    <row r="56" customFormat="false" ht="15" hidden="false" customHeight="true" outlineLevel="0" collapsed="false">
      <c r="A56" s="50"/>
      <c r="B56" s="50" t="s">
        <v>95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R56" s="48"/>
    </row>
    <row r="57" customFormat="false" ht="15" hidden="false" customHeight="true" outlineLevel="0" collapsed="false">
      <c r="B57" s="50" t="s">
        <v>96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</row>
    <row r="58" customFormat="false" ht="15" hidden="false" customHeight="true" outlineLevel="0" collapsed="false">
      <c r="B58" s="50" t="s">
        <v>97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</row>
    <row r="59" customFormat="false" ht="15" hidden="false" customHeight="true" outlineLevel="0" collapsed="false">
      <c r="B59" s="50" t="s">
        <v>98</v>
      </c>
      <c r="C59" s="50"/>
      <c r="D59" s="50"/>
      <c r="E59" s="50"/>
      <c r="F59" s="50"/>
      <c r="G59" s="50"/>
      <c r="H59" s="50"/>
      <c r="I59" s="50"/>
      <c r="J59" s="50"/>
      <c r="K59" s="50"/>
    </row>
    <row r="60" customFormat="false" ht="15" hidden="false" customHeight="true" outlineLevel="0" collapsed="false">
      <c r="B60" s="50" t="s">
        <v>99</v>
      </c>
      <c r="C60" s="50"/>
      <c r="D60" s="50"/>
      <c r="E60" s="50"/>
      <c r="F60" s="50"/>
      <c r="G60" s="50"/>
      <c r="H60" s="50"/>
      <c r="I60" s="50"/>
      <c r="J60" s="50"/>
      <c r="K60" s="50"/>
    </row>
    <row r="61" customFormat="false" ht="15" hidden="false" customHeight="true" outlineLevel="0" collapsed="false"/>
    <row r="62" customFormat="false" ht="15" hidden="false" customHeight="true" outlineLevel="0" collapsed="false"/>
  </sheetData>
  <mergeCells count="43">
    <mergeCell ref="E1:H1"/>
    <mergeCell ref="L2:O2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9:I39"/>
    <mergeCell ref="B41:J41"/>
    <mergeCell ref="K41:M41"/>
    <mergeCell ref="O41:P41"/>
    <mergeCell ref="B42:J42"/>
    <mergeCell ref="K42:M42"/>
    <mergeCell ref="O42:P42"/>
    <mergeCell ref="B43:J43"/>
    <mergeCell ref="K43:M43"/>
    <mergeCell ref="O43:P43"/>
    <mergeCell ref="B44:J44"/>
    <mergeCell ref="K44:M44"/>
    <mergeCell ref="O44:P44"/>
    <mergeCell ref="B45:J45"/>
    <mergeCell ref="K45:M45"/>
    <mergeCell ref="O45:P45"/>
    <mergeCell ref="B46:J46"/>
    <mergeCell ref="K46:M46"/>
    <mergeCell ref="O46:P46"/>
    <mergeCell ref="B47:J47"/>
    <mergeCell ref="K47:M47"/>
    <mergeCell ref="O47:P47"/>
    <mergeCell ref="B48:J48"/>
    <mergeCell ref="K48:M48"/>
    <mergeCell ref="B49:J49"/>
    <mergeCell ref="K49:M49"/>
    <mergeCell ref="B50:J50"/>
    <mergeCell ref="K50:M50"/>
    <mergeCell ref="C52:D52"/>
  </mergeCells>
  <conditionalFormatting sqref="J29:J3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E3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1:I12 F11:G12 K11:K1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1:J1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3:J28 J8:J1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2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1:M1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2:M12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3:I28 F13:G28 F8:I10 K13:M28 K8:M10 H11:H28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9:M34 F29:I34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7:N37 E35:M36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67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A30" activeCellId="0" sqref="A30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71"/>
    <col collapsed="false" customWidth="true" hidden="false" outlineLevel="0" max="3" min="3" style="0" width="20"/>
    <col collapsed="false" customWidth="true" hidden="false" outlineLevel="0" max="5" min="5" style="0" width="12.71"/>
    <col collapsed="false" customWidth="true" hidden="false" outlineLevel="0" max="15" min="15" style="0" width="10.85"/>
    <col collapsed="false" customWidth="true" hidden="false" outlineLevel="0" max="17" min="17" style="0" width="16.29"/>
    <col collapsed="false" customWidth="true" hidden="false" outlineLevel="0" max="18" min="18" style="0" width="4"/>
    <col collapsed="false" customWidth="true" hidden="false" outlineLevel="0" max="19" min="19" style="0" width="3.57"/>
    <col collapsed="false" customWidth="true" hidden="false" outlineLevel="0" max="20" min="20" style="0" width="4.71"/>
    <col collapsed="false" customWidth="true" hidden="false" outlineLevel="0" max="21" min="21" style="0" width="4.57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 t="s">
        <v>1</v>
      </c>
      <c r="M2" s="72"/>
      <c r="N2" s="72"/>
      <c r="O2" s="146" t="n">
        <f aca="false">set!B4</f>
        <v>45608</v>
      </c>
      <c r="P2" s="72"/>
      <c r="Q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ИУК5-31Б факультета ИУК МГТУ им. Н.Э. Баумана"</f>
        <v>Успеваемость студентов за 1 семестр 24/25 учебного года по группе ИУК5-31Б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20" t="s">
        <v>1575</v>
      </c>
    </row>
    <row r="6" customFormat="false" ht="131.25" hidden="false" customHeight="true" outlineLevel="0" collapsed="false">
      <c r="A6" s="8"/>
      <c r="B6" s="8"/>
      <c r="C6" s="8"/>
      <c r="D6" s="9"/>
      <c r="E6" s="339" t="s">
        <v>2243</v>
      </c>
      <c r="F6" s="405" t="s">
        <v>734</v>
      </c>
      <c r="G6" s="340" t="s">
        <v>735</v>
      </c>
      <c r="H6" s="342" t="s">
        <v>736</v>
      </c>
      <c r="I6" s="405" t="s">
        <v>1646</v>
      </c>
      <c r="J6" s="340" t="s">
        <v>18</v>
      </c>
      <c r="K6" s="340" t="s">
        <v>2244</v>
      </c>
      <c r="L6" s="340" t="s">
        <v>170</v>
      </c>
      <c r="M6" s="342" t="s">
        <v>147</v>
      </c>
      <c r="N6" s="391"/>
      <c r="O6" s="391"/>
      <c r="P6" s="391"/>
      <c r="Q6" s="14"/>
      <c r="R6" s="620"/>
    </row>
    <row r="7" customFormat="false" ht="24.75" hidden="false" customHeight="true" outlineLevel="0" collapsed="false">
      <c r="A7" s="8"/>
      <c r="B7" s="8"/>
      <c r="C7" s="8"/>
      <c r="D7" s="9"/>
      <c r="E7" s="343" t="s">
        <v>547</v>
      </c>
      <c r="F7" s="407" t="s">
        <v>509</v>
      </c>
      <c r="G7" s="344" t="s">
        <v>741</v>
      </c>
      <c r="H7" s="345" t="s">
        <v>22</v>
      </c>
      <c r="I7" s="343" t="s">
        <v>742</v>
      </c>
      <c r="J7" s="344" t="s">
        <v>27</v>
      </c>
      <c r="K7" s="344" t="s">
        <v>1004</v>
      </c>
      <c r="L7" s="344" t="s">
        <v>175</v>
      </c>
      <c r="M7" s="346" t="s">
        <v>176</v>
      </c>
      <c r="N7" s="391"/>
      <c r="O7" s="391"/>
      <c r="P7" s="391"/>
      <c r="Q7" s="14"/>
      <c r="R7" s="620"/>
    </row>
    <row r="8" customFormat="false" ht="15" hidden="false" customHeight="true" outlineLevel="0" collapsed="false">
      <c r="A8" s="543" t="n">
        <v>1</v>
      </c>
      <c r="B8" s="45" t="s">
        <v>2245</v>
      </c>
      <c r="C8" s="543" t="s">
        <v>2246</v>
      </c>
      <c r="D8" s="682"/>
      <c r="E8" s="683"/>
      <c r="F8" s="684"/>
      <c r="G8" s="684"/>
      <c r="H8" s="685"/>
      <c r="I8" s="686"/>
      <c r="J8" s="684"/>
      <c r="K8" s="684"/>
      <c r="L8" s="684"/>
      <c r="M8" s="685"/>
      <c r="N8" s="597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608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2247</v>
      </c>
      <c r="C9" s="37" t="s">
        <v>2248</v>
      </c>
      <c r="D9" s="682"/>
      <c r="E9" s="687"/>
      <c r="F9" s="688"/>
      <c r="G9" s="688"/>
      <c r="H9" s="689"/>
      <c r="I9" s="690"/>
      <c r="J9" s="688"/>
      <c r="K9" s="688"/>
      <c r="L9" s="688"/>
      <c r="M9" s="689"/>
      <c r="N9" s="598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437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2249</v>
      </c>
      <c r="C10" s="37" t="s">
        <v>2250</v>
      </c>
      <c r="D10" s="682"/>
      <c r="E10" s="687"/>
      <c r="F10" s="688"/>
      <c r="G10" s="688"/>
      <c r="H10" s="689"/>
      <c r="I10" s="690"/>
      <c r="J10" s="688"/>
      <c r="K10" s="688"/>
      <c r="L10" s="688"/>
      <c r="M10" s="689"/>
      <c r="N10" s="598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437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2251</v>
      </c>
      <c r="C11" s="37" t="s">
        <v>2252</v>
      </c>
      <c r="D11" s="682"/>
      <c r="E11" s="687"/>
      <c r="F11" s="688"/>
      <c r="G11" s="688"/>
      <c r="H11" s="689"/>
      <c r="I11" s="690"/>
      <c r="J11" s="688"/>
      <c r="K11" s="688"/>
      <c r="L11" s="688"/>
      <c r="M11" s="689"/>
      <c r="N11" s="598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437" t="n">
        <f aca="false">COUNTIF(E11:M11,2)+COUNTIF(E11:M11,1)+COUNTIF(E11:M11,0)</f>
        <v>0</v>
      </c>
    </row>
    <row r="12" s="45" customFormat="true" ht="15" hidden="false" customHeight="true" outlineLevel="0" collapsed="false">
      <c r="A12" s="37" t="n">
        <v>5</v>
      </c>
      <c r="B12" s="37" t="s">
        <v>2253</v>
      </c>
      <c r="C12" s="37" t="s">
        <v>2254</v>
      </c>
      <c r="D12" s="682"/>
      <c r="E12" s="683"/>
      <c r="F12" s="684"/>
      <c r="G12" s="684"/>
      <c r="H12" s="685"/>
      <c r="I12" s="686"/>
      <c r="J12" s="684"/>
      <c r="K12" s="684"/>
      <c r="L12" s="684"/>
      <c r="M12" s="685"/>
      <c r="N12" s="598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437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2255</v>
      </c>
      <c r="C13" s="37" t="s">
        <v>2256</v>
      </c>
      <c r="D13" s="682"/>
      <c r="E13" s="687"/>
      <c r="F13" s="688"/>
      <c r="G13" s="688"/>
      <c r="H13" s="689"/>
      <c r="I13" s="690"/>
      <c r="J13" s="688"/>
      <c r="K13" s="688"/>
      <c r="L13" s="688"/>
      <c r="M13" s="689"/>
      <c r="N13" s="598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437" t="n">
        <f aca="false">COUNTIF(E13:M13,2)+COUNTIF(E13:M13,1)+COUNTIF(E13:M13,0)</f>
        <v>0</v>
      </c>
    </row>
    <row r="14" s="45" customFormat="true" ht="15" hidden="false" customHeight="true" outlineLevel="0" collapsed="false">
      <c r="A14" s="37" t="n">
        <v>7</v>
      </c>
      <c r="B14" s="37" t="s">
        <v>2257</v>
      </c>
      <c r="C14" s="37" t="s">
        <v>2258</v>
      </c>
      <c r="D14" s="682"/>
      <c r="E14" s="687"/>
      <c r="F14" s="688"/>
      <c r="G14" s="688"/>
      <c r="H14" s="689"/>
      <c r="I14" s="690"/>
      <c r="J14" s="688"/>
      <c r="K14" s="688"/>
      <c r="L14" s="688"/>
      <c r="M14" s="689"/>
      <c r="N14" s="598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437" t="n">
        <f aca="false">COUNTIF(E14:M14,2)+COUNTIF(E14:M14,1)+COUNTIF(E14:M14,0)</f>
        <v>0</v>
      </c>
    </row>
    <row r="15" s="45" customFormat="true" ht="15" hidden="false" customHeight="true" outlineLevel="0" collapsed="false">
      <c r="A15" s="37" t="n">
        <v>8</v>
      </c>
      <c r="B15" s="37" t="s">
        <v>2259</v>
      </c>
      <c r="C15" s="37" t="s">
        <v>2260</v>
      </c>
      <c r="D15" s="682"/>
      <c r="E15" s="687"/>
      <c r="F15" s="688"/>
      <c r="G15" s="688"/>
      <c r="H15" s="689"/>
      <c r="I15" s="690"/>
      <c r="J15" s="688"/>
      <c r="K15" s="688"/>
      <c r="L15" s="688"/>
      <c r="M15" s="689"/>
      <c r="N15" s="598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437" t="n">
        <f aca="false">COUNTIF(E15:M15,2)+COUNTIF(E15:M15,1)+COUNTIF(E15:M15,0)</f>
        <v>0</v>
      </c>
    </row>
    <row r="16" customFormat="false" ht="12" hidden="false" customHeight="true" outlineLevel="0" collapsed="false">
      <c r="A16" s="37" t="n">
        <v>9</v>
      </c>
      <c r="B16" s="37" t="s">
        <v>2261</v>
      </c>
      <c r="C16" s="37" t="s">
        <v>2262</v>
      </c>
      <c r="D16" s="682"/>
      <c r="E16" s="683"/>
      <c r="F16" s="684"/>
      <c r="G16" s="684"/>
      <c r="H16" s="685"/>
      <c r="I16" s="686"/>
      <c r="J16" s="684"/>
      <c r="K16" s="684"/>
      <c r="L16" s="684"/>
      <c r="M16" s="685"/>
      <c r="N16" s="598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437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2263</v>
      </c>
      <c r="C17" s="37" t="s">
        <v>2264</v>
      </c>
      <c r="D17" s="682"/>
      <c r="E17" s="687"/>
      <c r="F17" s="688"/>
      <c r="G17" s="688"/>
      <c r="H17" s="689"/>
      <c r="I17" s="690"/>
      <c r="J17" s="688"/>
      <c r="K17" s="688"/>
      <c r="L17" s="688"/>
      <c r="M17" s="689"/>
      <c r="N17" s="598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437" t="n">
        <f aca="false">COUNTIF(E17:M17,2)+COUNTIF(E17:M17,1)+COUNTIF(E17:M17,0)</f>
        <v>0</v>
      </c>
    </row>
    <row r="18" s="45" customFormat="true" ht="15" hidden="false" customHeight="true" outlineLevel="0" collapsed="false">
      <c r="A18" s="37" t="n">
        <v>11</v>
      </c>
      <c r="B18" s="37" t="s">
        <v>2265</v>
      </c>
      <c r="C18" s="37" t="s">
        <v>2266</v>
      </c>
      <c r="D18" s="682"/>
      <c r="E18" s="687"/>
      <c r="F18" s="688"/>
      <c r="G18" s="688"/>
      <c r="H18" s="689"/>
      <c r="I18" s="690"/>
      <c r="J18" s="688"/>
      <c r="K18" s="688"/>
      <c r="L18" s="688"/>
      <c r="M18" s="689"/>
      <c r="N18" s="598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437" t="n">
        <f aca="false">COUNTIF(E18:M18,2)+COUNTIF(E18:M18,1)+COUNTIF(E18:M18,0)</f>
        <v>0</v>
      </c>
    </row>
    <row r="19" s="45" customFormat="true" ht="15" hidden="false" customHeight="true" outlineLevel="0" collapsed="false">
      <c r="A19" s="37" t="n">
        <v>12</v>
      </c>
      <c r="B19" s="37" t="s">
        <v>2267</v>
      </c>
      <c r="C19" s="37" t="s">
        <v>2268</v>
      </c>
      <c r="D19" s="682"/>
      <c r="E19" s="687"/>
      <c r="F19" s="688"/>
      <c r="G19" s="688"/>
      <c r="H19" s="689"/>
      <c r="I19" s="690"/>
      <c r="J19" s="688"/>
      <c r="K19" s="688"/>
      <c r="L19" s="688"/>
      <c r="M19" s="689"/>
      <c r="N19" s="598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437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2269</v>
      </c>
      <c r="C20" s="37" t="s">
        <v>2270</v>
      </c>
      <c r="D20" s="682"/>
      <c r="E20" s="687"/>
      <c r="F20" s="688"/>
      <c r="G20" s="688"/>
      <c r="H20" s="689"/>
      <c r="I20" s="690"/>
      <c r="J20" s="688"/>
      <c r="K20" s="688"/>
      <c r="L20" s="688"/>
      <c r="M20" s="689"/>
      <c r="N20" s="598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437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2271</v>
      </c>
      <c r="C21" s="37" t="s">
        <v>2272</v>
      </c>
      <c r="D21" s="682"/>
      <c r="E21" s="687"/>
      <c r="F21" s="688"/>
      <c r="G21" s="688"/>
      <c r="H21" s="689"/>
      <c r="I21" s="690"/>
      <c r="J21" s="688"/>
      <c r="K21" s="688"/>
      <c r="L21" s="688"/>
      <c r="M21" s="689"/>
      <c r="N21" s="598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437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2273</v>
      </c>
      <c r="C22" s="37" t="s">
        <v>2274</v>
      </c>
      <c r="D22" s="682"/>
      <c r="E22" s="683"/>
      <c r="F22" s="684"/>
      <c r="G22" s="684"/>
      <c r="H22" s="685"/>
      <c r="I22" s="686"/>
      <c r="J22" s="684"/>
      <c r="K22" s="684"/>
      <c r="L22" s="684"/>
      <c r="M22" s="685"/>
      <c r="N22" s="598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437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2275</v>
      </c>
      <c r="C23" s="37" t="s">
        <v>2276</v>
      </c>
      <c r="D23" s="682"/>
      <c r="E23" s="687"/>
      <c r="F23" s="688"/>
      <c r="G23" s="688"/>
      <c r="H23" s="689"/>
      <c r="I23" s="690"/>
      <c r="J23" s="688"/>
      <c r="K23" s="688"/>
      <c r="L23" s="688"/>
      <c r="M23" s="689"/>
      <c r="N23" s="598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437" t="n">
        <f aca="false">COUNTIF(E23:M23,2)+COUNTIF(E23:M23,1)+COUNTIF(E23:M23,0)</f>
        <v>0</v>
      </c>
    </row>
    <row r="24" s="45" customFormat="true" ht="15" hidden="false" customHeight="true" outlineLevel="0" collapsed="false">
      <c r="A24" s="37" t="n">
        <v>17</v>
      </c>
      <c r="B24" s="37" t="s">
        <v>2277</v>
      </c>
      <c r="C24" s="37" t="s">
        <v>2278</v>
      </c>
      <c r="D24" s="682"/>
      <c r="E24" s="687"/>
      <c r="F24" s="688"/>
      <c r="G24" s="688"/>
      <c r="H24" s="689"/>
      <c r="I24" s="690"/>
      <c r="J24" s="688"/>
      <c r="K24" s="688"/>
      <c r="L24" s="688"/>
      <c r="M24" s="689"/>
      <c r="N24" s="598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437" t="n">
        <f aca="false">COUNTIF(E24:M24,2)+COUNTIF(E24:M24,1)+COUNTIF(E24:M24,0)</f>
        <v>0</v>
      </c>
    </row>
    <row r="25" s="45" customFormat="true" ht="15" hidden="false" customHeight="true" outlineLevel="0" collapsed="false">
      <c r="A25" s="37" t="n">
        <v>18</v>
      </c>
      <c r="B25" s="37" t="s">
        <v>2279</v>
      </c>
      <c r="C25" s="37" t="s">
        <v>2280</v>
      </c>
      <c r="D25" s="682"/>
      <c r="E25" s="687"/>
      <c r="F25" s="688"/>
      <c r="G25" s="688"/>
      <c r="H25" s="689"/>
      <c r="I25" s="690"/>
      <c r="J25" s="688"/>
      <c r="K25" s="688"/>
      <c r="L25" s="688"/>
      <c r="M25" s="689"/>
      <c r="N25" s="598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437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2281</v>
      </c>
      <c r="C26" s="37" t="s">
        <v>2282</v>
      </c>
      <c r="D26" s="682"/>
      <c r="E26" s="687"/>
      <c r="F26" s="688"/>
      <c r="G26" s="688"/>
      <c r="H26" s="689"/>
      <c r="I26" s="690"/>
      <c r="J26" s="688"/>
      <c r="K26" s="688"/>
      <c r="L26" s="688"/>
      <c r="M26" s="689"/>
      <c r="N26" s="598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437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20</v>
      </c>
      <c r="B27" s="37" t="s">
        <v>2283</v>
      </c>
      <c r="C27" s="37" t="s">
        <v>2284</v>
      </c>
      <c r="D27" s="682"/>
      <c r="E27" s="687"/>
      <c r="F27" s="688"/>
      <c r="G27" s="688"/>
      <c r="H27" s="689"/>
      <c r="I27" s="690"/>
      <c r="J27" s="688"/>
      <c r="K27" s="688"/>
      <c r="L27" s="688"/>
      <c r="M27" s="689"/>
      <c r="N27" s="598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437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2285</v>
      </c>
      <c r="C28" s="37" t="s">
        <v>2286</v>
      </c>
      <c r="D28" s="682"/>
      <c r="E28" s="687"/>
      <c r="F28" s="688"/>
      <c r="G28" s="688"/>
      <c r="H28" s="689"/>
      <c r="I28" s="690"/>
      <c r="J28" s="688"/>
      <c r="K28" s="688"/>
      <c r="L28" s="688"/>
      <c r="M28" s="689"/>
      <c r="N28" s="598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437" t="n">
        <f aca="false">COUNTIF(E28:M28,2)+COUNTIF(E28:M28,1)+COUNTIF(E28:M28,0)</f>
        <v>0</v>
      </c>
    </row>
    <row r="29" customFormat="false" ht="15" hidden="false" customHeight="true" outlineLevel="0" collapsed="false">
      <c r="A29" s="37" t="n">
        <v>22</v>
      </c>
      <c r="B29" s="37" t="s">
        <v>2287</v>
      </c>
      <c r="C29" s="37" t="s">
        <v>2288</v>
      </c>
      <c r="D29" s="682"/>
      <c r="E29" s="687"/>
      <c r="F29" s="688"/>
      <c r="G29" s="688"/>
      <c r="H29" s="689"/>
      <c r="I29" s="690"/>
      <c r="J29" s="688"/>
      <c r="K29" s="688"/>
      <c r="L29" s="688"/>
      <c r="M29" s="689"/>
      <c r="N29" s="598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437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23</v>
      </c>
      <c r="B30" s="37" t="s">
        <v>2289</v>
      </c>
      <c r="C30" s="37" t="s">
        <v>2290</v>
      </c>
      <c r="D30" s="682"/>
      <c r="E30" s="687"/>
      <c r="F30" s="688"/>
      <c r="G30" s="688"/>
      <c r="H30" s="689"/>
      <c r="I30" s="690"/>
      <c r="J30" s="688"/>
      <c r="K30" s="688"/>
      <c r="L30" s="688"/>
      <c r="M30" s="689"/>
      <c r="N30" s="598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437" t="n">
        <f aca="false">COUNTIF(E30:M30,2)+COUNTIF(E30:M30,1)+COUNTIF(E30:M30,0)</f>
        <v>0</v>
      </c>
    </row>
    <row r="31" customFormat="false" ht="15" hidden="false" customHeight="true" outlineLevel="0" collapsed="false">
      <c r="A31" s="37" t="n">
        <v>24</v>
      </c>
      <c r="B31" s="37" t="s">
        <v>2291</v>
      </c>
      <c r="C31" s="37" t="s">
        <v>2292</v>
      </c>
      <c r="D31" s="682"/>
      <c r="E31" s="687"/>
      <c r="F31" s="688"/>
      <c r="G31" s="688"/>
      <c r="H31" s="689"/>
      <c r="I31" s="690"/>
      <c r="J31" s="688"/>
      <c r="K31" s="688"/>
      <c r="L31" s="688"/>
      <c r="M31" s="689"/>
      <c r="N31" s="598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437" t="n">
        <f aca="false">COUNTIF(E31:M31,2)+COUNTIF(E31:M31,1)+COUNTIF(E31:M31,0)</f>
        <v>0</v>
      </c>
    </row>
    <row r="32" customFormat="false" ht="15" hidden="false" customHeight="true" outlineLevel="0" collapsed="false">
      <c r="A32" s="37" t="n">
        <v>25</v>
      </c>
      <c r="B32" s="37" t="s">
        <v>2293</v>
      </c>
      <c r="C32" s="37" t="s">
        <v>2294</v>
      </c>
      <c r="D32" s="682"/>
      <c r="E32" s="687"/>
      <c r="F32" s="688"/>
      <c r="G32" s="688"/>
      <c r="H32" s="689"/>
      <c r="I32" s="690"/>
      <c r="J32" s="688"/>
      <c r="K32" s="688"/>
      <c r="L32" s="688"/>
      <c r="M32" s="689"/>
      <c r="N32" s="598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437" t="n">
        <f aca="false">COUNTIF(E32:M32,2)+COUNTIF(E32:M32,1)+COUNTIF(E32:M32,0)</f>
        <v>0</v>
      </c>
    </row>
    <row r="33" customFormat="false" ht="15" hidden="false" customHeight="true" outlineLevel="0" collapsed="false">
      <c r="A33" s="37" t="n">
        <v>26</v>
      </c>
      <c r="B33" s="37" t="s">
        <v>2295</v>
      </c>
      <c r="C33" s="37" t="s">
        <v>2296</v>
      </c>
      <c r="D33" s="682"/>
      <c r="E33" s="687"/>
      <c r="F33" s="688"/>
      <c r="G33" s="688"/>
      <c r="H33" s="689"/>
      <c r="I33" s="690"/>
      <c r="J33" s="688"/>
      <c r="K33" s="688"/>
      <c r="L33" s="688"/>
      <c r="M33" s="689"/>
      <c r="N33" s="598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437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27</v>
      </c>
      <c r="B34" s="37" t="s">
        <v>2297</v>
      </c>
      <c r="C34" s="37" t="s">
        <v>2298</v>
      </c>
      <c r="D34" s="682"/>
      <c r="E34" s="683"/>
      <c r="F34" s="684"/>
      <c r="G34" s="684"/>
      <c r="H34" s="685"/>
      <c r="I34" s="686"/>
      <c r="J34" s="684"/>
      <c r="K34" s="684"/>
      <c r="L34" s="684"/>
      <c r="M34" s="685"/>
      <c r="N34" s="598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5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437" t="n">
        <f aca="false">COUNTIF(E34:M34,2)+COUNTIF(E34:M34,1)+COUNTIF(E34:M34,0)</f>
        <v>0</v>
      </c>
    </row>
    <row r="35" s="45" customFormat="true" ht="15" hidden="false" customHeight="true" outlineLevel="0" collapsed="false">
      <c r="A35" s="37" t="n">
        <v>28</v>
      </c>
      <c r="B35" s="37" t="s">
        <v>2299</v>
      </c>
      <c r="C35" s="37" t="s">
        <v>2300</v>
      </c>
      <c r="D35" s="682"/>
      <c r="E35" s="687"/>
      <c r="F35" s="688"/>
      <c r="G35" s="688"/>
      <c r="H35" s="689"/>
      <c r="I35" s="690"/>
      <c r="J35" s="688"/>
      <c r="K35" s="688"/>
      <c r="L35" s="688"/>
      <c r="M35" s="689"/>
      <c r="N35" s="598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85" t="str">
        <f aca="false" t="array" ref="Q35:Q35">IF(E35&lt;&gt;"",IF(N35&lt;1.85,"Выговор",IF(N35=1.85,"Выговор",IF(AND(N35&gt;1.85,N35&lt;3),"Предупреждение",IF(AND(N35&gt;3,N35&lt;4.65),"Нормально",IF(AND(N35&gt;4.65,N35&lt;5.1,E35:M35&gt;=4),"Благодарность","Нормально"))))),"")</f>
        <v/>
      </c>
      <c r="R35" s="437" t="n">
        <f aca="false">COUNTIF(E35:M35,2)+COUNTIF(E35:M35,1)+COUNTIF(E35:M35,0)</f>
        <v>0</v>
      </c>
    </row>
    <row r="36" customFormat="false" ht="15" hidden="false" customHeight="true" outlineLevel="0" collapsed="false">
      <c r="A36" s="37" t="n">
        <v>29</v>
      </c>
      <c r="B36" s="37" t="s">
        <v>2301</v>
      </c>
      <c r="C36" s="37" t="s">
        <v>2302</v>
      </c>
      <c r="D36" s="682"/>
      <c r="E36" s="687"/>
      <c r="F36" s="688"/>
      <c r="G36" s="688"/>
      <c r="H36" s="689"/>
      <c r="I36" s="690"/>
      <c r="J36" s="688"/>
      <c r="K36" s="688"/>
      <c r="L36" s="688"/>
      <c r="M36" s="689"/>
      <c r="N36" s="598" t="str">
        <f aca="false">IFERROR(AVERAGE(E36:M36),"")</f>
        <v/>
      </c>
      <c r="O36" s="84" t="str">
        <f aca="false">IF(E36&lt;&gt;"",IF(COUNTIF(E36:M36,"&lt;3"),"Не успевает","Успевает"),"")</f>
        <v/>
      </c>
      <c r="P36" s="241" t="str">
        <f aca="false">IF(D36&lt;&gt;"",(30*(set!B$5)-D36)/(30*(set!B$5))*100,"")</f>
        <v/>
      </c>
      <c r="Q36" s="85" t="str">
        <f aca="false" t="array" ref="Q36:Q36">IF(E36&lt;&gt;"",IF(N36&lt;1.85,"Выговор",IF(N36=1.85,"Выговор",IF(AND(N36&gt;1.85,N36&lt;3),"Предупреждение",IF(AND(N36&gt;3,N36&lt;4.65),"Нормально",IF(AND(N36&gt;4.65,N36&lt;5.1,E36:M36&gt;=4),"Благодарность","Нормально"))))),"")</f>
        <v/>
      </c>
      <c r="R36" s="437" t="n">
        <f aca="false">COUNTIF(E36:M36,2)+COUNTIF(E36:M36,1)+COUNTIF(E36:M36,0)</f>
        <v>0</v>
      </c>
    </row>
    <row r="37" s="45" customFormat="true" ht="15" hidden="false" customHeight="true" outlineLevel="0" collapsed="false">
      <c r="A37" s="37" t="n">
        <v>30</v>
      </c>
      <c r="B37" s="37" t="s">
        <v>2303</v>
      </c>
      <c r="C37" s="37" t="s">
        <v>2304</v>
      </c>
      <c r="D37" s="682"/>
      <c r="E37" s="687"/>
      <c r="F37" s="688"/>
      <c r="G37" s="688"/>
      <c r="H37" s="689"/>
      <c r="I37" s="690"/>
      <c r="J37" s="688"/>
      <c r="K37" s="688"/>
      <c r="L37" s="688"/>
      <c r="M37" s="689"/>
      <c r="N37" s="598" t="str">
        <f aca="false">IFERROR(AVERAGE(E37:M37),"")</f>
        <v/>
      </c>
      <c r="O37" s="84" t="str">
        <f aca="false">IF(E37&lt;&gt;"",IF(COUNTIF(E37:M37,"&lt;3"),"Не успевает","Успевает"),"")</f>
        <v/>
      </c>
      <c r="P37" s="241" t="str">
        <f aca="false">IF(D37&lt;&gt;"",(30*(set!B$5)-D37)/(30*(set!B$5))*100,"")</f>
        <v/>
      </c>
      <c r="Q37" s="85" t="str">
        <f aca="false" t="array" ref="Q37:Q37">IF(E37&lt;&gt;"",IF(N37&lt;1.85,"Выговор",IF(N37=1.85,"Выговор",IF(AND(N37&gt;1.85,N37&lt;3),"Предупреждение",IF(AND(N37&gt;3,N37&lt;4.65),"Нормально",IF(AND(N37&gt;4.65,N37&lt;5.1,E37:M37&gt;=4),"Благодарность","Нормально"))))),"")</f>
        <v/>
      </c>
      <c r="R37" s="437" t="n">
        <f aca="false">COUNTIF(E37:M37,2)+COUNTIF(E37:M37,1)+COUNTIF(E37:M37,0)</f>
        <v>0</v>
      </c>
    </row>
    <row r="38" customFormat="false" ht="15" hidden="false" customHeight="true" outlineLevel="0" collapsed="false">
      <c r="A38" s="37" t="n">
        <v>31</v>
      </c>
      <c r="B38" s="37" t="s">
        <v>2305</v>
      </c>
      <c r="C38" s="37" t="s">
        <v>2306</v>
      </c>
      <c r="D38" s="682"/>
      <c r="E38" s="687"/>
      <c r="F38" s="688"/>
      <c r="G38" s="688"/>
      <c r="H38" s="689"/>
      <c r="I38" s="690"/>
      <c r="J38" s="688"/>
      <c r="K38" s="688"/>
      <c r="L38" s="688"/>
      <c r="M38" s="689"/>
      <c r="N38" s="598" t="str">
        <f aca="false">IFERROR(AVERAGE(E38:M38),"")</f>
        <v/>
      </c>
      <c r="O38" s="84" t="str">
        <f aca="false">IF(E38&lt;&gt;"",IF(COUNTIF(E38:M38,"&lt;3"),"Не успевает","Успевает"),"")</f>
        <v/>
      </c>
      <c r="P38" s="241" t="str">
        <f aca="false">IF(D38&lt;&gt;"",(30*(set!B$5)-D38)/(30*(set!B$5))*100,"")</f>
        <v/>
      </c>
      <c r="Q38" s="85" t="str">
        <f aca="false" t="array" ref="Q38:Q38">IF(E38&lt;&gt;"",IF(N38&lt;1.85,"Выговор",IF(N38=1.85,"Выговор",IF(AND(N38&gt;1.85,N38&lt;3),"Предупреждение",IF(AND(N38&gt;3,N38&lt;4.65),"Нормально",IF(AND(N38&gt;4.65,N38&lt;5.1,E38:M38&gt;=4),"Благодарность","Нормально"))))),"")</f>
        <v/>
      </c>
      <c r="R38" s="437" t="n">
        <f aca="false">COUNTIF(E38:M38,2)+COUNTIF(E38:M38,1)+COUNTIF(E38:M38,0)</f>
        <v>0</v>
      </c>
    </row>
    <row r="39" customFormat="false" ht="15" hidden="false" customHeight="true" outlineLevel="0" collapsed="false">
      <c r="A39" s="691" t="s">
        <v>77</v>
      </c>
      <c r="B39" s="691"/>
      <c r="C39" s="691"/>
      <c r="D39" s="209"/>
      <c r="E39" s="210" t="e">
        <f aca="false">AVERAGE(E8:E38)</f>
        <v>#DIV/0!</v>
      </c>
      <c r="F39" s="210" t="e">
        <f aca="false">AVERAGE(F8:F38)</f>
        <v>#DIV/0!</v>
      </c>
      <c r="G39" s="210" t="e">
        <f aca="false">AVERAGE(G8:G38)</f>
        <v>#DIV/0!</v>
      </c>
      <c r="H39" s="210" t="e">
        <f aca="false">AVERAGE(H8:H38)</f>
        <v>#DIV/0!</v>
      </c>
      <c r="I39" s="210" t="e">
        <f aca="false">AVERAGE(I8:I38)</f>
        <v>#DIV/0!</v>
      </c>
      <c r="J39" s="210" t="e">
        <f aca="false">AVERAGE(J8:J38)</f>
        <v>#DIV/0!</v>
      </c>
      <c r="K39" s="210" t="e">
        <f aca="false">AVERAGE(K8:K38)</f>
        <v>#DIV/0!</v>
      </c>
      <c r="L39" s="210" t="e">
        <f aca="false">AVERAGE(L8:L38)</f>
        <v>#DIV/0!</v>
      </c>
      <c r="M39" s="210" t="e">
        <f aca="false">AVERAGE(M8:M38)</f>
        <v>#DIV/0!</v>
      </c>
      <c r="N39" s="47"/>
      <c r="O39" s="47"/>
      <c r="P39" s="48"/>
      <c r="Q39" s="692"/>
      <c r="R39" s="242"/>
    </row>
    <row r="40" customFormat="false" ht="15" hidden="false" customHeight="true" outlineLevel="0" collapsed="false">
      <c r="A40" s="0" t="s">
        <v>78</v>
      </c>
      <c r="D40" s="536"/>
      <c r="E40" s="137" t="e">
        <f aca="false">(COUNTIF(E8:E38,5)+COUNTIF(E8:E38,4)+COUNTIF(E8:E38,3))/$Q$45*100</f>
        <v>#DIV/0!</v>
      </c>
      <c r="F40" s="137" t="e">
        <f aca="false">(COUNTIF(F8:F38,5)+COUNTIF(F8:F38,4)+COUNTIF(F8:F38,3))/$Q$45*100</f>
        <v>#DIV/0!</v>
      </c>
      <c r="G40" s="137" t="e">
        <f aca="false">(COUNTIF(G8:G38,5)+COUNTIF(G8:G38,4)+COUNTIF(G8:G38,3))/$Q$45*100</f>
        <v>#DIV/0!</v>
      </c>
      <c r="H40" s="137" t="e">
        <f aca="false">(COUNTIF(H8:H38,5)+COUNTIF(H8:H38,4)+COUNTIF(H8:H38,3))/$Q$45*100</f>
        <v>#DIV/0!</v>
      </c>
      <c r="I40" s="137" t="e">
        <f aca="false">(COUNTIF(I8:I38,5)+COUNTIF(I8:I38,4)+COUNTIF(I8:I38,3))/$Q$45*100</f>
        <v>#DIV/0!</v>
      </c>
      <c r="J40" s="137" t="e">
        <f aca="false">(COUNTIF(J8:J38,5)+COUNTIF(J8:J38,4)+COUNTIF(J8:J38,3))/$Q$45*100</f>
        <v>#DIV/0!</v>
      </c>
      <c r="K40" s="137" t="e">
        <f aca="false">(COUNTIF(K8:K38,5)+COUNTIF(K8:K38,4)+COUNTIF(K8:K38,3))/$Q$45*100</f>
        <v>#DIV/0!</v>
      </c>
      <c r="L40" s="137" t="e">
        <f aca="false">(COUNTIF(L8:L38,5)+COUNTIF(L8:L38,4)+COUNTIF(L8:L38,3))/$Q$45*100</f>
        <v>#DIV/0!</v>
      </c>
      <c r="M40" s="137" t="e">
        <f aca="false">(COUNTIF(M8:M38,5)+COUNTIF(M8:M38,4)+COUNTIF(M8:M38,3))/$Q$45*100</f>
        <v>#DIV/0!</v>
      </c>
      <c r="N40" s="48"/>
      <c r="O40" s="48"/>
      <c r="P40" s="48"/>
      <c r="Q40" s="48"/>
      <c r="R40" s="423"/>
      <c r="S40" s="423"/>
      <c r="T40" s="242"/>
      <c r="U40" s="242"/>
    </row>
    <row r="41" customFormat="false" ht="15" hidden="false" customHeight="true" outlineLevel="0" collapsed="false">
      <c r="S41" s="242"/>
      <c r="T41" s="242"/>
    </row>
    <row r="42" customFormat="false" ht="15" hidden="false" customHeight="true" outlineLevel="0" collapsed="false">
      <c r="S42" s="242"/>
      <c r="T42" s="242"/>
    </row>
    <row r="43" customFormat="false" ht="15" hidden="false" customHeight="true" outlineLevel="0" collapsed="false">
      <c r="B43" s="50"/>
      <c r="C43" s="50" t="s">
        <v>8</v>
      </c>
      <c r="D43" s="51" t="str">
        <f aca="false">IFERROR(AVERAGE(N8:N38),"")</f>
        <v/>
      </c>
      <c r="E43" s="52" t="s">
        <v>9</v>
      </c>
      <c r="F43" s="52"/>
      <c r="G43" s="53" t="str">
        <f aca="false">IFERROR(COUNTIF(O8:O38,"Успевает")/Q45*100,"")</f>
        <v/>
      </c>
      <c r="H43" s="54" t="s">
        <v>79</v>
      </c>
      <c r="I43" s="54"/>
      <c r="J43" s="55" t="str">
        <f aca="false">IFERROR(AVERAGE(P8:P38),"")</f>
        <v/>
      </c>
      <c r="K43" s="52"/>
      <c r="L43" s="52"/>
      <c r="M43" s="52"/>
      <c r="N43" s="48"/>
      <c r="O43" s="48"/>
      <c r="P43" s="48"/>
      <c r="Q43" s="48"/>
      <c r="S43" s="242"/>
      <c r="T43" s="242"/>
    </row>
    <row r="44" customFormat="false" ht="15" hidden="false" customHeight="true" outlineLevel="0" collapsed="false">
      <c r="B44" s="50"/>
      <c r="C44" s="50"/>
      <c r="D44" s="50"/>
      <c r="E44" s="56"/>
      <c r="F44" s="56"/>
      <c r="G44" s="56"/>
      <c r="H44" s="56"/>
      <c r="I44" s="56"/>
      <c r="J44" s="56"/>
      <c r="K44" s="56"/>
      <c r="L44" s="56"/>
      <c r="M44" s="56"/>
      <c r="Q44" s="59"/>
      <c r="S44" s="242"/>
      <c r="T44" s="242"/>
    </row>
    <row r="45" customFormat="false" ht="15" hidden="false" customHeight="true" outlineLevel="0" collapsed="false">
      <c r="A45" s="50"/>
      <c r="B45" s="61" t="s">
        <v>81</v>
      </c>
      <c r="C45" s="61"/>
      <c r="D45" s="61"/>
      <c r="E45" s="61"/>
      <c r="F45" s="61"/>
      <c r="G45" s="61"/>
      <c r="H45" s="61"/>
      <c r="I45" s="61"/>
      <c r="J45" s="61"/>
      <c r="K45" s="61" t="s">
        <v>82</v>
      </c>
      <c r="L45" s="61"/>
      <c r="M45" s="61"/>
      <c r="O45" s="57" t="s">
        <v>80</v>
      </c>
      <c r="P45" s="57"/>
      <c r="Q45" s="58" t="n">
        <f aca="false">SUM(Q46,Q47)</f>
        <v>0</v>
      </c>
      <c r="S45" s="242"/>
      <c r="T45" s="242"/>
    </row>
    <row r="46" customFormat="false" ht="15" hidden="false" customHeight="true" outlineLevel="0" collapsed="false">
      <c r="A46" s="50"/>
      <c r="B46" s="65" t="str">
        <f aca="false">$E$6</f>
        <v> Использование интерфейсов прикладного программирования операционных систем</v>
      </c>
      <c r="C46" s="65"/>
      <c r="D46" s="65"/>
      <c r="E46" s="65"/>
      <c r="F46" s="65"/>
      <c r="G46" s="65"/>
      <c r="H46" s="65"/>
      <c r="I46" s="65"/>
      <c r="J46" s="65"/>
      <c r="K46" s="693"/>
      <c r="L46" s="693"/>
      <c r="M46" s="693"/>
      <c r="O46" s="57" t="s">
        <v>83</v>
      </c>
      <c r="P46" s="57"/>
      <c r="Q46" s="58" t="n">
        <f aca="false">COUNTIF(O8:O38,"Успевает")</f>
        <v>0</v>
      </c>
    </row>
    <row r="47" customFormat="false" ht="15" hidden="false" customHeight="true" outlineLevel="0" collapsed="false">
      <c r="A47" s="50"/>
      <c r="B47" s="65" t="str">
        <f aca="false">$F$6</f>
        <v> Основы электроники</v>
      </c>
      <c r="C47" s="65"/>
      <c r="D47" s="65"/>
      <c r="E47" s="65"/>
      <c r="F47" s="65"/>
      <c r="G47" s="65"/>
      <c r="H47" s="65"/>
      <c r="I47" s="65"/>
      <c r="J47" s="65"/>
      <c r="K47" s="693"/>
      <c r="L47" s="693"/>
      <c r="M47" s="693"/>
      <c r="O47" s="98" t="s">
        <v>84</v>
      </c>
      <c r="P47" s="98"/>
      <c r="Q47" s="58" t="n">
        <f aca="false">COUNTIF(O8:O38,"Не успевает")</f>
        <v>0</v>
      </c>
    </row>
    <row r="48" customFormat="false" ht="15" hidden="false" customHeight="true" outlineLevel="0" collapsed="false">
      <c r="A48" s="50"/>
      <c r="B48" s="65" t="str">
        <f aca="false">$G$6</f>
        <v> Системное программирование</v>
      </c>
      <c r="C48" s="65"/>
      <c r="D48" s="65"/>
      <c r="E48" s="65"/>
      <c r="F48" s="65"/>
      <c r="G48" s="65"/>
      <c r="H48" s="65"/>
      <c r="I48" s="65"/>
      <c r="J48" s="65"/>
      <c r="K48" s="693"/>
      <c r="L48" s="693"/>
      <c r="M48" s="693"/>
      <c r="O48" s="98" t="s">
        <v>85</v>
      </c>
      <c r="P48" s="98"/>
      <c r="Q48" s="58" t="n">
        <f aca="false">COUNTIF(Q8:Q38,"Благодарность")</f>
        <v>0</v>
      </c>
    </row>
    <row r="49" customFormat="false" ht="15" hidden="false" customHeight="true" outlineLevel="0" collapsed="false">
      <c r="A49" s="50"/>
      <c r="B49" s="65" t="str">
        <f aca="false">$H$6</f>
        <v> Физика</v>
      </c>
      <c r="C49" s="65"/>
      <c r="D49" s="65"/>
      <c r="E49" s="65"/>
      <c r="F49" s="65"/>
      <c r="G49" s="65"/>
      <c r="H49" s="65"/>
      <c r="I49" s="65"/>
      <c r="J49" s="65"/>
      <c r="K49" s="693"/>
      <c r="L49" s="693"/>
      <c r="M49" s="693"/>
      <c r="O49" s="98" t="s">
        <v>86</v>
      </c>
      <c r="P49" s="98"/>
      <c r="Q49" s="58" t="n">
        <f aca="false">COUNTIF(Q8:Q38,"Нормально")</f>
        <v>0</v>
      </c>
    </row>
    <row r="50" customFormat="false" ht="15" hidden="false" customHeight="true" outlineLevel="0" collapsed="false">
      <c r="A50" s="50"/>
      <c r="B50" s="65" t="str">
        <f aca="false">$I$6</f>
        <v> Дискретная математика</v>
      </c>
      <c r="C50" s="65"/>
      <c r="D50" s="65"/>
      <c r="E50" s="65"/>
      <c r="F50" s="65"/>
      <c r="G50" s="65"/>
      <c r="H50" s="65"/>
      <c r="I50" s="65"/>
      <c r="J50" s="65"/>
      <c r="K50" s="693"/>
      <c r="L50" s="693"/>
      <c r="M50" s="693"/>
      <c r="O50" s="98" t="s">
        <v>87</v>
      </c>
      <c r="P50" s="98"/>
      <c r="Q50" s="58" t="n">
        <f aca="false">COUNTIF(Q8:Q38,"Предупреждение")</f>
        <v>0</v>
      </c>
    </row>
    <row r="51" customFormat="false" ht="15" hidden="false" customHeight="true" outlineLevel="0" collapsed="false">
      <c r="A51" s="50"/>
      <c r="B51" s="65" t="str">
        <f aca="false">$J$6</f>
        <v>Иностранный язык</v>
      </c>
      <c r="C51" s="65"/>
      <c r="D51" s="65"/>
      <c r="E51" s="65"/>
      <c r="F51" s="65"/>
      <c r="G51" s="65"/>
      <c r="H51" s="65"/>
      <c r="I51" s="65"/>
      <c r="J51" s="65"/>
      <c r="K51" s="693"/>
      <c r="L51" s="693"/>
      <c r="M51" s="693"/>
      <c r="O51" s="98" t="s">
        <v>88</v>
      </c>
      <c r="P51" s="98"/>
      <c r="Q51" s="58" t="n">
        <f aca="false">COUNTIF(Q8:Q38,"Выговор")</f>
        <v>0</v>
      </c>
    </row>
    <row r="52" customFormat="false" ht="15" hidden="false" customHeight="true" outlineLevel="0" collapsed="false">
      <c r="A52" s="50"/>
      <c r="B52" s="65" t="str">
        <f aca="false">$K$6</f>
        <v> Тестирование систем обработки информации</v>
      </c>
      <c r="C52" s="65"/>
      <c r="D52" s="65"/>
      <c r="E52" s="65"/>
      <c r="F52" s="65"/>
      <c r="G52" s="65"/>
      <c r="H52" s="65"/>
      <c r="I52" s="65"/>
      <c r="J52" s="65"/>
      <c r="K52" s="693"/>
      <c r="L52" s="693"/>
      <c r="M52" s="693"/>
      <c r="N52" s="67"/>
      <c r="O52" s="694" t="s">
        <v>1575</v>
      </c>
      <c r="P52" s="427"/>
      <c r="Q52" s="71" t="n">
        <f aca="false">SUM(R8:R38)</f>
        <v>0</v>
      </c>
    </row>
    <row r="53" customFormat="false" ht="15" hidden="false" customHeight="true" outlineLevel="0" collapsed="false">
      <c r="A53" s="50"/>
      <c r="B53" s="65" t="str">
        <f aca="false">$L$6</f>
        <v> Философия</v>
      </c>
      <c r="C53" s="65"/>
      <c r="D53" s="65"/>
      <c r="E53" s="65"/>
      <c r="F53" s="65"/>
      <c r="G53" s="65"/>
      <c r="H53" s="65"/>
      <c r="I53" s="65"/>
      <c r="J53" s="65"/>
      <c r="K53" s="693"/>
      <c r="L53" s="693"/>
      <c r="M53" s="693"/>
      <c r="N53" s="67"/>
      <c r="O53" s="67"/>
      <c r="P53" s="48"/>
      <c r="Q53" s="48"/>
    </row>
    <row r="54" customFormat="false" ht="15" hidden="false" customHeight="true" outlineLevel="0" collapsed="false">
      <c r="A54" s="50"/>
      <c r="B54" s="65" t="str">
        <f aca="false">$M$6</f>
        <v>Физическая культура и спорт</v>
      </c>
      <c r="C54" s="65"/>
      <c r="D54" s="65"/>
      <c r="E54" s="65"/>
      <c r="F54" s="65"/>
      <c r="G54" s="65"/>
      <c r="H54" s="65"/>
      <c r="I54" s="65"/>
      <c r="J54" s="65"/>
      <c r="K54" s="693"/>
      <c r="L54" s="693"/>
      <c r="M54" s="693"/>
      <c r="N54" s="48"/>
      <c r="O54" s="48"/>
    </row>
    <row r="55" customFormat="false" ht="15" hidden="false" customHeight="true" outlineLevel="0" collapsed="false">
      <c r="A55" s="50"/>
      <c r="B55" s="139"/>
      <c r="C55" s="139"/>
      <c r="D55" s="139"/>
      <c r="E55" s="139"/>
      <c r="F55" s="139"/>
      <c r="G55" s="139"/>
      <c r="H55" s="139"/>
      <c r="I55" s="139"/>
      <c r="J55" s="139"/>
      <c r="K55" s="139"/>
      <c r="L55" s="50"/>
      <c r="M55" s="50"/>
      <c r="N55" s="48"/>
      <c r="O55" s="48"/>
    </row>
    <row r="56" customFormat="false" ht="15" hidden="false" customHeight="true" outlineLevel="0" collapsed="false">
      <c r="A56" s="50"/>
      <c r="B56" s="695" t="s">
        <v>1378</v>
      </c>
      <c r="C56" s="455" t="s">
        <v>2307</v>
      </c>
      <c r="D56" s="455"/>
      <c r="E56" s="67"/>
      <c r="F56" s="52" t="s">
        <v>369</v>
      </c>
      <c r="G56" s="300" t="s">
        <v>2308</v>
      </c>
      <c r="H56" s="52"/>
      <c r="I56" s="52"/>
      <c r="J56" s="52"/>
      <c r="K56" s="52"/>
      <c r="L56" s="50"/>
      <c r="M56" s="50"/>
      <c r="N56" s="48"/>
      <c r="O56" s="48"/>
    </row>
    <row r="57" customFormat="false" ht="15" hidden="false" customHeight="true" outlineLevel="0" collapsed="false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8"/>
      <c r="O57" s="48"/>
    </row>
    <row r="58" customFormat="false" ht="15" hidden="false" customHeight="true" outlineLevel="0" collapsed="false">
      <c r="A58" s="50"/>
      <c r="B58" s="50" t="s">
        <v>93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48"/>
      <c r="O58" s="48"/>
    </row>
    <row r="59" customFormat="false" ht="15" hidden="false" customHeight="true" outlineLevel="0" collapsed="false">
      <c r="A59" s="50"/>
      <c r="B59" s="50" t="s">
        <v>94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48"/>
      <c r="O59" s="48"/>
    </row>
    <row r="60" customFormat="false" ht="15" hidden="false" customHeight="true" outlineLevel="0" collapsed="false">
      <c r="A60" s="50"/>
      <c r="B60" s="50" t="s">
        <v>95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48"/>
      <c r="O60" s="48"/>
    </row>
    <row r="61" customFormat="false" ht="15" hidden="false" customHeight="true" outlineLevel="0" collapsed="false">
      <c r="B61" s="50" t="s">
        <v>96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</row>
    <row r="62" customFormat="false" ht="15" hidden="false" customHeight="true" outlineLevel="0" collapsed="false">
      <c r="B62" s="50" t="s">
        <v>97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</row>
    <row r="63" customFormat="false" ht="15" hidden="false" customHeight="true" outlineLevel="0" collapsed="false">
      <c r="B63" s="50" t="s">
        <v>98</v>
      </c>
      <c r="C63" s="50"/>
      <c r="D63" s="50"/>
      <c r="E63" s="50"/>
      <c r="F63" s="50"/>
      <c r="G63" s="50"/>
      <c r="H63" s="50"/>
      <c r="I63" s="50"/>
      <c r="J63" s="50"/>
      <c r="K63" s="50"/>
    </row>
    <row r="64" customFormat="false" ht="15" hidden="false" customHeight="true" outlineLevel="0" collapsed="false">
      <c r="B64" s="50" t="s">
        <v>99</v>
      </c>
      <c r="C64" s="50"/>
      <c r="D64" s="50"/>
      <c r="E64" s="50"/>
      <c r="F64" s="50"/>
      <c r="G64" s="50"/>
      <c r="H64" s="50"/>
      <c r="I64" s="50"/>
      <c r="J64" s="50"/>
      <c r="K64" s="50"/>
    </row>
    <row r="65" customFormat="false" ht="1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</sheetData>
  <mergeCells count="43">
    <mergeCell ref="E1:H1"/>
    <mergeCell ref="A3:Q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A39:C39"/>
    <mergeCell ref="H43:I43"/>
    <mergeCell ref="B45:J45"/>
    <mergeCell ref="K45:M45"/>
    <mergeCell ref="O45:P45"/>
    <mergeCell ref="B46:J46"/>
    <mergeCell ref="K46:M46"/>
    <mergeCell ref="O46:P46"/>
    <mergeCell ref="B47:J47"/>
    <mergeCell ref="K47:M47"/>
    <mergeCell ref="O47:P47"/>
    <mergeCell ref="B48:J48"/>
    <mergeCell ref="K48:M48"/>
    <mergeCell ref="O48:P48"/>
    <mergeCell ref="B49:J49"/>
    <mergeCell ref="K49:M49"/>
    <mergeCell ref="O49:P49"/>
    <mergeCell ref="B50:J50"/>
    <mergeCell ref="K50:M50"/>
    <mergeCell ref="O50:P50"/>
    <mergeCell ref="B51:J51"/>
    <mergeCell ref="K51:M51"/>
    <mergeCell ref="O51:P51"/>
    <mergeCell ref="B52:J52"/>
    <mergeCell ref="K52:M52"/>
    <mergeCell ref="B53:J53"/>
    <mergeCell ref="K53:M53"/>
    <mergeCell ref="B54:J54"/>
    <mergeCell ref="K54:M54"/>
    <mergeCell ref="C56:D56"/>
  </mergeCells>
  <conditionalFormatting sqref="H34:H3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34:I37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4:G37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34:J37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4:E37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2:H25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2:I25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2:G25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2:J25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:E25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6:H19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6:I19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6:G19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6:J19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E19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2:H15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2:I15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2:G15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2:J15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E15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0:M21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39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H11 H20:H21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8:I11 I20:I21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8:G11 G20:G21">
    <cfRule type="colorScale" priority="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J11 J20:J21">
    <cfRule type="colorScale" priority="2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11 E20:E21">
    <cfRule type="colorScale" priority="2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6:H33 H38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6:E33 E38">
    <cfRule type="colorScale" priority="3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26:G33 G38">
    <cfRule type="colorScale" priority="3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6:I33 I38">
    <cfRule type="colorScale" priority="3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6:J33 J38">
    <cfRule type="colorScale" priority="3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6:F33 K38 K26:K33 F38">
    <cfRule type="colorScale" priority="3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6:M33 M38">
    <cfRule type="colorScale" priority="3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40:Q40">
    <cfRule type="colorScale" priority="3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9:N39">
    <cfRule type="colorScale" priority="3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F11 L38 K8:M11 K20:L21 F20:F21 L26:L33">
    <cfRule type="colorScale" priority="3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2:F15 K12:M15">
    <cfRule type="colorScale" priority="3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6:F19 K16:M19">
    <cfRule type="colorScale" priority="4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2:F25 K22:M25">
    <cfRule type="colorScale" priority="4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34:F37 K34:M37">
    <cfRule type="colorScale" priority="4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8">
    <cfRule type="colorScale" priority="4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71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A11" activeCellId="0" sqref="A11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71"/>
    <col collapsed="false" customWidth="true" hidden="false" outlineLevel="0" max="3" min="3" style="0" width="18.14"/>
    <col collapsed="false" customWidth="true" hidden="false" outlineLevel="0" max="5" min="5" style="0" width="10"/>
    <col collapsed="false" customWidth="true" hidden="false" outlineLevel="0" max="15" min="15" style="0" width="10.29"/>
    <col collapsed="false" customWidth="true" hidden="false" outlineLevel="0" max="17" min="17" style="0" width="18.42"/>
    <col collapsed="false" customWidth="true" hidden="false" outlineLevel="0" max="18" min="18" style="0" width="6"/>
    <col collapsed="false" customWidth="true" hidden="false" outlineLevel="0" max="19" min="19" style="0" width="4"/>
    <col collapsed="false" customWidth="true" hidden="false" outlineLevel="0" max="20" min="20" style="0" width="3.57"/>
    <col collapsed="false" customWidth="true" hidden="false" outlineLevel="0" max="21" min="21" style="0" width="4.71"/>
    <col collapsed="false" customWidth="true" hidden="false" outlineLevel="0" max="22" min="22" style="0" width="4.57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2"/>
      <c r="M2" s="72" t="s">
        <v>1</v>
      </c>
      <c r="N2" s="72"/>
      <c r="O2" s="599" t="n">
        <f aca="false">set!B4</f>
        <v>45608</v>
      </c>
      <c r="P2" s="72"/>
      <c r="Q2" s="72"/>
      <c r="R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ИУК5-32Б факультета ИУК МГТУ им. Н.Э. Баумана"</f>
        <v>Успеваемость студентов за 1 семестр 24/25 учебного года по группе ИУК5-32Б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696" t="s">
        <v>8</v>
      </c>
      <c r="O5" s="697" t="s">
        <v>9</v>
      </c>
      <c r="P5" s="697" t="s">
        <v>10</v>
      </c>
      <c r="Q5" s="430" t="s">
        <v>11</v>
      </c>
      <c r="R5" s="698" t="s">
        <v>1575</v>
      </c>
    </row>
    <row r="6" customFormat="false" ht="104.25" hidden="false" customHeight="true" outlineLevel="0" collapsed="false">
      <c r="A6" s="8"/>
      <c r="B6" s="8"/>
      <c r="C6" s="8"/>
      <c r="D6" s="9"/>
      <c r="E6" s="339" t="s">
        <v>2243</v>
      </c>
      <c r="F6" s="405" t="s">
        <v>734</v>
      </c>
      <c r="G6" s="340" t="s">
        <v>735</v>
      </c>
      <c r="H6" s="342" t="s">
        <v>736</v>
      </c>
      <c r="I6" s="405" t="s">
        <v>1646</v>
      </c>
      <c r="J6" s="340" t="s">
        <v>18</v>
      </c>
      <c r="K6" s="340" t="s">
        <v>2244</v>
      </c>
      <c r="L6" s="340" t="s">
        <v>170</v>
      </c>
      <c r="M6" s="342" t="s">
        <v>147</v>
      </c>
      <c r="N6" s="696"/>
      <c r="O6" s="696"/>
      <c r="P6" s="696"/>
      <c r="Q6" s="430"/>
      <c r="R6" s="698"/>
    </row>
    <row r="7" customFormat="false" ht="17.9" hidden="false" customHeight="false" outlineLevel="0" collapsed="false">
      <c r="A7" s="8"/>
      <c r="B7" s="8"/>
      <c r="C7" s="8"/>
      <c r="D7" s="9"/>
      <c r="E7" s="343" t="s">
        <v>547</v>
      </c>
      <c r="F7" s="407" t="s">
        <v>509</v>
      </c>
      <c r="G7" s="344" t="s">
        <v>741</v>
      </c>
      <c r="H7" s="345" t="s">
        <v>22</v>
      </c>
      <c r="I7" s="343" t="s">
        <v>742</v>
      </c>
      <c r="J7" s="344" t="s">
        <v>27</v>
      </c>
      <c r="K7" s="344" t="s">
        <v>1004</v>
      </c>
      <c r="L7" s="344" t="s">
        <v>175</v>
      </c>
      <c r="M7" s="346" t="s">
        <v>176</v>
      </c>
      <c r="N7" s="696"/>
      <c r="O7" s="696"/>
      <c r="P7" s="696"/>
      <c r="Q7" s="430"/>
      <c r="R7" s="698"/>
    </row>
    <row r="8" customFormat="false" ht="15" hidden="false" customHeight="true" outlineLevel="0" collapsed="false">
      <c r="A8" s="25" t="n">
        <v>1</v>
      </c>
      <c r="B8" s="25" t="s">
        <v>2309</v>
      </c>
      <c r="C8" s="25" t="s">
        <v>2310</v>
      </c>
      <c r="D8" s="699"/>
      <c r="E8" s="700"/>
      <c r="F8" s="701"/>
      <c r="G8" s="701"/>
      <c r="H8" s="702"/>
      <c r="I8" s="703"/>
      <c r="J8" s="701"/>
      <c r="K8" s="701"/>
      <c r="L8" s="704"/>
      <c r="M8" s="704"/>
      <c r="N8" s="705" t="str">
        <f aca="false">IFERROR(AVERAGE(E8:M8),"")</f>
        <v/>
      </c>
      <c r="O8" s="117" t="str">
        <f aca="false">IF(E8&lt;&gt;"",IF(COUNTIF(E8:M8,"&lt;3"),"Не успевает","Успевает"),"")</f>
        <v/>
      </c>
      <c r="P8" s="250" t="str">
        <f aca="false">IF(D8&lt;&gt;"",(30*(set!B$5)-D8)/(30*(set!B$5))*100,"")</f>
        <v/>
      </c>
      <c r="Q8" s="85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437" t="n">
        <f aca="false">COUNTIF(E8:M8,2)+COUNTIF(E8:M8,1)+COUNTIF(E8:M8,0)</f>
        <v>0</v>
      </c>
    </row>
    <row r="9" s="45" customFormat="true" ht="15" hidden="false" customHeight="true" outlineLevel="0" collapsed="false">
      <c r="A9" s="37" t="n">
        <v>2</v>
      </c>
      <c r="B9" s="37" t="s">
        <v>2311</v>
      </c>
      <c r="C9" s="37" t="s">
        <v>2312</v>
      </c>
      <c r="D9" s="699"/>
      <c r="E9" s="701"/>
      <c r="F9" s="701"/>
      <c r="G9" s="701"/>
      <c r="H9" s="702"/>
      <c r="I9" s="703"/>
      <c r="J9" s="703"/>
      <c r="K9" s="703"/>
      <c r="L9" s="703"/>
      <c r="M9" s="706"/>
      <c r="N9" s="70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437" t="n">
        <f aca="false">COUNTIF(E9:M9,2)+COUNTIF(E9:M9,1)+COUNTIF(E9:M9,0)</f>
        <v>0</v>
      </c>
    </row>
    <row r="10" s="45" customFormat="true" ht="15" hidden="false" customHeight="true" outlineLevel="0" collapsed="false">
      <c r="A10" s="37" t="n">
        <v>3</v>
      </c>
      <c r="B10" s="37" t="s">
        <v>2313</v>
      </c>
      <c r="C10" s="37" t="s">
        <v>2314</v>
      </c>
      <c r="D10" s="699"/>
      <c r="E10" s="701"/>
      <c r="F10" s="701"/>
      <c r="G10" s="701"/>
      <c r="H10" s="702"/>
      <c r="I10" s="703"/>
      <c r="J10" s="701"/>
      <c r="K10" s="701"/>
      <c r="L10" s="704"/>
      <c r="M10" s="704"/>
      <c r="N10" s="70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437" t="n">
        <f aca="false">COUNTIF(E10:M10,2)+COUNTIF(E10:M10,1)+COUNTIF(E10:M10,0)</f>
        <v>0</v>
      </c>
    </row>
    <row r="11" s="45" customFormat="true" ht="15" hidden="false" customHeight="true" outlineLevel="0" collapsed="false">
      <c r="A11" s="37" t="n">
        <v>4</v>
      </c>
      <c r="B11" s="37" t="s">
        <v>2315</v>
      </c>
      <c r="C11" s="37" t="s">
        <v>2316</v>
      </c>
      <c r="D11" s="699"/>
      <c r="E11" s="701"/>
      <c r="F11" s="701"/>
      <c r="G11" s="701"/>
      <c r="H11" s="702"/>
      <c r="I11" s="703"/>
      <c r="J11" s="703"/>
      <c r="K11" s="703"/>
      <c r="L11" s="703"/>
      <c r="M11" s="706"/>
      <c r="N11" s="70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437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2317</v>
      </c>
      <c r="C12" s="37" t="s">
        <v>2318</v>
      </c>
      <c r="D12" s="699"/>
      <c r="E12" s="701"/>
      <c r="F12" s="701"/>
      <c r="G12" s="701"/>
      <c r="H12" s="702"/>
      <c r="I12" s="703"/>
      <c r="J12" s="701"/>
      <c r="K12" s="701"/>
      <c r="L12" s="704"/>
      <c r="M12" s="704"/>
      <c r="N12" s="70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437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2319</v>
      </c>
      <c r="C13" s="37" t="s">
        <v>2320</v>
      </c>
      <c r="D13" s="699"/>
      <c r="E13" s="701"/>
      <c r="F13" s="701"/>
      <c r="G13" s="701"/>
      <c r="H13" s="702"/>
      <c r="I13" s="703"/>
      <c r="J13" s="701"/>
      <c r="K13" s="701"/>
      <c r="L13" s="704"/>
      <c r="M13" s="704"/>
      <c r="N13" s="70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437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2321</v>
      </c>
      <c r="C14" s="37" t="s">
        <v>2322</v>
      </c>
      <c r="D14" s="699"/>
      <c r="E14" s="701"/>
      <c r="F14" s="701"/>
      <c r="G14" s="701"/>
      <c r="H14" s="702"/>
      <c r="I14" s="703"/>
      <c r="J14" s="701"/>
      <c r="K14" s="701"/>
      <c r="L14" s="704"/>
      <c r="M14" s="704"/>
      <c r="N14" s="70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437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2323</v>
      </c>
      <c r="C15" s="37" t="s">
        <v>2324</v>
      </c>
      <c r="D15" s="699"/>
      <c r="E15" s="701"/>
      <c r="F15" s="701"/>
      <c r="G15" s="701"/>
      <c r="H15" s="702"/>
      <c r="I15" s="703"/>
      <c r="J15" s="701"/>
      <c r="K15" s="701"/>
      <c r="L15" s="704"/>
      <c r="M15" s="704"/>
      <c r="N15" s="70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437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2325</v>
      </c>
      <c r="C16" s="37" t="s">
        <v>2326</v>
      </c>
      <c r="D16" s="699"/>
      <c r="E16" s="701"/>
      <c r="F16" s="701"/>
      <c r="G16" s="701"/>
      <c r="H16" s="702"/>
      <c r="I16" s="703"/>
      <c r="J16" s="701"/>
      <c r="K16" s="701"/>
      <c r="L16" s="704"/>
      <c r="M16" s="704"/>
      <c r="N16" s="70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437" t="n">
        <f aca="false">COUNTIF(E16:M16,2)+COUNTIF(E16:M16,1)+COUNTIF(E16:M16,0)</f>
        <v>0</v>
      </c>
    </row>
    <row r="17" s="45" customFormat="true" ht="15" hidden="false" customHeight="true" outlineLevel="0" collapsed="false">
      <c r="A17" s="37" t="n">
        <v>10</v>
      </c>
      <c r="B17" s="37" t="s">
        <v>2327</v>
      </c>
      <c r="C17" s="37" t="s">
        <v>2328</v>
      </c>
      <c r="D17" s="699"/>
      <c r="E17" s="701"/>
      <c r="F17" s="701"/>
      <c r="G17" s="701"/>
      <c r="H17" s="702"/>
      <c r="I17" s="703"/>
      <c r="J17" s="701"/>
      <c r="K17" s="701"/>
      <c r="L17" s="704"/>
      <c r="M17" s="704"/>
      <c r="N17" s="70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437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2329</v>
      </c>
      <c r="C18" s="37" t="s">
        <v>2330</v>
      </c>
      <c r="D18" s="699"/>
      <c r="E18" s="701"/>
      <c r="F18" s="701"/>
      <c r="G18" s="701"/>
      <c r="H18" s="702"/>
      <c r="I18" s="703"/>
      <c r="J18" s="701"/>
      <c r="K18" s="701"/>
      <c r="L18" s="704"/>
      <c r="M18" s="704"/>
      <c r="N18" s="70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437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2331</v>
      </c>
      <c r="C19" s="37" t="s">
        <v>2332</v>
      </c>
      <c r="D19" s="699"/>
      <c r="E19" s="701"/>
      <c r="F19" s="701"/>
      <c r="G19" s="701"/>
      <c r="H19" s="702"/>
      <c r="I19" s="703"/>
      <c r="J19" s="701"/>
      <c r="K19" s="701"/>
      <c r="L19" s="704"/>
      <c r="M19" s="704"/>
      <c r="N19" s="70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437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2333</v>
      </c>
      <c r="C20" s="37" t="s">
        <v>2334</v>
      </c>
      <c r="D20" s="699"/>
      <c r="E20" s="701"/>
      <c r="F20" s="701"/>
      <c r="G20" s="701"/>
      <c r="H20" s="702"/>
      <c r="I20" s="703"/>
      <c r="J20" s="701"/>
      <c r="K20" s="701"/>
      <c r="L20" s="704"/>
      <c r="M20" s="704"/>
      <c r="N20" s="70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437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2335</v>
      </c>
      <c r="C21" s="37" t="s">
        <v>2336</v>
      </c>
      <c r="D21" s="699"/>
      <c r="E21" s="701"/>
      <c r="F21" s="701"/>
      <c r="G21" s="701"/>
      <c r="H21" s="702"/>
      <c r="I21" s="703"/>
      <c r="J21" s="701"/>
      <c r="K21" s="701"/>
      <c r="L21" s="704"/>
      <c r="M21" s="704"/>
      <c r="N21" s="70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437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2337</v>
      </c>
      <c r="C22" s="37" t="s">
        <v>2338</v>
      </c>
      <c r="D22" s="699"/>
      <c r="E22" s="701"/>
      <c r="F22" s="701"/>
      <c r="G22" s="701"/>
      <c r="H22" s="702"/>
      <c r="I22" s="703"/>
      <c r="J22" s="701"/>
      <c r="K22" s="701"/>
      <c r="L22" s="704"/>
      <c r="M22" s="704"/>
      <c r="N22" s="705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437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2339</v>
      </c>
      <c r="C23" s="37" t="s">
        <v>2340</v>
      </c>
      <c r="D23" s="699"/>
      <c r="E23" s="701"/>
      <c r="F23" s="701"/>
      <c r="G23" s="701"/>
      <c r="H23" s="702"/>
      <c r="I23" s="703"/>
      <c r="J23" s="701"/>
      <c r="K23" s="701"/>
      <c r="L23" s="704"/>
      <c r="M23" s="704"/>
      <c r="N23" s="705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437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2341</v>
      </c>
      <c r="C24" s="37" t="s">
        <v>2342</v>
      </c>
      <c r="D24" s="699"/>
      <c r="E24" s="701"/>
      <c r="F24" s="701"/>
      <c r="G24" s="701"/>
      <c r="H24" s="702"/>
      <c r="I24" s="703"/>
      <c r="J24" s="703"/>
      <c r="K24" s="703"/>
      <c r="L24" s="703"/>
      <c r="M24" s="706"/>
      <c r="N24" s="705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437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2343</v>
      </c>
      <c r="C25" s="37" t="s">
        <v>2344</v>
      </c>
      <c r="D25" s="699"/>
      <c r="E25" s="701"/>
      <c r="F25" s="701"/>
      <c r="G25" s="701"/>
      <c r="H25" s="702"/>
      <c r="I25" s="703"/>
      <c r="J25" s="701"/>
      <c r="K25" s="701"/>
      <c r="L25" s="704"/>
      <c r="M25" s="704"/>
      <c r="N25" s="705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437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19</v>
      </c>
      <c r="B26" s="37" t="s">
        <v>2345</v>
      </c>
      <c r="C26" s="37" t="s">
        <v>2346</v>
      </c>
      <c r="D26" s="699"/>
      <c r="E26" s="701"/>
      <c r="F26" s="701"/>
      <c r="G26" s="701"/>
      <c r="H26" s="702"/>
      <c r="I26" s="703"/>
      <c r="J26" s="701"/>
      <c r="K26" s="701"/>
      <c r="L26" s="704"/>
      <c r="M26" s="704"/>
      <c r="N26" s="705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437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20</v>
      </c>
      <c r="B27" s="37" t="s">
        <v>2347</v>
      </c>
      <c r="C27" s="37" t="s">
        <v>2348</v>
      </c>
      <c r="D27" s="699"/>
      <c r="E27" s="701"/>
      <c r="F27" s="701"/>
      <c r="G27" s="701"/>
      <c r="H27" s="702"/>
      <c r="I27" s="703"/>
      <c r="J27" s="701"/>
      <c r="K27" s="701"/>
      <c r="L27" s="704"/>
      <c r="M27" s="704"/>
      <c r="N27" s="705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437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2349</v>
      </c>
      <c r="C28" s="37" t="s">
        <v>2350</v>
      </c>
      <c r="D28" s="699"/>
      <c r="E28" s="701"/>
      <c r="F28" s="701"/>
      <c r="G28" s="701"/>
      <c r="H28" s="702"/>
      <c r="I28" s="703"/>
      <c r="J28" s="701"/>
      <c r="K28" s="701"/>
      <c r="L28" s="704"/>
      <c r="M28" s="704"/>
      <c r="N28" s="705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437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2351</v>
      </c>
      <c r="C29" s="37" t="s">
        <v>2352</v>
      </c>
      <c r="D29" s="699"/>
      <c r="E29" s="701"/>
      <c r="F29" s="701"/>
      <c r="G29" s="701"/>
      <c r="H29" s="702"/>
      <c r="I29" s="703"/>
      <c r="J29" s="701"/>
      <c r="K29" s="701"/>
      <c r="L29" s="704"/>
      <c r="M29" s="704"/>
      <c r="N29" s="705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437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23</v>
      </c>
      <c r="B30" s="37" t="s">
        <v>2353</v>
      </c>
      <c r="C30" s="37" t="s">
        <v>2354</v>
      </c>
      <c r="D30" s="699"/>
      <c r="E30" s="701"/>
      <c r="F30" s="701"/>
      <c r="G30" s="701"/>
      <c r="H30" s="702"/>
      <c r="I30" s="703"/>
      <c r="J30" s="701"/>
      <c r="K30" s="701"/>
      <c r="L30" s="704"/>
      <c r="M30" s="704"/>
      <c r="N30" s="705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437" t="n">
        <f aca="false">COUNTIF(E30:M30,2)+COUNTIF(E30:M30,1)+COUNTIF(E30:M30,0)</f>
        <v>0</v>
      </c>
    </row>
    <row r="31" customFormat="false" ht="15" hidden="false" customHeight="true" outlineLevel="0" collapsed="false">
      <c r="A31" s="37" t="n">
        <v>24</v>
      </c>
      <c r="B31" s="37" t="s">
        <v>2355</v>
      </c>
      <c r="C31" s="37" t="s">
        <v>2356</v>
      </c>
      <c r="D31" s="699"/>
      <c r="E31" s="701"/>
      <c r="F31" s="701"/>
      <c r="G31" s="701"/>
      <c r="H31" s="702"/>
      <c r="I31" s="703"/>
      <c r="J31" s="701"/>
      <c r="K31" s="701"/>
      <c r="L31" s="704"/>
      <c r="M31" s="704"/>
      <c r="N31" s="705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437" t="n">
        <f aca="false">COUNTIF(E31:M31,2)+COUNTIF(E31:M31,1)+COUNTIF(E31:M31,0)</f>
        <v>0</v>
      </c>
    </row>
    <row r="32" customFormat="false" ht="15" hidden="false" customHeight="true" outlineLevel="0" collapsed="false">
      <c r="A32" s="37" t="n">
        <v>25</v>
      </c>
      <c r="B32" s="37" t="s">
        <v>2357</v>
      </c>
      <c r="C32" s="37" t="s">
        <v>2358</v>
      </c>
      <c r="D32" s="699"/>
      <c r="E32" s="701"/>
      <c r="F32" s="701"/>
      <c r="G32" s="701"/>
      <c r="H32" s="702"/>
      <c r="I32" s="703"/>
      <c r="J32" s="701"/>
      <c r="K32" s="701"/>
      <c r="L32" s="704"/>
      <c r="M32" s="704"/>
      <c r="N32" s="705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437" t="n">
        <f aca="false">COUNTIF(E32:M32,2)+COUNTIF(E32:M32,1)+COUNTIF(E32:M32,0)</f>
        <v>0</v>
      </c>
    </row>
    <row r="33" customFormat="false" ht="15" hidden="false" customHeight="true" outlineLevel="0" collapsed="false">
      <c r="A33" s="5" t="s">
        <v>77</v>
      </c>
      <c r="B33" s="5"/>
      <c r="C33" s="5"/>
      <c r="D33" s="209"/>
      <c r="E33" s="210" t="e">
        <f aca="false">AVERAGE(E8:E32)</f>
        <v>#DIV/0!</v>
      </c>
      <c r="F33" s="210" t="e">
        <f aca="false">AVERAGE(F8:F32)</f>
        <v>#DIV/0!</v>
      </c>
      <c r="G33" s="210" t="e">
        <f aca="false">AVERAGE(G8:G32)</f>
        <v>#DIV/0!</v>
      </c>
      <c r="H33" s="210" t="e">
        <f aca="false">AVERAGE(H8:H32)</f>
        <v>#DIV/0!</v>
      </c>
      <c r="I33" s="210" t="e">
        <f aca="false">AVERAGE(I8:I32)</f>
        <v>#DIV/0!</v>
      </c>
      <c r="J33" s="210" t="e">
        <f aca="false">AVERAGE(J8:J32)</f>
        <v>#DIV/0!</v>
      </c>
      <c r="K33" s="210" t="e">
        <f aca="false">AVERAGE(K8:K32)</f>
        <v>#DIV/0!</v>
      </c>
      <c r="L33" s="210" t="e">
        <f aca="false">AVERAGE(L8:L32)</f>
        <v>#DIV/0!</v>
      </c>
      <c r="M33" s="210" t="e">
        <f aca="false">AVERAGE(M8:M32)</f>
        <v>#DIV/0!</v>
      </c>
      <c r="N33" s="617"/>
      <c r="O33" s="48"/>
      <c r="P33" s="49"/>
      <c r="R33" s="707"/>
    </row>
    <row r="34" customFormat="false" ht="15" hidden="false" customHeight="true" outlineLevel="0" collapsed="false">
      <c r="A34" s="0" t="s">
        <v>78</v>
      </c>
      <c r="B34" s="72"/>
      <c r="C34" s="72"/>
      <c r="D34" s="209"/>
      <c r="E34" s="137" t="e">
        <f aca="false">(COUNTIF(E8:E32,5)+COUNTIF(E8:E32,4)+COUNTIF(E8:E32,3))/$Q$39*100</f>
        <v>#DIV/0!</v>
      </c>
      <c r="F34" s="137" t="e">
        <f aca="false">(COUNTIF(F8:F32,5)+COUNTIF(F8:F32,4)+COUNTIF(F8:F32,3))/$Q$39*100</f>
        <v>#DIV/0!</v>
      </c>
      <c r="G34" s="137" t="e">
        <f aca="false">(COUNTIF(G8:G32,5)+COUNTIF(G8:G32,4)+COUNTIF(G8:G32,3))/$Q$39*100</f>
        <v>#DIV/0!</v>
      </c>
      <c r="H34" s="137" t="e">
        <f aca="false">(COUNTIF(H8:H32,5)+COUNTIF(H8:H32,4)+COUNTIF(H8:H32,3))/$Q$39*100</f>
        <v>#DIV/0!</v>
      </c>
      <c r="I34" s="137" t="e">
        <f aca="false">(COUNTIF(I8:I32,5)+COUNTIF(I8:I32,4)+COUNTIF(I8:I32,3))/$Q$39*100</f>
        <v>#DIV/0!</v>
      </c>
      <c r="J34" s="137" t="e">
        <f aca="false">(COUNTIF(J8:J32,5)+COUNTIF(J8:J32,4)+COUNTIF(J8:J32,3))/$Q$39*100</f>
        <v>#DIV/0!</v>
      </c>
      <c r="K34" s="137" t="e">
        <f aca="false">(COUNTIF(K8:K32,5)+COUNTIF(K8:K32,4)+COUNTIF(K8:K32,3))/$Q$39*100</f>
        <v>#DIV/0!</v>
      </c>
      <c r="L34" s="137" t="e">
        <f aca="false">(COUNTIF(L8:L32,5)+COUNTIF(L8:L32,4)+COUNTIF(L8:L32,3))/$Q$39*100</f>
        <v>#DIV/0!</v>
      </c>
      <c r="M34" s="137" t="e">
        <f aca="false">(COUNTIF(M8:M32,5)+COUNTIF(M8:M32,4)+COUNTIF(M8:M32,3))/$Q$39*100</f>
        <v>#DIV/0!</v>
      </c>
      <c r="N34" s="617"/>
      <c r="O34" s="48"/>
      <c r="P34" s="49"/>
      <c r="R34" s="242"/>
    </row>
    <row r="35" customFormat="false" ht="15" hidden="false" customHeight="true" outlineLevel="0" collapsed="false">
      <c r="A35" s="72"/>
      <c r="B35" s="72"/>
      <c r="C35" s="72"/>
      <c r="D35" s="46"/>
      <c r="E35" s="47"/>
      <c r="F35" s="47"/>
      <c r="G35" s="47"/>
      <c r="H35" s="47"/>
      <c r="I35" s="47"/>
      <c r="J35" s="47"/>
      <c r="K35" s="47"/>
      <c r="L35" s="47"/>
      <c r="M35" s="47"/>
      <c r="N35" s="617"/>
      <c r="O35" s="48"/>
      <c r="P35" s="49"/>
      <c r="R35" s="423"/>
    </row>
    <row r="36" customFormat="false" ht="15" hidden="false" customHeight="true" outlineLevel="0" collapsed="false">
      <c r="D36" s="537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617"/>
      <c r="R36" s="48"/>
      <c r="S36" s="242"/>
      <c r="T36" s="242"/>
      <c r="U36" s="242"/>
    </row>
    <row r="37" customFormat="false" ht="15" hidden="false" customHeight="true" outlineLevel="0" collapsed="false">
      <c r="B37" s="50"/>
      <c r="C37" s="50" t="s">
        <v>8</v>
      </c>
      <c r="D37" s="51" t="str">
        <f aca="false">IFERROR(AVERAGE(N8:N32),"")</f>
        <v/>
      </c>
      <c r="E37" s="52" t="s">
        <v>9</v>
      </c>
      <c r="F37" s="52"/>
      <c r="G37" s="53" t="str">
        <f aca="false">IFERROR(COUNTIF(O8:O32,"Успевает")/Q39*100,"")</f>
        <v/>
      </c>
      <c r="H37" s="54" t="s">
        <v>79</v>
      </c>
      <c r="I37" s="54"/>
      <c r="J37" s="55" t="str">
        <f aca="false">IFERROR(AVERAGE(P8:P32),"")</f>
        <v/>
      </c>
      <c r="K37" s="52"/>
      <c r="L37" s="52"/>
      <c r="M37" s="52"/>
      <c r="N37" s="52"/>
      <c r="O37" s="48"/>
      <c r="P37" s="48"/>
      <c r="Q37" s="48"/>
      <c r="R37" s="48"/>
      <c r="S37" s="242"/>
      <c r="T37" s="242"/>
      <c r="U37" s="242"/>
    </row>
    <row r="38" customFormat="false" ht="15" hidden="false" customHeight="true" outlineLevel="0" collapsed="false">
      <c r="B38" s="50"/>
      <c r="C38" s="50"/>
      <c r="D38" s="50"/>
      <c r="E38" s="56"/>
      <c r="F38" s="56"/>
      <c r="G38" s="56"/>
      <c r="H38" s="56"/>
      <c r="I38" s="56"/>
      <c r="J38" s="56"/>
      <c r="K38" s="56"/>
      <c r="L38" s="56"/>
      <c r="M38" s="56"/>
      <c r="Q38" s="183"/>
      <c r="R38" s="183"/>
      <c r="S38" s="242"/>
      <c r="T38" s="242"/>
    </row>
    <row r="39" customFormat="false" ht="15" hidden="false" customHeight="true" outlineLevel="0" collapsed="false">
      <c r="A39" s="50"/>
      <c r="B39" s="61" t="s">
        <v>81</v>
      </c>
      <c r="C39" s="61"/>
      <c r="D39" s="61"/>
      <c r="E39" s="61"/>
      <c r="F39" s="61"/>
      <c r="G39" s="61"/>
      <c r="H39" s="61"/>
      <c r="I39" s="61"/>
      <c r="J39" s="61"/>
      <c r="K39" s="61" t="s">
        <v>82</v>
      </c>
      <c r="L39" s="61"/>
      <c r="M39" s="61"/>
      <c r="O39" s="57" t="s">
        <v>80</v>
      </c>
      <c r="P39" s="57"/>
      <c r="Q39" s="58" t="n">
        <f aca="false">SUM(Q40,Q41)</f>
        <v>0</v>
      </c>
      <c r="R39" s="64"/>
      <c r="S39" s="242"/>
      <c r="T39" s="242"/>
    </row>
    <row r="40" customFormat="false" ht="15" hidden="false" customHeight="true" outlineLevel="0" collapsed="false">
      <c r="A40" s="50"/>
      <c r="B40" s="65" t="str">
        <f aca="false">$E$6</f>
        <v> Использование интерфейсов прикладного программирования операционных систем</v>
      </c>
      <c r="C40" s="65"/>
      <c r="D40" s="65"/>
      <c r="E40" s="65"/>
      <c r="F40" s="65"/>
      <c r="G40" s="65"/>
      <c r="H40" s="65"/>
      <c r="I40" s="65"/>
      <c r="J40" s="65"/>
      <c r="K40" s="66"/>
      <c r="L40" s="66"/>
      <c r="M40" s="66"/>
      <c r="O40" s="57" t="s">
        <v>83</v>
      </c>
      <c r="P40" s="57"/>
      <c r="Q40" s="58" t="n">
        <f aca="false">COUNTIF(O8:O32,"Успевает")</f>
        <v>0</v>
      </c>
      <c r="R40" s="69"/>
      <c r="S40" s="242"/>
      <c r="T40" s="242"/>
    </row>
    <row r="41" customFormat="false" ht="15" hidden="false" customHeight="true" outlineLevel="0" collapsed="false">
      <c r="A41" s="50"/>
      <c r="B41" s="65" t="str">
        <f aca="false">$F$6</f>
        <v> Основы электроники</v>
      </c>
      <c r="C41" s="65"/>
      <c r="D41" s="65"/>
      <c r="E41" s="65"/>
      <c r="F41" s="65"/>
      <c r="G41" s="65"/>
      <c r="H41" s="65"/>
      <c r="I41" s="65"/>
      <c r="J41" s="65"/>
      <c r="K41" s="66"/>
      <c r="L41" s="66"/>
      <c r="M41" s="66"/>
      <c r="O41" s="98" t="s">
        <v>84</v>
      </c>
      <c r="P41" s="98"/>
      <c r="Q41" s="58" t="n">
        <f aca="false">COUNTIF(O8:O32,"Не успевает")</f>
        <v>0</v>
      </c>
      <c r="R41" s="448"/>
      <c r="S41" s="242"/>
      <c r="T41" s="242"/>
    </row>
    <row r="42" customFormat="false" ht="15" hidden="false" customHeight="true" outlineLevel="0" collapsed="false">
      <c r="A42" s="50"/>
      <c r="B42" s="65" t="str">
        <f aca="false">$G$6</f>
        <v> Системное программирование</v>
      </c>
      <c r="C42" s="65"/>
      <c r="D42" s="65"/>
      <c r="E42" s="65"/>
      <c r="F42" s="65"/>
      <c r="G42" s="65"/>
      <c r="H42" s="65"/>
      <c r="I42" s="65"/>
      <c r="J42" s="65"/>
      <c r="K42" s="66"/>
      <c r="L42" s="66"/>
      <c r="M42" s="66"/>
      <c r="O42" s="98" t="s">
        <v>85</v>
      </c>
      <c r="P42" s="98"/>
      <c r="Q42" s="58" t="n">
        <f aca="false">COUNTIF(Q8:Q32,"Благодарность")</f>
        <v>0</v>
      </c>
      <c r="S42" s="242"/>
      <c r="T42" s="242"/>
    </row>
    <row r="43" customFormat="false" ht="15" hidden="false" customHeight="true" outlineLevel="0" collapsed="false">
      <c r="A43" s="50"/>
      <c r="B43" s="65" t="str">
        <f aca="false">$H$6</f>
        <v> Физика</v>
      </c>
      <c r="C43" s="65"/>
      <c r="D43" s="65"/>
      <c r="E43" s="65"/>
      <c r="F43" s="65"/>
      <c r="G43" s="65"/>
      <c r="H43" s="65"/>
      <c r="I43" s="65"/>
      <c r="J43" s="65"/>
      <c r="K43" s="66"/>
      <c r="L43" s="66"/>
      <c r="M43" s="66"/>
      <c r="O43" s="98" t="s">
        <v>86</v>
      </c>
      <c r="P43" s="98"/>
      <c r="Q43" s="58" t="n">
        <f aca="false">COUNTIF(Q8:Q32,"Нормально")</f>
        <v>0</v>
      </c>
    </row>
    <row r="44" customFormat="false" ht="15" hidden="false" customHeight="true" outlineLevel="0" collapsed="false">
      <c r="A44" s="50"/>
      <c r="B44" s="65" t="str">
        <f aca="false">$I$6</f>
        <v> Дискретная математика</v>
      </c>
      <c r="C44" s="65"/>
      <c r="D44" s="65"/>
      <c r="E44" s="65"/>
      <c r="F44" s="65"/>
      <c r="G44" s="65"/>
      <c r="H44" s="65"/>
      <c r="I44" s="65"/>
      <c r="J44" s="65"/>
      <c r="K44" s="66"/>
      <c r="L44" s="66"/>
      <c r="M44" s="66"/>
      <c r="O44" s="98" t="s">
        <v>87</v>
      </c>
      <c r="P44" s="98"/>
      <c r="Q44" s="58" t="n">
        <f aca="false">COUNTIF(Q8:Q32,"Предупреждение")</f>
        <v>0</v>
      </c>
    </row>
    <row r="45" customFormat="false" ht="15" hidden="false" customHeight="true" outlineLevel="0" collapsed="false">
      <c r="A45" s="50"/>
      <c r="B45" s="65" t="str">
        <f aca="false">$J$6</f>
        <v>Иностранный язык</v>
      </c>
      <c r="C45" s="65"/>
      <c r="D45" s="65"/>
      <c r="E45" s="65"/>
      <c r="F45" s="65"/>
      <c r="G45" s="65"/>
      <c r="H45" s="65"/>
      <c r="I45" s="65"/>
      <c r="J45" s="65"/>
      <c r="K45" s="66"/>
      <c r="L45" s="66"/>
      <c r="M45" s="66"/>
      <c r="O45" s="98" t="s">
        <v>88</v>
      </c>
      <c r="P45" s="98"/>
      <c r="Q45" s="58" t="n">
        <f aca="false">COUNTIF(Q8:Q32,"Выговор")</f>
        <v>0</v>
      </c>
    </row>
    <row r="46" customFormat="false" ht="15" hidden="false" customHeight="true" outlineLevel="0" collapsed="false">
      <c r="A46" s="50"/>
      <c r="B46" s="65" t="str">
        <f aca="false">$K$6</f>
        <v> Тестирование систем обработки информации</v>
      </c>
      <c r="C46" s="65"/>
      <c r="D46" s="65"/>
      <c r="E46" s="65"/>
      <c r="F46" s="65"/>
      <c r="G46" s="65"/>
      <c r="H46" s="65"/>
      <c r="I46" s="65"/>
      <c r="J46" s="65"/>
      <c r="K46" s="66"/>
      <c r="L46" s="66"/>
      <c r="M46" s="66"/>
      <c r="N46" s="67"/>
      <c r="O46" s="185" t="s">
        <v>1575</v>
      </c>
      <c r="P46" s="186"/>
      <c r="Q46" s="71" t="n">
        <f aca="false">SUM(R8:R32)</f>
        <v>0</v>
      </c>
    </row>
    <row r="47" customFormat="false" ht="15" hidden="false" customHeight="true" outlineLevel="0" collapsed="false">
      <c r="A47" s="50"/>
      <c r="B47" s="65" t="str">
        <f aca="false">$L$6</f>
        <v> Философия</v>
      </c>
      <c r="C47" s="65"/>
      <c r="D47" s="65"/>
      <c r="E47" s="65"/>
      <c r="F47" s="65"/>
      <c r="G47" s="65"/>
      <c r="H47" s="65"/>
      <c r="I47" s="65"/>
      <c r="J47" s="65"/>
      <c r="K47" s="66"/>
      <c r="L47" s="66"/>
      <c r="M47" s="66"/>
      <c r="N47" s="67"/>
      <c r="O47" s="67"/>
      <c r="P47" s="48"/>
      <c r="Q47" s="48"/>
    </row>
    <row r="48" customFormat="false" ht="15" hidden="false" customHeight="true" outlineLevel="0" collapsed="false">
      <c r="A48" s="50"/>
      <c r="B48" s="65" t="str">
        <f aca="false">$M$6</f>
        <v>Физическая культура и спорт</v>
      </c>
      <c r="C48" s="65"/>
      <c r="D48" s="65"/>
      <c r="E48" s="65"/>
      <c r="F48" s="65"/>
      <c r="G48" s="65"/>
      <c r="H48" s="65"/>
      <c r="I48" s="65"/>
      <c r="J48" s="65"/>
      <c r="K48" s="66"/>
      <c r="L48" s="66"/>
      <c r="M48" s="66"/>
      <c r="N48" s="67"/>
      <c r="O48" s="67"/>
      <c r="P48" s="48"/>
      <c r="Q48" s="48"/>
    </row>
    <row r="49" customFormat="false" ht="15" hidden="false" customHeight="true" outlineLevel="0" collapsed="false">
      <c r="A49" s="50"/>
      <c r="B49" s="139"/>
      <c r="C49" s="139"/>
      <c r="D49" s="139"/>
      <c r="E49" s="139"/>
      <c r="F49" s="139"/>
      <c r="G49" s="139"/>
      <c r="H49" s="139"/>
      <c r="I49" s="139"/>
      <c r="J49" s="139"/>
      <c r="K49" s="139"/>
      <c r="L49" s="50"/>
      <c r="M49" s="50"/>
      <c r="N49" s="50"/>
      <c r="O49" s="48"/>
      <c r="P49" s="48"/>
      <c r="Q49" s="48"/>
      <c r="R49" s="48"/>
    </row>
    <row r="50" customFormat="false" ht="15" hidden="false" customHeight="true" outlineLevel="0" collapsed="false">
      <c r="A50" s="50"/>
      <c r="B50" s="500" t="s">
        <v>1378</v>
      </c>
      <c r="C50" s="198" t="s">
        <v>2359</v>
      </c>
      <c r="D50" s="198"/>
      <c r="E50" s="67"/>
      <c r="F50" s="52" t="s">
        <v>369</v>
      </c>
      <c r="G50" s="300" t="s">
        <v>2308</v>
      </c>
      <c r="H50" s="52"/>
      <c r="I50" s="52"/>
      <c r="J50" s="52"/>
      <c r="K50" s="52"/>
      <c r="L50" s="50"/>
      <c r="M50" s="50"/>
      <c r="N50" s="50"/>
      <c r="O50" s="48"/>
      <c r="P50" s="48"/>
      <c r="Q50" s="48"/>
      <c r="R50" s="48"/>
    </row>
    <row r="51" customFormat="false" ht="15" hidden="false" customHeight="tru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48"/>
      <c r="P51" s="48"/>
      <c r="Q51" s="48"/>
      <c r="R51" s="48"/>
    </row>
    <row r="52" customFormat="false" ht="15" hidden="false" customHeight="true" outlineLevel="0" collapsed="false">
      <c r="A52" s="50"/>
      <c r="B52" s="50" t="s">
        <v>93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48"/>
      <c r="P52" s="48"/>
      <c r="Q52" s="48"/>
      <c r="R52" s="48"/>
    </row>
    <row r="53" customFormat="false" ht="15" hidden="false" customHeight="true" outlineLevel="0" collapsed="false">
      <c r="A53" s="50"/>
      <c r="B53" s="50" t="s">
        <v>94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48"/>
      <c r="P53" s="48"/>
      <c r="Q53" s="48"/>
      <c r="R53" s="48"/>
    </row>
    <row r="54" customFormat="false" ht="15" hidden="false" customHeight="true" outlineLevel="0" collapsed="false">
      <c r="A54" s="50"/>
      <c r="B54" s="50" t="s">
        <v>95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48"/>
      <c r="P54" s="48"/>
      <c r="Q54" s="48"/>
      <c r="R54" s="48"/>
    </row>
    <row r="55" customFormat="false" ht="15" hidden="false" customHeight="true" outlineLevel="0" collapsed="false">
      <c r="B55" s="50" t="s">
        <v>96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</row>
    <row r="56" customFormat="false" ht="15" hidden="false" customHeight="true" outlineLevel="0" collapsed="false">
      <c r="B56" s="50" t="s">
        <v>97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</row>
    <row r="57" customFormat="false" ht="15" hidden="false" customHeight="true" outlineLevel="0" collapsed="false">
      <c r="B57" s="50" t="s">
        <v>98</v>
      </c>
      <c r="C57" s="50"/>
      <c r="D57" s="50"/>
      <c r="E57" s="50"/>
      <c r="F57" s="50"/>
      <c r="G57" s="50"/>
      <c r="H57" s="50"/>
      <c r="I57" s="50"/>
      <c r="J57" s="50"/>
      <c r="K57" s="50"/>
    </row>
    <row r="58" customFormat="false" ht="15" hidden="false" customHeight="true" outlineLevel="0" collapsed="false">
      <c r="B58" s="50" t="s">
        <v>99</v>
      </c>
      <c r="C58" s="50"/>
      <c r="D58" s="50"/>
      <c r="E58" s="50"/>
      <c r="F58" s="50"/>
      <c r="G58" s="50"/>
      <c r="H58" s="50"/>
      <c r="I58" s="50"/>
      <c r="J58" s="50"/>
      <c r="K58" s="50"/>
    </row>
    <row r="59" customFormat="false" ht="15" hidden="false" customHeight="true" outlineLevel="0" collapsed="false"/>
    <row r="60" customFormat="false" ht="15.75" hidden="false" customHeight="true" outlineLevel="0" collapsed="false"/>
    <row r="61" customFormat="false" ht="15.75" hidden="false" customHeight="true" outlineLevel="0" collapsed="false"/>
    <row r="62" customFormat="false" ht="15.75" hidden="false" customHeight="true" outlineLevel="0" collapsed="false"/>
    <row r="63" customFormat="false" ht="15.75" hidden="false" customHeight="true" outlineLevel="0" collapsed="false"/>
    <row r="64" customFormat="false" ht="15.75" hidden="false" customHeight="true" outlineLevel="0" collapsed="false"/>
    <row r="65" customFormat="false" ht="15.75" hidden="false" customHeight="true" outlineLevel="0" collapsed="false"/>
    <row r="66" customFormat="false" ht="15.75" hidden="false" customHeight="true" outlineLevel="0" collapsed="false"/>
    <row r="67" customFormat="false" ht="15.75" hidden="false" customHeight="true" outlineLevel="0" collapsed="false"/>
    <row r="68" customFormat="false" ht="15.75" hidden="false" customHeight="true" outlineLevel="0" collapsed="false"/>
    <row r="69" customFormat="false" ht="15.75" hidden="false" customHeight="true" outlineLevel="0" collapsed="false"/>
    <row r="70" customFormat="false" ht="15.75" hidden="false" customHeight="true" outlineLevel="0" collapsed="false"/>
    <row r="71" customFormat="false" ht="15.75" hidden="false" customHeight="true" outlineLevel="0" collapsed="false"/>
  </sheetData>
  <mergeCells count="43">
    <mergeCell ref="E1:H1"/>
    <mergeCell ref="A3:R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A33:C33"/>
    <mergeCell ref="H37:I37"/>
    <mergeCell ref="Q38:R38"/>
    <mergeCell ref="B39:J39"/>
    <mergeCell ref="K39:M39"/>
    <mergeCell ref="O39:P39"/>
    <mergeCell ref="B40:J40"/>
    <mergeCell ref="K40:M40"/>
    <mergeCell ref="O40:P40"/>
    <mergeCell ref="B41:J41"/>
    <mergeCell ref="K41:M41"/>
    <mergeCell ref="O41:P41"/>
    <mergeCell ref="B42:J42"/>
    <mergeCell ref="K42:M42"/>
    <mergeCell ref="O42:P42"/>
    <mergeCell ref="B43:J43"/>
    <mergeCell ref="K43:M43"/>
    <mergeCell ref="O43:P43"/>
    <mergeCell ref="B44:J44"/>
    <mergeCell ref="K44:M44"/>
    <mergeCell ref="O44:P44"/>
    <mergeCell ref="B45:J45"/>
    <mergeCell ref="K45:M45"/>
    <mergeCell ref="O45:P45"/>
    <mergeCell ref="B46:J46"/>
    <mergeCell ref="K46:M46"/>
    <mergeCell ref="B47:J47"/>
    <mergeCell ref="K47:M47"/>
    <mergeCell ref="B48:J48"/>
    <mergeCell ref="K48:M48"/>
  </mergeCells>
  <conditionalFormatting sqref="J29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9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6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6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6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6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7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7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7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7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5 Q36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1:J16 J8 J18:J21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7:I28 I21:I25 I30:I32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7:K28 K21:K25 K30:K32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1:I16 I8 I18:I20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1:K16 K8 K18:K20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27:J28 J22:J25 J30:J32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:E28 E11:E16 E8 E18:E25 E30:E32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6:P36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3:M35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7:M28 F21:H25 L21:M25 F27:H28 F30:H32 L30:M32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1:M16 F8:H8 L8:M8 F11:H16 F18:H20 L18:M20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7:M17 F17:H17">
    <cfRule type="colorScale" priority="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6:M26 F26:H26">
    <cfRule type="colorScale" priority="2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9:M29 F29:H29">
    <cfRule type="colorScale" priority="2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9:J10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9:I10">
    <cfRule type="colorScale" priority="3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9:K10">
    <cfRule type="colorScale" priority="3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E10">
    <cfRule type="colorScale" priority="3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9:M10 F9:H10">
    <cfRule type="colorScale" priority="3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6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B8" activeCellId="0" sqref="B8"/>
    </sheetView>
  </sheetViews>
  <sheetFormatPr defaultColWidth="8.6796875" defaultRowHeight="15" zeroHeight="false" outlineLevelRow="0" outlineLevelCol="0"/>
  <cols>
    <col collapsed="false" customWidth="true" hidden="false" outlineLevel="0" max="3" min="3" style="0" width="19.42"/>
  </cols>
  <sheetData>
    <row r="1" customFormat="false" ht="19.7" hidden="false" customHeight="false" outlineLevel="0" collapsed="false">
      <c r="A1" s="45"/>
      <c r="B1" s="45"/>
      <c r="C1" s="45"/>
      <c r="D1" s="45"/>
      <c r="E1" s="1" t="s">
        <v>0</v>
      </c>
      <c r="F1" s="1"/>
      <c r="G1" s="1"/>
      <c r="H1" s="1"/>
      <c r="I1" s="2" t="n">
        <f aca="false">set!B1</f>
        <v>2</v>
      </c>
      <c r="J1" s="3"/>
      <c r="K1" s="45"/>
      <c r="L1" s="45"/>
      <c r="M1" s="45"/>
      <c r="N1" s="45"/>
      <c r="O1" s="45"/>
      <c r="P1" s="45"/>
      <c r="Q1" s="45"/>
      <c r="R1" s="45"/>
    </row>
    <row r="2" customFormat="false" ht="15" hidden="false" customHeight="false" outlineLevel="0" collapsed="false">
      <c r="A2" s="45"/>
      <c r="B2" s="45"/>
      <c r="C2" s="45"/>
      <c r="D2" s="45"/>
      <c r="E2" s="45"/>
      <c r="F2" s="45"/>
      <c r="G2" s="45"/>
      <c r="H2" s="4"/>
      <c r="I2" s="45"/>
      <c r="J2" s="45"/>
      <c r="K2" s="45"/>
      <c r="L2" s="72"/>
      <c r="M2" s="72" t="s">
        <v>1</v>
      </c>
      <c r="N2" s="72"/>
      <c r="O2" s="599" t="n">
        <f aca="false">set!B4</f>
        <v>45608</v>
      </c>
      <c r="P2" s="72"/>
      <c r="Q2" s="72"/>
      <c r="R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ИУК5-33Б факультета ИУК МГТУ им. Н.Э. Баумана"</f>
        <v>Успеваемость студентов за 1 семестр 24/25 учебного года по группе ИУК5-33Б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</row>
    <row r="4" customFormat="false" ht="15" hidden="false" customHeight="false" outlineLevel="0" collapsed="false">
      <c r="A4" s="45"/>
      <c r="B4" s="7"/>
      <c r="C4" s="7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696" t="s">
        <v>8</v>
      </c>
      <c r="O5" s="697" t="s">
        <v>9</v>
      </c>
      <c r="P5" s="697" t="s">
        <v>10</v>
      </c>
      <c r="Q5" s="430" t="s">
        <v>11</v>
      </c>
      <c r="R5" s="698" t="s">
        <v>1575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2243</v>
      </c>
      <c r="F6" s="405" t="s">
        <v>734</v>
      </c>
      <c r="G6" s="340" t="s">
        <v>735</v>
      </c>
      <c r="H6" s="342" t="s">
        <v>736</v>
      </c>
      <c r="I6" s="405" t="s">
        <v>1646</v>
      </c>
      <c r="J6" s="340" t="s">
        <v>18</v>
      </c>
      <c r="K6" s="340" t="s">
        <v>2244</v>
      </c>
      <c r="L6" s="340" t="s">
        <v>170</v>
      </c>
      <c r="M6" s="342" t="s">
        <v>147</v>
      </c>
      <c r="N6" s="696"/>
      <c r="O6" s="696"/>
      <c r="P6" s="696"/>
      <c r="Q6" s="430"/>
      <c r="R6" s="698"/>
    </row>
    <row r="7" customFormat="false" ht="17.9" hidden="false" customHeight="false" outlineLevel="0" collapsed="false">
      <c r="A7" s="8"/>
      <c r="B7" s="8"/>
      <c r="C7" s="8"/>
      <c r="D7" s="9"/>
      <c r="E7" s="343" t="s">
        <v>547</v>
      </c>
      <c r="F7" s="407" t="s">
        <v>509</v>
      </c>
      <c r="G7" s="344" t="s">
        <v>741</v>
      </c>
      <c r="H7" s="345" t="s">
        <v>22</v>
      </c>
      <c r="I7" s="343" t="s">
        <v>742</v>
      </c>
      <c r="J7" s="344" t="s">
        <v>27</v>
      </c>
      <c r="K7" s="344" t="s">
        <v>1004</v>
      </c>
      <c r="L7" s="344" t="s">
        <v>175</v>
      </c>
      <c r="M7" s="346" t="s">
        <v>176</v>
      </c>
      <c r="N7" s="696"/>
      <c r="O7" s="696"/>
      <c r="P7" s="696"/>
      <c r="Q7" s="430"/>
      <c r="R7" s="698"/>
    </row>
    <row r="8" customFormat="false" ht="15" hidden="false" customHeight="false" outlineLevel="0" collapsed="false">
      <c r="A8" s="543" t="n">
        <v>1</v>
      </c>
      <c r="B8" s="37" t="s">
        <v>2360</v>
      </c>
      <c r="C8" s="37" t="s">
        <v>2361</v>
      </c>
      <c r="D8" s="699"/>
      <c r="E8" s="700"/>
      <c r="F8" s="701"/>
      <c r="G8" s="701"/>
      <c r="H8" s="702"/>
      <c r="I8" s="703"/>
      <c r="J8" s="701"/>
      <c r="K8" s="701"/>
      <c r="L8" s="704"/>
      <c r="M8" s="704"/>
      <c r="N8" s="708" t="str">
        <f aca="false">IFERROR(AVERAGE(E8:M8),"")</f>
        <v/>
      </c>
      <c r="O8" s="383" t="str">
        <f aca="false">IF(E8&lt;&gt;"",IF(COUNTIF(E8:M8,"&lt;3"),"Не успевает","Успевает"),"")</f>
        <v/>
      </c>
      <c r="P8" s="465" t="str">
        <f aca="false">IF(D8&lt;&gt;"",(30*(set!B$5)-D8)/(30*(set!B$5))*100,"")</f>
        <v/>
      </c>
      <c r="Q8" s="103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709" t="n">
        <f aca="false">COUNTIF(E8:M8,2)+COUNTIF(E8:M8,1)+COUNTIF(E8:M8,0)</f>
        <v>0</v>
      </c>
    </row>
    <row r="9" customFormat="false" ht="15" hidden="false" customHeight="false" outlineLevel="0" collapsed="false">
      <c r="A9" s="37" t="n">
        <v>2</v>
      </c>
      <c r="B9" s="37" t="s">
        <v>2362</v>
      </c>
      <c r="C9" s="37" t="s">
        <v>2363</v>
      </c>
      <c r="D9" s="699"/>
      <c r="E9" s="700"/>
      <c r="F9" s="701"/>
      <c r="G9" s="701"/>
      <c r="H9" s="702"/>
      <c r="I9" s="703"/>
      <c r="J9" s="701"/>
      <c r="K9" s="701"/>
      <c r="L9" s="704"/>
      <c r="M9" s="704"/>
      <c r="N9" s="70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437" t="n">
        <f aca="false">COUNTIF(E9:M9,2)+COUNTIF(E9:M9,1)+COUNTIF(E9:M9,0)</f>
        <v>0</v>
      </c>
    </row>
    <row r="10" customFormat="false" ht="15" hidden="false" customHeight="false" outlineLevel="0" collapsed="false">
      <c r="A10" s="37" t="n">
        <v>3</v>
      </c>
      <c r="B10" s="37" t="s">
        <v>2364</v>
      </c>
      <c r="C10" s="37" t="s">
        <v>2365</v>
      </c>
      <c r="D10" s="699"/>
      <c r="E10" s="700"/>
      <c r="F10" s="701"/>
      <c r="G10" s="701"/>
      <c r="H10" s="702"/>
      <c r="I10" s="703"/>
      <c r="J10" s="701"/>
      <c r="K10" s="701"/>
      <c r="L10" s="704"/>
      <c r="M10" s="704"/>
      <c r="N10" s="70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437" t="n">
        <f aca="false">COUNTIF(E10:M10,2)+COUNTIF(E10:M10,1)+COUNTIF(E10:M10,0)</f>
        <v>0</v>
      </c>
    </row>
    <row r="11" customFormat="false" ht="15" hidden="false" customHeight="false" outlineLevel="0" collapsed="false">
      <c r="A11" s="37" t="n">
        <v>4</v>
      </c>
      <c r="B11" s="37" t="s">
        <v>2366</v>
      </c>
      <c r="C11" s="37" t="s">
        <v>2367</v>
      </c>
      <c r="D11" s="699"/>
      <c r="E11" s="700"/>
      <c r="F11" s="701"/>
      <c r="G11" s="701"/>
      <c r="H11" s="702"/>
      <c r="I11" s="703"/>
      <c r="J11" s="701"/>
      <c r="K11" s="701"/>
      <c r="L11" s="704"/>
      <c r="M11" s="704"/>
      <c r="N11" s="70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437" t="n">
        <f aca="false">COUNTIF(E11:M11,2)+COUNTIF(E11:M11,1)+COUNTIF(E11:M11,0)</f>
        <v>0</v>
      </c>
    </row>
    <row r="12" customFormat="false" ht="15" hidden="false" customHeight="false" outlineLevel="0" collapsed="false">
      <c r="A12" s="37" t="n">
        <v>5</v>
      </c>
      <c r="B12" s="37" t="s">
        <v>2368</v>
      </c>
      <c r="C12" s="37" t="s">
        <v>2369</v>
      </c>
      <c r="D12" s="699"/>
      <c r="E12" s="700"/>
      <c r="F12" s="701"/>
      <c r="G12" s="701"/>
      <c r="H12" s="702"/>
      <c r="I12" s="703"/>
      <c r="J12" s="701"/>
      <c r="K12" s="701"/>
      <c r="L12" s="704"/>
      <c r="M12" s="704"/>
      <c r="N12" s="70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437" t="n">
        <f aca="false">COUNTIF(E12:M12,2)+COUNTIF(E12:M12,1)+COUNTIF(E12:M12,0)</f>
        <v>0</v>
      </c>
    </row>
    <row r="13" customFormat="false" ht="15" hidden="false" customHeight="false" outlineLevel="0" collapsed="false">
      <c r="A13" s="37" t="n">
        <v>6</v>
      </c>
      <c r="B13" s="37" t="s">
        <v>2370</v>
      </c>
      <c r="C13" s="37" t="s">
        <v>2371</v>
      </c>
      <c r="D13" s="699"/>
      <c r="E13" s="700"/>
      <c r="F13" s="701"/>
      <c r="G13" s="701"/>
      <c r="H13" s="702"/>
      <c r="I13" s="703"/>
      <c r="J13" s="701"/>
      <c r="K13" s="701"/>
      <c r="L13" s="704"/>
      <c r="M13" s="704"/>
      <c r="N13" s="70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437" t="n">
        <f aca="false">COUNTIF(E13:M13,2)+COUNTIF(E13:M13,1)+COUNTIF(E13:M13,0)</f>
        <v>0</v>
      </c>
    </row>
    <row r="14" customFormat="false" ht="15" hidden="false" customHeight="false" outlineLevel="0" collapsed="false">
      <c r="A14" s="37" t="n">
        <v>7</v>
      </c>
      <c r="B14" s="37" t="s">
        <v>2372</v>
      </c>
      <c r="C14" s="37" t="s">
        <v>2373</v>
      </c>
      <c r="D14" s="699"/>
      <c r="E14" s="700"/>
      <c r="F14" s="701"/>
      <c r="G14" s="701"/>
      <c r="H14" s="702"/>
      <c r="I14" s="703"/>
      <c r="J14" s="701"/>
      <c r="K14" s="701"/>
      <c r="L14" s="704"/>
      <c r="M14" s="704"/>
      <c r="N14" s="70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437" t="n">
        <f aca="false">COUNTIF(E14:M14,2)+COUNTIF(E14:M14,1)+COUNTIF(E14:M14,0)</f>
        <v>0</v>
      </c>
    </row>
    <row r="15" customFormat="false" ht="15" hidden="false" customHeight="false" outlineLevel="0" collapsed="false">
      <c r="A15" s="37" t="n">
        <v>8</v>
      </c>
      <c r="B15" s="37" t="s">
        <v>2374</v>
      </c>
      <c r="C15" s="37" t="s">
        <v>2375</v>
      </c>
      <c r="D15" s="699"/>
      <c r="E15" s="700"/>
      <c r="F15" s="701"/>
      <c r="G15" s="701"/>
      <c r="H15" s="702"/>
      <c r="I15" s="703"/>
      <c r="J15" s="701"/>
      <c r="K15" s="701"/>
      <c r="L15" s="704"/>
      <c r="M15" s="704"/>
      <c r="N15" s="70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437" t="n">
        <f aca="false">COUNTIF(E15:M15,2)+COUNTIF(E15:M15,1)+COUNTIF(E15:M15,0)</f>
        <v>0</v>
      </c>
    </row>
    <row r="16" customFormat="false" ht="15" hidden="false" customHeight="false" outlineLevel="0" collapsed="false">
      <c r="A16" s="37" t="n">
        <v>9</v>
      </c>
      <c r="B16" s="37" t="s">
        <v>2376</v>
      </c>
      <c r="C16" s="37" t="s">
        <v>2377</v>
      </c>
      <c r="D16" s="699"/>
      <c r="E16" s="700"/>
      <c r="F16" s="701"/>
      <c r="G16" s="701"/>
      <c r="H16" s="702"/>
      <c r="I16" s="703"/>
      <c r="J16" s="701"/>
      <c r="K16" s="701"/>
      <c r="L16" s="704"/>
      <c r="M16" s="704"/>
      <c r="N16" s="70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437" t="n">
        <f aca="false">COUNTIF(E16:M16,2)+COUNTIF(E16:M16,1)+COUNTIF(E16:M16,0)</f>
        <v>0</v>
      </c>
    </row>
    <row r="17" customFormat="false" ht="15" hidden="false" customHeight="false" outlineLevel="0" collapsed="false">
      <c r="A17" s="37" t="n">
        <v>10</v>
      </c>
      <c r="B17" s="37" t="s">
        <v>2378</v>
      </c>
      <c r="C17" s="37" t="s">
        <v>2379</v>
      </c>
      <c r="D17" s="699"/>
      <c r="E17" s="700"/>
      <c r="F17" s="701"/>
      <c r="G17" s="701"/>
      <c r="H17" s="702"/>
      <c r="I17" s="703"/>
      <c r="J17" s="701"/>
      <c r="K17" s="701"/>
      <c r="L17" s="704"/>
      <c r="M17" s="704"/>
      <c r="N17" s="70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437" t="n">
        <f aca="false">COUNTIF(E17:M17,2)+COUNTIF(E17:M17,1)+COUNTIF(E17:M17,0)</f>
        <v>0</v>
      </c>
    </row>
    <row r="18" customFormat="false" ht="15" hidden="false" customHeight="false" outlineLevel="0" collapsed="false">
      <c r="A18" s="37" t="n">
        <v>11</v>
      </c>
      <c r="B18" s="37" t="s">
        <v>2380</v>
      </c>
      <c r="C18" s="37" t="s">
        <v>2381</v>
      </c>
      <c r="D18" s="699"/>
      <c r="E18" s="700"/>
      <c r="F18" s="701"/>
      <c r="G18" s="701"/>
      <c r="H18" s="702"/>
      <c r="I18" s="703"/>
      <c r="J18" s="701"/>
      <c r="K18" s="701"/>
      <c r="L18" s="704"/>
      <c r="M18" s="704"/>
      <c r="N18" s="70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437" t="n">
        <f aca="false">COUNTIF(E18:M18,2)+COUNTIF(E18:M18,1)+COUNTIF(E18:M18,0)</f>
        <v>0</v>
      </c>
    </row>
    <row r="19" customFormat="false" ht="15" hidden="false" customHeight="false" outlineLevel="0" collapsed="false">
      <c r="A19" s="37" t="n">
        <v>12</v>
      </c>
      <c r="B19" s="37" t="s">
        <v>2382</v>
      </c>
      <c r="C19" s="37" t="s">
        <v>2383</v>
      </c>
      <c r="D19" s="699"/>
      <c r="E19" s="700"/>
      <c r="F19" s="701"/>
      <c r="G19" s="701"/>
      <c r="H19" s="702"/>
      <c r="I19" s="703"/>
      <c r="J19" s="701"/>
      <c r="K19" s="701"/>
      <c r="L19" s="704"/>
      <c r="M19" s="704"/>
      <c r="N19" s="70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437" t="n">
        <f aca="false">COUNTIF(E19:M19,2)+COUNTIF(E19:M19,1)+COUNTIF(E19:M19,0)</f>
        <v>0</v>
      </c>
    </row>
    <row r="20" customFormat="false" ht="15" hidden="false" customHeight="false" outlineLevel="0" collapsed="false">
      <c r="A20" s="37" t="n">
        <v>13</v>
      </c>
      <c r="B20" s="37" t="s">
        <v>2384</v>
      </c>
      <c r="C20" s="37" t="s">
        <v>2385</v>
      </c>
      <c r="D20" s="699"/>
      <c r="E20" s="700"/>
      <c r="F20" s="701"/>
      <c r="G20" s="701"/>
      <c r="H20" s="702"/>
      <c r="I20" s="703"/>
      <c r="J20" s="701"/>
      <c r="K20" s="701"/>
      <c r="L20" s="704"/>
      <c r="M20" s="704"/>
      <c r="N20" s="70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437" t="n">
        <f aca="false">COUNTIF(E20:M20,2)+COUNTIF(E20:M20,1)+COUNTIF(E20:M20,0)</f>
        <v>0</v>
      </c>
    </row>
    <row r="21" customFormat="false" ht="15" hidden="false" customHeight="false" outlineLevel="0" collapsed="false">
      <c r="A21" s="37" t="n">
        <v>14</v>
      </c>
      <c r="B21" s="37" t="s">
        <v>2386</v>
      </c>
      <c r="C21" s="37" t="s">
        <v>2387</v>
      </c>
      <c r="D21" s="699"/>
      <c r="E21" s="700"/>
      <c r="F21" s="701"/>
      <c r="G21" s="701"/>
      <c r="H21" s="702"/>
      <c r="I21" s="703"/>
      <c r="J21" s="701"/>
      <c r="K21" s="701"/>
      <c r="L21" s="704"/>
      <c r="M21" s="704"/>
      <c r="N21" s="70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437" t="n">
        <f aca="false">COUNTIF(E21:M21,2)+COUNTIF(E21:M21,1)+COUNTIF(E21:M21,0)</f>
        <v>0</v>
      </c>
    </row>
    <row r="22" customFormat="false" ht="15" hidden="false" customHeight="false" outlineLevel="0" collapsed="false">
      <c r="A22" s="37" t="n">
        <v>15</v>
      </c>
      <c r="B22" s="37" t="s">
        <v>2388</v>
      </c>
      <c r="C22" s="37" t="s">
        <v>2389</v>
      </c>
      <c r="D22" s="699"/>
      <c r="E22" s="700"/>
      <c r="F22" s="701"/>
      <c r="G22" s="701"/>
      <c r="H22" s="702"/>
      <c r="I22" s="703"/>
      <c r="J22" s="701"/>
      <c r="K22" s="701"/>
      <c r="L22" s="704"/>
      <c r="M22" s="704"/>
      <c r="N22" s="705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437" t="n">
        <f aca="false">COUNTIF(E22:M22,2)+COUNTIF(E22:M22,1)+COUNTIF(E22:M22,0)</f>
        <v>0</v>
      </c>
    </row>
    <row r="23" customFormat="false" ht="15" hidden="false" customHeight="false" outlineLevel="0" collapsed="false">
      <c r="A23" s="37" t="n">
        <v>16</v>
      </c>
      <c r="B23" s="37" t="s">
        <v>2390</v>
      </c>
      <c r="C23" s="37" t="s">
        <v>2391</v>
      </c>
      <c r="D23" s="699"/>
      <c r="E23" s="700"/>
      <c r="F23" s="701"/>
      <c r="G23" s="701"/>
      <c r="H23" s="702"/>
      <c r="I23" s="703"/>
      <c r="J23" s="701"/>
      <c r="K23" s="701"/>
      <c r="L23" s="704"/>
      <c r="M23" s="704"/>
      <c r="N23" s="705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437" t="n">
        <f aca="false">COUNTIF(E23:M23,2)+COUNTIF(E23:M23,1)+COUNTIF(E23:M23,0)</f>
        <v>0</v>
      </c>
    </row>
    <row r="24" customFormat="false" ht="15" hidden="false" customHeight="false" outlineLevel="0" collapsed="false">
      <c r="A24" s="37" t="n">
        <v>17</v>
      </c>
      <c r="B24" s="37" t="s">
        <v>2392</v>
      </c>
      <c r="C24" s="37" t="s">
        <v>2393</v>
      </c>
      <c r="D24" s="699"/>
      <c r="E24" s="700"/>
      <c r="F24" s="701"/>
      <c r="G24" s="701"/>
      <c r="H24" s="702"/>
      <c r="I24" s="703"/>
      <c r="J24" s="701"/>
      <c r="K24" s="701"/>
      <c r="L24" s="704"/>
      <c r="M24" s="704"/>
      <c r="N24" s="705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437" t="n">
        <f aca="false">COUNTIF(E24:M24,2)+COUNTIF(E24:M24,1)+COUNTIF(E24:M24,0)</f>
        <v>0</v>
      </c>
    </row>
    <row r="25" customFormat="false" ht="15" hidden="false" customHeight="false" outlineLevel="0" collapsed="false">
      <c r="A25" s="37" t="n">
        <v>18</v>
      </c>
      <c r="B25" s="37" t="s">
        <v>2394</v>
      </c>
      <c r="C25" s="37" t="s">
        <v>2395</v>
      </c>
      <c r="D25" s="699"/>
      <c r="E25" s="700"/>
      <c r="F25" s="701"/>
      <c r="G25" s="701"/>
      <c r="H25" s="702"/>
      <c r="I25" s="703"/>
      <c r="J25" s="701"/>
      <c r="K25" s="701"/>
      <c r="L25" s="704"/>
      <c r="M25" s="704"/>
      <c r="N25" s="705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437" t="n">
        <f aca="false">COUNTIF(E25:M25,2)+COUNTIF(E25:M25,1)+COUNTIF(E25:M25,0)</f>
        <v>0</v>
      </c>
    </row>
    <row r="26" customFormat="false" ht="15" hidden="false" customHeight="false" outlineLevel="0" collapsed="false">
      <c r="A26" s="37" t="n">
        <v>19</v>
      </c>
      <c r="B26" s="37" t="s">
        <v>2396</v>
      </c>
      <c r="C26" s="37" t="s">
        <v>2397</v>
      </c>
      <c r="D26" s="699"/>
      <c r="E26" s="700"/>
      <c r="F26" s="701"/>
      <c r="G26" s="701"/>
      <c r="H26" s="702"/>
      <c r="I26" s="703"/>
      <c r="J26" s="701"/>
      <c r="K26" s="701"/>
      <c r="L26" s="704"/>
      <c r="M26" s="704"/>
      <c r="N26" s="705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437" t="n">
        <f aca="false">COUNTIF(E26:M26,2)+COUNTIF(E26:M26,1)+COUNTIF(E26:M26,0)</f>
        <v>0</v>
      </c>
    </row>
    <row r="27" customFormat="false" ht="15" hidden="false" customHeight="false" outlineLevel="0" collapsed="false">
      <c r="A27" s="37" t="n">
        <v>20</v>
      </c>
      <c r="B27" s="37" t="s">
        <v>2398</v>
      </c>
      <c r="C27" s="37" t="s">
        <v>2399</v>
      </c>
      <c r="D27" s="699"/>
      <c r="E27" s="700"/>
      <c r="F27" s="701"/>
      <c r="G27" s="701"/>
      <c r="H27" s="702"/>
      <c r="I27" s="703"/>
      <c r="J27" s="701"/>
      <c r="K27" s="701"/>
      <c r="L27" s="704"/>
      <c r="M27" s="704"/>
      <c r="N27" s="705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437" t="n">
        <f aca="false">COUNTIF(E27:M27,2)+COUNTIF(E27:M27,1)+COUNTIF(E27:M27,0)</f>
        <v>0</v>
      </c>
    </row>
    <row r="28" customFormat="false" ht="15" hidden="false" customHeight="false" outlineLevel="0" collapsed="false">
      <c r="A28" s="37" t="n">
        <v>21</v>
      </c>
      <c r="B28" s="37" t="s">
        <v>2400</v>
      </c>
      <c r="C28" s="37" t="s">
        <v>2401</v>
      </c>
      <c r="D28" s="699"/>
      <c r="E28" s="700"/>
      <c r="F28" s="701"/>
      <c r="G28" s="701"/>
      <c r="H28" s="702"/>
      <c r="I28" s="703"/>
      <c r="J28" s="701"/>
      <c r="K28" s="701"/>
      <c r="L28" s="704"/>
      <c r="M28" s="704"/>
      <c r="N28" s="705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437" t="n">
        <f aca="false">COUNTIF(E28:M28,2)+COUNTIF(E28:M28,1)+COUNTIF(E28:M28,0)</f>
        <v>0</v>
      </c>
    </row>
    <row r="29" customFormat="false" ht="15" hidden="false" customHeight="false" outlineLevel="0" collapsed="false">
      <c r="A29" s="5" t="s">
        <v>77</v>
      </c>
      <c r="B29" s="5"/>
      <c r="C29" s="5"/>
      <c r="D29" s="209"/>
      <c r="E29" s="210" t="e">
        <f aca="false">AVERAGE(E8:E28)</f>
        <v>#DIV/0!</v>
      </c>
      <c r="F29" s="210" t="e">
        <f aca="false">AVERAGE(F8:F28)</f>
        <v>#DIV/0!</v>
      </c>
      <c r="G29" s="210" t="e">
        <f aca="false">AVERAGE(G8:G28)</f>
        <v>#DIV/0!</v>
      </c>
      <c r="H29" s="210" t="e">
        <f aca="false">AVERAGE(H8:H28)</f>
        <v>#DIV/0!</v>
      </c>
      <c r="I29" s="210" t="e">
        <f aca="false">AVERAGE(I8:I28)</f>
        <v>#DIV/0!</v>
      </c>
      <c r="J29" s="210" t="e">
        <f aca="false">AVERAGE(J8:J28)</f>
        <v>#DIV/0!</v>
      </c>
      <c r="K29" s="210" t="e">
        <f aca="false">AVERAGE(K8:K28)</f>
        <v>#DIV/0!</v>
      </c>
      <c r="L29" s="210" t="e">
        <f aca="false">AVERAGE(L8:L28)</f>
        <v>#DIV/0!</v>
      </c>
      <c r="M29" s="210" t="e">
        <f aca="false">AVERAGE(M8:M28)</f>
        <v>#DIV/0!</v>
      </c>
      <c r="N29" s="617"/>
      <c r="O29" s="48"/>
      <c r="P29" s="49"/>
      <c r="Q29" s="45"/>
      <c r="R29" s="707"/>
    </row>
    <row r="30" customFormat="false" ht="15" hidden="false" customHeight="false" outlineLevel="0" collapsed="false">
      <c r="A30" s="45" t="s">
        <v>78</v>
      </c>
      <c r="B30" s="72"/>
      <c r="C30" s="72"/>
      <c r="D30" s="209"/>
      <c r="E30" s="137" t="e">
        <f aca="false">(COUNTIF(E8:E28,5)+COUNTIF(E8:E28,4)+COUNTIF(E8:E28,3))/$Q$35*100</f>
        <v>#DIV/0!</v>
      </c>
      <c r="F30" s="137" t="e">
        <f aca="false">(COUNTIF(F8:F28,5)+COUNTIF(F8:F28,4)+COUNTIF(F8:F28,3))/$Q$35*100</f>
        <v>#DIV/0!</v>
      </c>
      <c r="G30" s="137" t="e">
        <f aca="false">(COUNTIF(G8:G28,5)+COUNTIF(G8:G28,4)+COUNTIF(G8:G28,3))/$Q$35*100</f>
        <v>#DIV/0!</v>
      </c>
      <c r="H30" s="137" t="e">
        <f aca="false">(COUNTIF(H8:H28,5)+COUNTIF(H8:H28,4)+COUNTIF(H8:H28,3))/$Q$35*100</f>
        <v>#DIV/0!</v>
      </c>
      <c r="I30" s="137" t="e">
        <f aca="false">(COUNTIF(I8:I28,5)+COUNTIF(I8:I28,4)+COUNTIF(I8:I28,3))/$Q$35*100</f>
        <v>#DIV/0!</v>
      </c>
      <c r="J30" s="137" t="e">
        <f aca="false">(COUNTIF(J8:J28,5)+COUNTIF(J8:J28,4)+COUNTIF(J8:J28,3))/$Q$35*100</f>
        <v>#DIV/0!</v>
      </c>
      <c r="K30" s="137" t="e">
        <f aca="false">(COUNTIF(K8:K28,5)+COUNTIF(K8:K28,4)+COUNTIF(K8:K28,3))/$Q$35*100</f>
        <v>#DIV/0!</v>
      </c>
      <c r="L30" s="137" t="e">
        <f aca="false">(COUNTIF(L8:L28,5)+COUNTIF(L8:L28,4)+COUNTIF(L8:L28,3))/$Q$35*100</f>
        <v>#DIV/0!</v>
      </c>
      <c r="M30" s="137" t="e">
        <f aca="false">(COUNTIF(M8:M28,5)+COUNTIF(M8:M28,4)+COUNTIF(M8:M28,3))/$Q$35*100</f>
        <v>#DIV/0!</v>
      </c>
      <c r="N30" s="617"/>
      <c r="O30" s="48"/>
      <c r="P30" s="49"/>
      <c r="Q30" s="45"/>
      <c r="R30" s="242"/>
    </row>
    <row r="31" customFormat="false" ht="15" hidden="false" customHeight="false" outlineLevel="0" collapsed="false">
      <c r="A31" s="72"/>
      <c r="B31" s="72"/>
      <c r="C31" s="72"/>
      <c r="D31" s="46"/>
      <c r="E31" s="47"/>
      <c r="F31" s="47"/>
      <c r="G31" s="47"/>
      <c r="H31" s="47"/>
      <c r="I31" s="47"/>
      <c r="J31" s="47"/>
      <c r="K31" s="47"/>
      <c r="L31" s="47"/>
      <c r="M31" s="47"/>
      <c r="N31" s="617"/>
      <c r="O31" s="48"/>
      <c r="P31" s="49"/>
      <c r="Q31" s="45"/>
      <c r="R31" s="423"/>
    </row>
    <row r="32" customFormat="false" ht="15" hidden="false" customHeight="false" outlineLevel="0" collapsed="false">
      <c r="A32" s="45"/>
      <c r="B32" s="45"/>
      <c r="C32" s="45"/>
      <c r="D32" s="537"/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617"/>
      <c r="R32" s="48"/>
    </row>
    <row r="33" customFormat="false" ht="25.35" hidden="false" customHeight="true" outlineLevel="0" collapsed="false">
      <c r="A33" s="45"/>
      <c r="B33" s="50"/>
      <c r="C33" s="50" t="s">
        <v>8</v>
      </c>
      <c r="D33" s="51" t="str">
        <f aca="false">IFERROR(AVERAGE(N8:N28),"")</f>
        <v/>
      </c>
      <c r="E33" s="52" t="s">
        <v>9</v>
      </c>
      <c r="F33" s="52"/>
      <c r="G33" s="53" t="str">
        <f aca="false">IFERROR(COUNTIF(O8:O28,"Успевает")/Q35*100,"")</f>
        <v/>
      </c>
      <c r="H33" s="54" t="s">
        <v>79</v>
      </c>
      <c r="I33" s="54"/>
      <c r="J33" s="55" t="str">
        <f aca="false">IFERROR(AVERAGE(P8:P28),"")</f>
        <v/>
      </c>
      <c r="K33" s="52"/>
      <c r="L33" s="52"/>
      <c r="M33" s="52"/>
      <c r="N33" s="52"/>
      <c r="O33" s="48"/>
      <c r="P33" s="48"/>
      <c r="Q33" s="48"/>
      <c r="R33" s="48"/>
    </row>
    <row r="34" customFormat="false" ht="15" hidden="false" customHeight="false" outlineLevel="0" collapsed="false">
      <c r="A34" s="45"/>
      <c r="B34" s="50"/>
      <c r="C34" s="50"/>
      <c r="D34" s="50"/>
      <c r="E34" s="56"/>
      <c r="F34" s="56"/>
      <c r="G34" s="56"/>
      <c r="H34" s="56"/>
      <c r="I34" s="56"/>
      <c r="J34" s="56"/>
      <c r="K34" s="56"/>
      <c r="L34" s="56"/>
      <c r="M34" s="56"/>
      <c r="N34" s="45"/>
      <c r="O34" s="45"/>
      <c r="P34" s="45"/>
      <c r="Q34" s="183"/>
      <c r="R34" s="183"/>
    </row>
    <row r="35" customFormat="false" ht="15" hidden="false" customHeight="true" outlineLevel="0" collapsed="false">
      <c r="A35" s="50"/>
      <c r="B35" s="61" t="s">
        <v>81</v>
      </c>
      <c r="C35" s="61"/>
      <c r="D35" s="61"/>
      <c r="E35" s="61"/>
      <c r="F35" s="61"/>
      <c r="G35" s="61"/>
      <c r="H35" s="61"/>
      <c r="I35" s="61"/>
      <c r="J35" s="61"/>
      <c r="K35" s="61" t="s">
        <v>82</v>
      </c>
      <c r="L35" s="61"/>
      <c r="M35" s="61"/>
      <c r="N35" s="45"/>
      <c r="O35" s="57" t="s">
        <v>80</v>
      </c>
      <c r="P35" s="57"/>
      <c r="Q35" s="58" t="n">
        <f aca="false">SUM(Q36,Q37)</f>
        <v>0</v>
      </c>
      <c r="R35" s="64"/>
    </row>
    <row r="36" customFormat="false" ht="15" hidden="false" customHeight="true" outlineLevel="0" collapsed="false">
      <c r="A36" s="50"/>
      <c r="B36" s="65" t="str">
        <f aca="false">$E$6</f>
        <v> Использование интерфейсов прикладного программирования операционных систем</v>
      </c>
      <c r="C36" s="65"/>
      <c r="D36" s="65"/>
      <c r="E36" s="65"/>
      <c r="F36" s="65"/>
      <c r="G36" s="65"/>
      <c r="H36" s="65"/>
      <c r="I36" s="65"/>
      <c r="J36" s="65"/>
      <c r="K36" s="66"/>
      <c r="L36" s="66"/>
      <c r="M36" s="66"/>
      <c r="N36" s="45"/>
      <c r="O36" s="57" t="s">
        <v>83</v>
      </c>
      <c r="P36" s="57"/>
      <c r="Q36" s="58" t="n">
        <f aca="false">COUNTIF(O8:O28,"Успевает")</f>
        <v>0</v>
      </c>
      <c r="R36" s="69"/>
    </row>
    <row r="37" customFormat="false" ht="15" hidden="false" customHeight="false" outlineLevel="0" collapsed="false">
      <c r="A37" s="50"/>
      <c r="B37" s="65" t="str">
        <f aca="false">$F$6</f>
        <v> Основы электроники</v>
      </c>
      <c r="C37" s="65"/>
      <c r="D37" s="65"/>
      <c r="E37" s="65"/>
      <c r="F37" s="65"/>
      <c r="G37" s="65"/>
      <c r="H37" s="65"/>
      <c r="I37" s="65"/>
      <c r="J37" s="65"/>
      <c r="K37" s="66"/>
      <c r="L37" s="66"/>
      <c r="M37" s="66"/>
      <c r="N37" s="45"/>
      <c r="O37" s="98" t="s">
        <v>84</v>
      </c>
      <c r="P37" s="98"/>
      <c r="Q37" s="58" t="n">
        <f aca="false">COUNTIF(O8:O28,"Не успевает")</f>
        <v>0</v>
      </c>
      <c r="R37" s="448"/>
    </row>
    <row r="38" customFormat="false" ht="15" hidden="false" customHeight="false" outlineLevel="0" collapsed="false">
      <c r="A38" s="50"/>
      <c r="B38" s="65" t="str">
        <f aca="false">$G$6</f>
        <v> Системное программирование</v>
      </c>
      <c r="C38" s="65"/>
      <c r="D38" s="65"/>
      <c r="E38" s="65"/>
      <c r="F38" s="65"/>
      <c r="G38" s="65"/>
      <c r="H38" s="65"/>
      <c r="I38" s="65"/>
      <c r="J38" s="65"/>
      <c r="K38" s="66"/>
      <c r="L38" s="66"/>
      <c r="M38" s="66"/>
      <c r="N38" s="45"/>
      <c r="O38" s="98" t="s">
        <v>85</v>
      </c>
      <c r="P38" s="98"/>
      <c r="Q38" s="58" t="n">
        <f aca="false">COUNTIF(Q8:Q28,"Благодарность")</f>
        <v>0</v>
      </c>
      <c r="R38" s="45"/>
    </row>
    <row r="39" customFormat="false" ht="15" hidden="false" customHeight="false" outlineLevel="0" collapsed="false">
      <c r="A39" s="50"/>
      <c r="B39" s="65" t="str">
        <f aca="false">$H$6</f>
        <v> Физика</v>
      </c>
      <c r="C39" s="65"/>
      <c r="D39" s="65"/>
      <c r="E39" s="65"/>
      <c r="F39" s="65"/>
      <c r="G39" s="65"/>
      <c r="H39" s="65"/>
      <c r="I39" s="65"/>
      <c r="J39" s="65"/>
      <c r="K39" s="66"/>
      <c r="L39" s="66"/>
      <c r="M39" s="66"/>
      <c r="N39" s="45"/>
      <c r="O39" s="98" t="s">
        <v>86</v>
      </c>
      <c r="P39" s="98"/>
      <c r="Q39" s="58" t="n">
        <f aca="false">COUNTIF(Q8:Q28,"Нормально")</f>
        <v>0</v>
      </c>
      <c r="R39" s="45"/>
    </row>
    <row r="40" customFormat="false" ht="15" hidden="false" customHeight="false" outlineLevel="0" collapsed="false">
      <c r="A40" s="50"/>
      <c r="B40" s="65" t="str">
        <f aca="false">$I$6</f>
        <v> Дискретная математика</v>
      </c>
      <c r="C40" s="65"/>
      <c r="D40" s="65"/>
      <c r="E40" s="65"/>
      <c r="F40" s="65"/>
      <c r="G40" s="65"/>
      <c r="H40" s="65"/>
      <c r="I40" s="65"/>
      <c r="J40" s="65"/>
      <c r="K40" s="66"/>
      <c r="L40" s="66"/>
      <c r="M40" s="66"/>
      <c r="N40" s="45"/>
      <c r="O40" s="98" t="s">
        <v>87</v>
      </c>
      <c r="P40" s="98"/>
      <c r="Q40" s="58" t="n">
        <f aca="false">COUNTIF(Q8:Q28,"Предупреждение")</f>
        <v>0</v>
      </c>
      <c r="R40" s="45"/>
    </row>
    <row r="41" customFormat="false" ht="15" hidden="false" customHeight="false" outlineLevel="0" collapsed="false">
      <c r="A41" s="50"/>
      <c r="B41" s="65" t="str">
        <f aca="false">$J$6</f>
        <v>Иностранный язык</v>
      </c>
      <c r="C41" s="65"/>
      <c r="D41" s="65"/>
      <c r="E41" s="65"/>
      <c r="F41" s="65"/>
      <c r="G41" s="65"/>
      <c r="H41" s="65"/>
      <c r="I41" s="65"/>
      <c r="J41" s="65"/>
      <c r="K41" s="66"/>
      <c r="L41" s="66"/>
      <c r="M41" s="66"/>
      <c r="N41" s="45"/>
      <c r="O41" s="98" t="s">
        <v>88</v>
      </c>
      <c r="P41" s="98"/>
      <c r="Q41" s="58" t="n">
        <f aca="false">COUNTIF(Q8:Q28,"Выговор")</f>
        <v>0</v>
      </c>
      <c r="R41" s="45"/>
    </row>
    <row r="42" customFormat="false" ht="15" hidden="false" customHeight="false" outlineLevel="0" collapsed="false">
      <c r="A42" s="50"/>
      <c r="B42" s="65" t="str">
        <f aca="false">$K$6</f>
        <v> Тестирование систем обработки информации</v>
      </c>
      <c r="C42" s="65"/>
      <c r="D42" s="65"/>
      <c r="E42" s="65"/>
      <c r="F42" s="65"/>
      <c r="G42" s="65"/>
      <c r="H42" s="65"/>
      <c r="I42" s="65"/>
      <c r="J42" s="65"/>
      <c r="K42" s="66"/>
      <c r="L42" s="66"/>
      <c r="M42" s="66"/>
      <c r="N42" s="67"/>
      <c r="O42" s="185" t="s">
        <v>1575</v>
      </c>
      <c r="P42" s="186"/>
      <c r="Q42" s="71" t="n">
        <f aca="false">SUM(R8:R28)</f>
        <v>0</v>
      </c>
      <c r="R42" s="45"/>
    </row>
    <row r="43" customFormat="false" ht="15" hidden="false" customHeight="false" outlineLevel="0" collapsed="false">
      <c r="A43" s="50"/>
      <c r="B43" s="65" t="str">
        <f aca="false">$L$6</f>
        <v> Философия</v>
      </c>
      <c r="C43" s="65"/>
      <c r="D43" s="65"/>
      <c r="E43" s="65"/>
      <c r="F43" s="65"/>
      <c r="G43" s="65"/>
      <c r="H43" s="65"/>
      <c r="I43" s="65"/>
      <c r="J43" s="65"/>
      <c r="K43" s="66"/>
      <c r="L43" s="66"/>
      <c r="M43" s="66"/>
      <c r="N43" s="67"/>
      <c r="O43" s="67"/>
      <c r="P43" s="48"/>
      <c r="Q43" s="48"/>
      <c r="R43" s="45"/>
    </row>
    <row r="44" customFormat="false" ht="15" hidden="false" customHeight="false" outlineLevel="0" collapsed="false">
      <c r="A44" s="50"/>
      <c r="B44" s="65" t="str">
        <f aca="false">$M$6</f>
        <v>Физическая культура и спорт</v>
      </c>
      <c r="C44" s="65"/>
      <c r="D44" s="65"/>
      <c r="E44" s="65"/>
      <c r="F44" s="65"/>
      <c r="G44" s="65"/>
      <c r="H44" s="65"/>
      <c r="I44" s="65"/>
      <c r="J44" s="65"/>
      <c r="K44" s="66"/>
      <c r="L44" s="66"/>
      <c r="M44" s="66"/>
      <c r="N44" s="67"/>
      <c r="O44" s="67"/>
      <c r="P44" s="48"/>
      <c r="Q44" s="48"/>
      <c r="R44" s="45"/>
    </row>
    <row r="45" customFormat="false" ht="15" hidden="false" customHeight="false" outlineLevel="0" collapsed="false">
      <c r="A45" s="50"/>
      <c r="B45" s="139"/>
      <c r="C45" s="139"/>
      <c r="D45" s="139"/>
      <c r="E45" s="139"/>
      <c r="F45" s="139"/>
      <c r="G45" s="139"/>
      <c r="H45" s="139"/>
      <c r="I45" s="139"/>
      <c r="J45" s="139"/>
      <c r="K45" s="139"/>
      <c r="L45" s="50"/>
      <c r="M45" s="50"/>
      <c r="N45" s="50"/>
      <c r="O45" s="48"/>
      <c r="P45" s="48"/>
      <c r="Q45" s="48"/>
      <c r="R45" s="48"/>
    </row>
    <row r="46" customFormat="false" ht="15" hidden="false" customHeight="false" outlineLevel="0" collapsed="false">
      <c r="A46" s="50"/>
      <c r="B46" s="500" t="s">
        <v>1378</v>
      </c>
      <c r="C46" s="198" t="s">
        <v>2402</v>
      </c>
      <c r="D46" s="198"/>
      <c r="E46" s="67"/>
      <c r="F46" s="52" t="s">
        <v>369</v>
      </c>
      <c r="G46" s="300" t="s">
        <v>2308</v>
      </c>
      <c r="H46" s="52"/>
      <c r="I46" s="52"/>
      <c r="J46" s="52"/>
      <c r="K46" s="52"/>
      <c r="L46" s="50"/>
      <c r="M46" s="50"/>
      <c r="N46" s="50"/>
      <c r="O46" s="48"/>
      <c r="P46" s="48"/>
      <c r="Q46" s="48"/>
      <c r="R46" s="48"/>
    </row>
    <row r="47" customFormat="false" ht="15" hidden="false" customHeight="false" outlineLevel="0" collapsed="false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48"/>
      <c r="P47" s="48"/>
      <c r="Q47" s="48"/>
      <c r="R47" s="48"/>
    </row>
    <row r="48" customFormat="false" ht="15" hidden="false" customHeight="false" outlineLevel="0" collapsed="false">
      <c r="A48" s="50"/>
      <c r="B48" s="50" t="s">
        <v>93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48"/>
      <c r="P48" s="48"/>
      <c r="Q48" s="48"/>
      <c r="R48" s="48"/>
    </row>
    <row r="49" customFormat="false" ht="15" hidden="false" customHeight="false" outlineLevel="0" collapsed="false">
      <c r="A49" s="50"/>
      <c r="B49" s="50" t="s">
        <v>94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48"/>
      <c r="P49" s="48"/>
      <c r="Q49" s="48"/>
      <c r="R49" s="48"/>
    </row>
    <row r="50" customFormat="false" ht="15" hidden="false" customHeight="false" outlineLevel="0" collapsed="false">
      <c r="A50" s="50"/>
      <c r="B50" s="50" t="s">
        <v>95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48"/>
      <c r="P50" s="48"/>
      <c r="Q50" s="48"/>
      <c r="R50" s="48"/>
    </row>
    <row r="51" customFormat="false" ht="15" hidden="false" customHeight="false" outlineLevel="0" collapsed="false">
      <c r="A51" s="45"/>
      <c r="B51" s="50" t="s">
        <v>96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45"/>
      <c r="O51" s="45"/>
      <c r="P51" s="45"/>
      <c r="Q51" s="45"/>
      <c r="R51" s="45"/>
    </row>
    <row r="52" customFormat="false" ht="15" hidden="false" customHeight="false" outlineLevel="0" collapsed="false">
      <c r="A52" s="45"/>
      <c r="B52" s="50" t="s">
        <v>97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45"/>
      <c r="O52" s="45"/>
      <c r="P52" s="45"/>
      <c r="Q52" s="45"/>
      <c r="R52" s="45"/>
    </row>
    <row r="53" customFormat="false" ht="15" hidden="false" customHeight="false" outlineLevel="0" collapsed="false">
      <c r="A53" s="45"/>
      <c r="B53" s="50" t="s">
        <v>98</v>
      </c>
      <c r="C53" s="50"/>
      <c r="D53" s="50"/>
      <c r="E53" s="50"/>
      <c r="F53" s="50"/>
      <c r="G53" s="50"/>
      <c r="H53" s="50"/>
      <c r="I53" s="50"/>
      <c r="J53" s="50"/>
      <c r="K53" s="50"/>
      <c r="L53" s="45"/>
      <c r="M53" s="45"/>
      <c r="N53" s="45"/>
      <c r="O53" s="45"/>
      <c r="P53" s="45"/>
      <c r="Q53" s="45"/>
      <c r="R53" s="45"/>
    </row>
    <row r="54" customFormat="false" ht="15" hidden="false" customHeight="false" outlineLevel="0" collapsed="false">
      <c r="A54" s="45"/>
      <c r="B54" s="50" t="s">
        <v>99</v>
      </c>
      <c r="C54" s="50"/>
      <c r="D54" s="50"/>
      <c r="E54" s="50"/>
      <c r="F54" s="50"/>
      <c r="G54" s="50"/>
      <c r="H54" s="50"/>
      <c r="I54" s="50"/>
      <c r="J54" s="50"/>
      <c r="K54" s="50"/>
      <c r="L54" s="45"/>
      <c r="M54" s="45"/>
      <c r="N54" s="45"/>
      <c r="O54" s="45"/>
      <c r="P54" s="45"/>
      <c r="Q54" s="45"/>
      <c r="R54" s="45"/>
    </row>
    <row r="55" customFormat="false" ht="15" hidden="false" customHeight="false" outlineLevel="0" collapsed="false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</row>
    <row r="56" customFormat="false" ht="15" hidden="false" customHeight="false" outlineLevel="0" collapsed="false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</row>
  </sheetData>
  <mergeCells count="43">
    <mergeCell ref="E1:H1"/>
    <mergeCell ref="A3:R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A29:C29"/>
    <mergeCell ref="H33:I33"/>
    <mergeCell ref="Q34:R34"/>
    <mergeCell ref="B35:J35"/>
    <mergeCell ref="K35:M35"/>
    <mergeCell ref="O35:P35"/>
    <mergeCell ref="B36:J36"/>
    <mergeCell ref="K36:M36"/>
    <mergeCell ref="O36:P36"/>
    <mergeCell ref="B37:J37"/>
    <mergeCell ref="K37:M37"/>
    <mergeCell ref="O37:P37"/>
    <mergeCell ref="B38:J38"/>
    <mergeCell ref="K38:M38"/>
    <mergeCell ref="O38:P38"/>
    <mergeCell ref="B39:J39"/>
    <mergeCell ref="K39:M39"/>
    <mergeCell ref="O39:P39"/>
    <mergeCell ref="B40:J40"/>
    <mergeCell ref="K40:M40"/>
    <mergeCell ref="O40:P40"/>
    <mergeCell ref="B41:J41"/>
    <mergeCell ref="K41:M41"/>
    <mergeCell ref="O41:P41"/>
    <mergeCell ref="B42:J42"/>
    <mergeCell ref="K42:M42"/>
    <mergeCell ref="B43:J43"/>
    <mergeCell ref="K43:M43"/>
    <mergeCell ref="B44:J44"/>
    <mergeCell ref="K44:M44"/>
  </mergeCells>
  <conditionalFormatting sqref="J8:K2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1 Q3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8:I2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2:P3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9:M3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H28 L8:M2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2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6"/>
  <sheetViews>
    <sheetView showFormulas="false" showGridLines="true" showRowColHeaders="true" showZeros="true" rightToLeft="false" tabSelected="false" showOutlineSymbols="true" defaultGridColor="true" view="normal" topLeftCell="A10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42"/>
    <col collapsed="false" customWidth="true" hidden="false" outlineLevel="0" max="2" min="2" style="0" width="10"/>
    <col collapsed="false" customWidth="true" hidden="false" outlineLevel="0" max="3" min="3" style="0" width="20"/>
    <col collapsed="false" customWidth="true" hidden="false" outlineLevel="0" max="13" min="12" style="0" width="11.71"/>
    <col collapsed="false" customWidth="true" hidden="false" outlineLevel="0" max="14" min="14" style="0" width="7.29"/>
    <col collapsed="false" customWidth="true" hidden="false" outlineLevel="0" max="15" min="15" style="0" width="7.42"/>
    <col collapsed="false" customWidth="true" hidden="false" outlineLevel="0" max="16" min="16" style="0" width="12"/>
    <col collapsed="false" customWidth="true" hidden="false" outlineLevel="0" max="17" min="17" style="0" width="16.14"/>
    <col collapsed="false" customWidth="true" hidden="false" outlineLevel="0" max="18" min="18" style="0" width="7"/>
    <col collapsed="false" customWidth="true" hidden="false" outlineLevel="0" max="19" min="19" style="0" width="3.86"/>
    <col collapsed="false" customWidth="true" hidden="false" outlineLevel="0" max="20" min="20" style="0" width="4"/>
    <col collapsed="false" customWidth="true" hidden="false" outlineLevel="0" max="21" min="21" style="0" width="4.29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0" t="s">
        <v>1</v>
      </c>
      <c r="O2" s="72"/>
      <c r="P2" s="146" t="n">
        <f aca="false">set!B4</f>
        <v>45608</v>
      </c>
      <c r="R2" s="72"/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ИУК5-51Б факультета ИУК МГТУ им. Н.Э. Баумана"</f>
        <v>Успеваемость студентов за 1 семестр 24/25 учебного года по группе ИУК5-51Б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2403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20" t="s">
        <v>1575</v>
      </c>
    </row>
    <row r="6" customFormat="false" ht="154.5" hidden="false" customHeight="true" outlineLevel="0" collapsed="false">
      <c r="A6" s="8"/>
      <c r="B6" s="8"/>
      <c r="C6" s="8"/>
      <c r="D6" s="9"/>
      <c r="E6" s="339" t="s">
        <v>882</v>
      </c>
      <c r="F6" s="340" t="s">
        <v>2404</v>
      </c>
      <c r="G6" s="340" t="s">
        <v>2405</v>
      </c>
      <c r="H6" s="342" t="s">
        <v>291</v>
      </c>
      <c r="I6" s="340" t="s">
        <v>18</v>
      </c>
      <c r="J6" s="340" t="s">
        <v>2406</v>
      </c>
      <c r="K6" s="340" t="s">
        <v>295</v>
      </c>
      <c r="L6" s="340" t="s">
        <v>296</v>
      </c>
      <c r="M6" s="342" t="s">
        <v>147</v>
      </c>
      <c r="N6" s="391"/>
      <c r="O6" s="392"/>
      <c r="P6" s="392"/>
      <c r="Q6" s="14"/>
      <c r="R6" s="620"/>
    </row>
    <row r="7" customFormat="false" ht="17.9" hidden="false" customHeight="false" outlineLevel="0" collapsed="false">
      <c r="A7" s="8"/>
      <c r="B7" s="8"/>
      <c r="C7" s="8"/>
      <c r="D7" s="9"/>
      <c r="E7" s="343" t="s">
        <v>299</v>
      </c>
      <c r="F7" s="344" t="s">
        <v>299</v>
      </c>
      <c r="G7" s="344" t="s">
        <v>299</v>
      </c>
      <c r="H7" s="346" t="s">
        <v>299</v>
      </c>
      <c r="I7" s="344" t="s">
        <v>1456</v>
      </c>
      <c r="J7" s="344" t="s">
        <v>1004</v>
      </c>
      <c r="K7" s="344" t="s">
        <v>175</v>
      </c>
      <c r="L7" s="344" t="s">
        <v>300</v>
      </c>
      <c r="M7" s="346" t="s">
        <v>176</v>
      </c>
      <c r="N7" s="391"/>
      <c r="O7" s="392"/>
      <c r="P7" s="392"/>
      <c r="Q7" s="14"/>
      <c r="R7" s="620"/>
    </row>
    <row r="8" customFormat="false" ht="15" hidden="false" customHeight="true" outlineLevel="0" collapsed="false">
      <c r="A8" s="25" t="n">
        <v>1</v>
      </c>
      <c r="B8" s="25" t="s">
        <v>2407</v>
      </c>
      <c r="C8" s="25" t="s">
        <v>2408</v>
      </c>
      <c r="D8" s="710"/>
      <c r="E8" s="550"/>
      <c r="F8" s="551"/>
      <c r="G8" s="551"/>
      <c r="H8" s="711"/>
      <c r="I8" s="553"/>
      <c r="J8" s="554"/>
      <c r="K8" s="554"/>
      <c r="L8" s="554"/>
      <c r="M8" s="712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>IF(E8&lt;&gt;"",IF(N8&lt;1.85,"Выговор",IF(AND(N8&gt;1.85,N8&lt;3),"Предупреждение",IF(AND(N8&gt;3,N8&lt;4.65),"Нормально",IF(AND(N8&gt;4.65,N8&lt;5.1,MIN(E8:M8)&gt;=4),"Благодарность","Нормально")))),"")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2409</v>
      </c>
      <c r="C9" s="37" t="s">
        <v>2410</v>
      </c>
      <c r="D9" s="710"/>
      <c r="E9" s="555"/>
      <c r="F9" s="556"/>
      <c r="G9" s="556"/>
      <c r="H9" s="595"/>
      <c r="I9" s="555"/>
      <c r="J9" s="556"/>
      <c r="K9" s="556"/>
      <c r="L9" s="556"/>
      <c r="M9" s="711"/>
      <c r="N9" s="58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>IF(E9&lt;&gt;"",IF(N9&lt;1.85,"Выговор",IF(AND(N9&gt;1.85,N9&lt;3),"Предупреждение",IF(AND(N9&gt;3,N9&lt;4.65),"Нормально",IF(AND(N9&gt;4.65,N9&lt;5.1,MIN(E9:M9)&gt;=4),"Благодарность","Нормально")))),"")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2411</v>
      </c>
      <c r="C10" s="37" t="s">
        <v>2412</v>
      </c>
      <c r="D10" s="710"/>
      <c r="E10" s="555"/>
      <c r="F10" s="556"/>
      <c r="G10" s="556"/>
      <c r="H10" s="595"/>
      <c r="I10" s="555"/>
      <c r="J10" s="556"/>
      <c r="K10" s="556"/>
      <c r="L10" s="556"/>
      <c r="M10" s="711"/>
      <c r="N10" s="58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>IF(E10&lt;&gt;"",IF(N10&lt;1.85,"Выговор",IF(AND(N10&gt;1.85,N10&lt;3),"Предупреждение",IF(AND(N10&gt;3,N10&lt;4.65),"Нормально",IF(AND(N10&gt;4.65,N10&lt;5.1,MIN(E10:M10)&gt;=4),"Благодарность","Нормально")))),"")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2413</v>
      </c>
      <c r="C11" s="37" t="s">
        <v>2414</v>
      </c>
      <c r="D11" s="710"/>
      <c r="E11" s="555"/>
      <c r="F11" s="556"/>
      <c r="G11" s="556"/>
      <c r="H11" s="595"/>
      <c r="I11" s="555"/>
      <c r="J11" s="556"/>
      <c r="K11" s="556"/>
      <c r="L11" s="556"/>
      <c r="M11" s="711"/>
      <c r="N11" s="58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>IF(E11&lt;&gt;"",IF(N11&lt;1.85,"Выговор",IF(AND(N11&gt;1.85,N11&lt;3),"Предупреждение",IF(AND(N11&gt;3,N11&lt;4.65),"Нормально",IF(AND(N11&gt;4.65,N11&lt;5.1,MIN(E11:M11)&gt;=4),"Благодарность","Нормально")))),"")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45" t="s">
        <v>2415</v>
      </c>
      <c r="C12" s="37" t="s">
        <v>2416</v>
      </c>
      <c r="D12" s="710"/>
      <c r="E12" s="555"/>
      <c r="F12" s="556"/>
      <c r="G12" s="556"/>
      <c r="H12" s="595"/>
      <c r="I12" s="555"/>
      <c r="J12" s="556"/>
      <c r="K12" s="556"/>
      <c r="L12" s="556"/>
      <c r="M12" s="711"/>
      <c r="N12" s="58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>IF(E12&lt;&gt;"",IF(N12&lt;1.85,"Выговор",IF(AND(N12&gt;1.85,N12&lt;3),"Предупреждение",IF(AND(N12&gt;3,N12&lt;4.65),"Нормально",IF(AND(N12&gt;4.65,N12&lt;5.1,MIN(E12:M12)&gt;=4),"Благодарность","Нормально")))),"")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2417</v>
      </c>
      <c r="C13" s="37" t="s">
        <v>2418</v>
      </c>
      <c r="D13" s="710"/>
      <c r="E13" s="555"/>
      <c r="F13" s="556"/>
      <c r="G13" s="556"/>
      <c r="H13" s="595"/>
      <c r="I13" s="555"/>
      <c r="J13" s="556"/>
      <c r="K13" s="556"/>
      <c r="L13" s="556"/>
      <c r="M13" s="711"/>
      <c r="N13" s="58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>IF(E13&lt;&gt;"",IF(N13&lt;1.85,"Выговор",IF(AND(N13&gt;1.85,N13&lt;3),"Предупреждение",IF(AND(N13&gt;3,N13&lt;4.65),"Нормально",IF(AND(N13&gt;4.65,N13&lt;5.1,MIN(E13:M13)&gt;=4),"Благодарность","Нормально")))),"")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2419</v>
      </c>
      <c r="C14" s="37" t="s">
        <v>2420</v>
      </c>
      <c r="D14" s="710"/>
      <c r="E14" s="555"/>
      <c r="F14" s="556"/>
      <c r="G14" s="556"/>
      <c r="H14" s="595"/>
      <c r="I14" s="555"/>
      <c r="J14" s="556"/>
      <c r="K14" s="556"/>
      <c r="L14" s="556"/>
      <c r="M14" s="711"/>
      <c r="N14" s="58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>IF(E14&lt;&gt;"",IF(N14&lt;1.85,"Выговор",IF(AND(N14&gt;1.85,N14&lt;3),"Предупреждение",IF(AND(N14&gt;3,N14&lt;4.65),"Нормально",IF(AND(N14&gt;4.65,N14&lt;5.1,MIN(E14:M14)&gt;=4),"Благодарность","Нормально")))),"")</f>
        <v/>
      </c>
      <c r="R14" s="118" t="n">
        <f aca="false">COUNTIF(E14:M14,2)+COUNTIF(E14:M14,1)+COUNTIF(E14:M14,0)</f>
        <v>0</v>
      </c>
    </row>
    <row r="15" s="45" customFormat="true" ht="15" hidden="false" customHeight="true" outlineLevel="0" collapsed="false">
      <c r="A15" s="37" t="n">
        <v>8</v>
      </c>
      <c r="B15" s="37" t="s">
        <v>2421</v>
      </c>
      <c r="C15" s="37" t="s">
        <v>2422</v>
      </c>
      <c r="D15" s="710"/>
      <c r="E15" s="555"/>
      <c r="F15" s="556"/>
      <c r="G15" s="556"/>
      <c r="H15" s="595"/>
      <c r="I15" s="555"/>
      <c r="J15" s="556"/>
      <c r="K15" s="556"/>
      <c r="L15" s="556"/>
      <c r="M15" s="711"/>
      <c r="N15" s="58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>IF(E15&lt;&gt;"",IF(N15&lt;1.85,"Выговор",IF(AND(N15&gt;1.85,N15&lt;3),"Предупреждение",IF(AND(N15&gt;3,N15&lt;4.65),"Нормально",IF(AND(N15&gt;4.65,N15&lt;5.1,MIN(E15:M15)&gt;=4),"Благодарность","Нормально")))),"")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2423</v>
      </c>
      <c r="C16" s="37" t="s">
        <v>2424</v>
      </c>
      <c r="D16" s="710"/>
      <c r="E16" s="555"/>
      <c r="F16" s="556"/>
      <c r="G16" s="556"/>
      <c r="H16" s="595"/>
      <c r="I16" s="555"/>
      <c r="J16" s="556"/>
      <c r="K16" s="556"/>
      <c r="L16" s="556"/>
      <c r="M16" s="711"/>
      <c r="N16" s="58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>IF(E16&lt;&gt;"",IF(N16&lt;1.85,"Выговор",IF(AND(N16&gt;1.85,N16&lt;3),"Предупреждение",IF(AND(N16&gt;3,N16&lt;4.65),"Нормально",IF(AND(N16&gt;4.65,N16&lt;5.1,MIN(E16:M16)&gt;=4),"Благодарность","Нормально")))),"")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2425</v>
      </c>
      <c r="C17" s="37" t="s">
        <v>2426</v>
      </c>
      <c r="D17" s="710"/>
      <c r="E17" s="555"/>
      <c r="F17" s="556"/>
      <c r="G17" s="556"/>
      <c r="H17" s="595"/>
      <c r="I17" s="555"/>
      <c r="J17" s="556"/>
      <c r="K17" s="556"/>
      <c r="L17" s="556"/>
      <c r="M17" s="711"/>
      <c r="N17" s="58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>IF(E17&lt;&gt;"",IF(N17&lt;1.85,"Выговор",IF(AND(N17&gt;1.85,N17&lt;3),"Предупреждение",IF(AND(N17&gt;3,N17&lt;4.65),"Нормально",IF(AND(N17&gt;4.65,N17&lt;5.1,MIN(E17:M17)&gt;=4),"Благодарность","Нормально")))),"")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2427</v>
      </c>
      <c r="C18" s="37" t="s">
        <v>2428</v>
      </c>
      <c r="D18" s="710"/>
      <c r="E18" s="555"/>
      <c r="F18" s="556"/>
      <c r="G18" s="556"/>
      <c r="H18" s="595"/>
      <c r="I18" s="555"/>
      <c r="J18" s="556"/>
      <c r="K18" s="556"/>
      <c r="L18" s="556"/>
      <c r="M18" s="711"/>
      <c r="N18" s="58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>IF(E18&lt;&gt;"",IF(N18&lt;1.85,"Выговор",IF(AND(N18&gt;1.85,N18&lt;3),"Предупреждение",IF(AND(N18&gt;3,N18&lt;4.65),"Нормально",IF(AND(N18&gt;4.65,N18&lt;5.1,MIN(E18:M18)&gt;=4),"Благодарность","Нормально")))),"")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2429</v>
      </c>
      <c r="C19" s="37" t="s">
        <v>2430</v>
      </c>
      <c r="D19" s="710"/>
      <c r="E19" s="555"/>
      <c r="F19" s="556"/>
      <c r="G19" s="556"/>
      <c r="H19" s="595"/>
      <c r="I19" s="555"/>
      <c r="J19" s="556"/>
      <c r="K19" s="556"/>
      <c r="L19" s="556"/>
      <c r="M19" s="711"/>
      <c r="N19" s="58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>IF(E19&lt;&gt;"",IF(N19&lt;1.85,"Выговор",IF(AND(N19&gt;1.85,N19&lt;3),"Предупреждение",IF(AND(N19&gt;3,N19&lt;4.65),"Нормально",IF(AND(N19&gt;4.65,N19&lt;5.1,MIN(E19:M19)&gt;=4),"Благодарность","Нормально")))),"")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2431</v>
      </c>
      <c r="C20" s="37" t="s">
        <v>2432</v>
      </c>
      <c r="D20" s="710"/>
      <c r="E20" s="555"/>
      <c r="F20" s="556"/>
      <c r="G20" s="556"/>
      <c r="H20" s="595"/>
      <c r="I20" s="555"/>
      <c r="J20" s="556"/>
      <c r="K20" s="556"/>
      <c r="L20" s="556"/>
      <c r="M20" s="711"/>
      <c r="N20" s="58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>IF(E20&lt;&gt;"",IF(N20&lt;1.85,"Выговор",IF(AND(N20&gt;1.85,N20&lt;3),"Предупреждение",IF(AND(N20&gt;3,N20&lt;4.65),"Нормально",IF(AND(N20&gt;4.65,N20&lt;5.1,MIN(E20:M20)&gt;=4),"Благодарность","Нормально")))),"")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2433</v>
      </c>
      <c r="C21" s="37" t="s">
        <v>2434</v>
      </c>
      <c r="D21" s="710"/>
      <c r="E21" s="555"/>
      <c r="F21" s="556"/>
      <c r="G21" s="556"/>
      <c r="H21" s="595"/>
      <c r="I21" s="555"/>
      <c r="J21" s="556"/>
      <c r="K21" s="556"/>
      <c r="L21" s="556"/>
      <c r="M21" s="711"/>
      <c r="N21" s="58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>IF(E21&lt;&gt;"",IF(N21&lt;1.85,"Выговор",IF(AND(N21&gt;1.85,N21&lt;3),"Предупреждение",IF(AND(N21&gt;3,N21&lt;4.65),"Нормально",IF(AND(N21&gt;4.65,N21&lt;5.1,MIN(E21:M21)&gt;=4),"Благодарность","Нормально")))),"")</f>
        <v/>
      </c>
      <c r="R21" s="118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2435</v>
      </c>
      <c r="C22" s="37" t="s">
        <v>2436</v>
      </c>
      <c r="D22" s="710"/>
      <c r="E22" s="555"/>
      <c r="F22" s="556"/>
      <c r="G22" s="556"/>
      <c r="H22" s="595"/>
      <c r="I22" s="555"/>
      <c r="J22" s="556"/>
      <c r="K22" s="556"/>
      <c r="L22" s="556"/>
      <c r="M22" s="711"/>
      <c r="N22" s="585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>IF(E22&lt;&gt;"",IF(N22&lt;1.85,"Выговор",IF(AND(N22&gt;1.85,N22&lt;3),"Предупреждение",IF(AND(N22&gt;3,N22&lt;4.65),"Нормально",IF(AND(N22&gt;4.65,N22&lt;5.1,MIN(E22:M22)&gt;=4),"Благодарность","Нормально")))),"")</f>
        <v/>
      </c>
      <c r="R22" s="118" t="n">
        <f aca="false">COUNTIF(E22:M22,2)+COUNTIF(E22:M22,1)+COUNTIF(E22:M22,0)</f>
        <v>0</v>
      </c>
    </row>
    <row r="23" s="45" customFormat="true" ht="15" hidden="false" customHeight="true" outlineLevel="0" collapsed="false">
      <c r="A23" s="37" t="n">
        <v>16</v>
      </c>
      <c r="B23" s="37" t="s">
        <v>2437</v>
      </c>
      <c r="C23" s="37" t="s">
        <v>2438</v>
      </c>
      <c r="D23" s="710"/>
      <c r="E23" s="555"/>
      <c r="F23" s="556"/>
      <c r="G23" s="556"/>
      <c r="H23" s="595"/>
      <c r="I23" s="555"/>
      <c r="J23" s="556"/>
      <c r="K23" s="556"/>
      <c r="L23" s="556"/>
      <c r="M23" s="711"/>
      <c r="N23" s="585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>IF(E23&lt;&gt;"",IF(N23&lt;1.85,"Выговор",IF(AND(N23&gt;1.85,N23&lt;3),"Предупреждение",IF(AND(N23&gt;3,N23&lt;4.65),"Нормально",IF(AND(N23&gt;4.65,N23&lt;5.1,MIN(E23:M23)&gt;=4),"Благодарность","Нормально")))),"")</f>
        <v/>
      </c>
      <c r="R23" s="118" t="n">
        <f aca="false">COUNTIF(E23:M23,2)+COUNTIF(E23:M23,1)+COUNTIF(E23:M23,0)</f>
        <v>0</v>
      </c>
    </row>
    <row r="24" s="45" customFormat="true" ht="15" hidden="false" customHeight="true" outlineLevel="0" collapsed="false">
      <c r="A24" s="37" t="n">
        <v>17</v>
      </c>
      <c r="B24" s="37" t="s">
        <v>2439</v>
      </c>
      <c r="C24" s="37" t="s">
        <v>2440</v>
      </c>
      <c r="D24" s="710"/>
      <c r="E24" s="555"/>
      <c r="F24" s="556"/>
      <c r="G24" s="556"/>
      <c r="H24" s="595"/>
      <c r="I24" s="555"/>
      <c r="J24" s="556"/>
      <c r="K24" s="556"/>
      <c r="L24" s="556"/>
      <c r="M24" s="711"/>
      <c r="N24" s="585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>IF(E24&lt;&gt;"",IF(N24&lt;1.85,"Выговор",IF(AND(N24&gt;1.85,N24&lt;3),"Предупреждение",IF(AND(N24&gt;3,N24&lt;4.65),"Нормально",IF(AND(N24&gt;4.65,N24&lt;5.1,MIN(E24:M24)&gt;=4),"Благодарность","Нормально")))),"")</f>
        <v/>
      </c>
      <c r="R24" s="118" t="n">
        <f aca="false">COUNTIF(E24:M24,2)+COUNTIF(E24:M24,1)+COUNTIF(E24:M24,0)</f>
        <v>0</v>
      </c>
    </row>
    <row r="25" s="45" customFormat="true" ht="15" hidden="false" customHeight="true" outlineLevel="0" collapsed="false">
      <c r="A25" s="37" t="n">
        <v>18</v>
      </c>
      <c r="B25" s="37" t="s">
        <v>2441</v>
      </c>
      <c r="C25" s="37" t="s">
        <v>2442</v>
      </c>
      <c r="D25" s="710"/>
      <c r="E25" s="555"/>
      <c r="F25" s="556"/>
      <c r="G25" s="556"/>
      <c r="H25" s="595"/>
      <c r="I25" s="555"/>
      <c r="J25" s="556"/>
      <c r="K25" s="556"/>
      <c r="L25" s="556"/>
      <c r="M25" s="711"/>
      <c r="N25" s="585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>IF(E25&lt;&gt;"",IF(N25&lt;1.85,"Выговор",IF(AND(N25&gt;1.85,N25&lt;3),"Предупреждение",IF(AND(N25&gt;3,N25&lt;4.65),"Нормально",IF(AND(N25&gt;4.65,N25&lt;5.1,MIN(E25:M25)&gt;=4),"Благодарность","Нормально")))),"")</f>
        <v/>
      </c>
      <c r="R25" s="118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19</v>
      </c>
      <c r="B26" s="37" t="s">
        <v>2443</v>
      </c>
      <c r="C26" s="37" t="s">
        <v>2444</v>
      </c>
      <c r="D26" s="710"/>
      <c r="E26" s="555"/>
      <c r="F26" s="556"/>
      <c r="G26" s="556"/>
      <c r="H26" s="595"/>
      <c r="I26" s="555"/>
      <c r="J26" s="556"/>
      <c r="K26" s="556"/>
      <c r="L26" s="556"/>
      <c r="M26" s="711"/>
      <c r="N26" s="585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>IF(E26&lt;&gt;"",IF(N26&lt;1.85,"Выговор",IF(AND(N26&gt;1.85,N26&lt;3),"Предупреждение",IF(AND(N26&gt;3,N26&lt;4.65),"Нормально",IF(AND(N26&gt;4.65,N26&lt;5.1,MIN(E26:M26)&gt;=4),"Благодарность","Нормально")))),"")</f>
        <v/>
      </c>
      <c r="R26" s="118" t="n">
        <f aca="false">COUNTIF(E26:M26,2)+COUNTIF(E26:M26,1)+COUNTIF(E26:M26,0)</f>
        <v>0</v>
      </c>
    </row>
    <row r="27" s="45" customFormat="true" ht="15" hidden="false" customHeight="true" outlineLevel="0" collapsed="false">
      <c r="A27" s="37" t="n">
        <v>20</v>
      </c>
      <c r="B27" s="37" t="s">
        <v>2445</v>
      </c>
      <c r="C27" s="37" t="s">
        <v>2446</v>
      </c>
      <c r="D27" s="710"/>
      <c r="E27" s="555"/>
      <c r="F27" s="556"/>
      <c r="G27" s="556"/>
      <c r="H27" s="595"/>
      <c r="I27" s="555"/>
      <c r="J27" s="556"/>
      <c r="K27" s="556"/>
      <c r="L27" s="556"/>
      <c r="M27" s="711"/>
      <c r="N27" s="585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>IF(E27&lt;&gt;"",IF(N27&lt;1.85,"Выговор",IF(AND(N27&gt;1.85,N27&lt;3),"Предупреждение",IF(AND(N27&gt;3,N27&lt;4.65),"Нормально",IF(AND(N27&gt;4.65,N27&lt;5.1,MIN(E27:M27)&gt;=4),"Благодарность","Нормально")))),"")</f>
        <v/>
      </c>
      <c r="R27" s="118" t="n">
        <f aca="false">COUNTIF(E27:M27,2)+COUNTIF(E27:M27,1)+COUNTIF(E27:M27,0)</f>
        <v>0</v>
      </c>
    </row>
    <row r="28" s="45" customFormat="true" ht="15" hidden="false" customHeight="true" outlineLevel="0" collapsed="false">
      <c r="A28" s="37" t="n">
        <v>21</v>
      </c>
      <c r="B28" s="37" t="s">
        <v>2447</v>
      </c>
      <c r="C28" s="37" t="s">
        <v>2448</v>
      </c>
      <c r="D28" s="710"/>
      <c r="E28" s="555"/>
      <c r="F28" s="556"/>
      <c r="G28" s="556"/>
      <c r="H28" s="595"/>
      <c r="I28" s="555"/>
      <c r="J28" s="556"/>
      <c r="K28" s="556"/>
      <c r="L28" s="556"/>
      <c r="M28" s="711"/>
      <c r="N28" s="585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>IF(E28&lt;&gt;"",IF(N28&lt;1.85,"Выговор",IF(AND(N28&gt;1.85,N28&lt;3),"Предупреждение",IF(AND(N28&gt;3,N28&lt;4.65),"Нормально",IF(AND(N28&gt;4.65,N28&lt;5.1,MIN(E28:M28)&gt;=4),"Благодарность","Нормально")))),"")</f>
        <v/>
      </c>
      <c r="R28" s="118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2449</v>
      </c>
      <c r="C29" s="37" t="s">
        <v>2450</v>
      </c>
      <c r="D29" s="710"/>
      <c r="E29" s="555"/>
      <c r="F29" s="556"/>
      <c r="G29" s="556"/>
      <c r="H29" s="595"/>
      <c r="I29" s="555"/>
      <c r="J29" s="556"/>
      <c r="K29" s="556"/>
      <c r="L29" s="556"/>
      <c r="M29" s="711"/>
      <c r="N29" s="585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>IF(E29&lt;&gt;"",IF(N29&lt;1.85,"Выговор",IF(AND(N29&gt;1.85,N29&lt;3),"Предупреждение",IF(AND(N29&gt;3,N29&lt;4.65),"Нормально",IF(AND(N29&gt;4.65,N29&lt;5.1,MIN(E29:M29)&gt;=4),"Благодарность","Нормально")))),"")</f>
        <v/>
      </c>
      <c r="R29" s="118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23</v>
      </c>
      <c r="B30" s="37" t="s">
        <v>2451</v>
      </c>
      <c r="C30" s="37" t="s">
        <v>2452</v>
      </c>
      <c r="D30" s="710"/>
      <c r="E30" s="555"/>
      <c r="F30" s="556"/>
      <c r="G30" s="556"/>
      <c r="H30" s="595"/>
      <c r="I30" s="555"/>
      <c r="J30" s="556"/>
      <c r="K30" s="556"/>
      <c r="L30" s="556"/>
      <c r="M30" s="711"/>
      <c r="N30" s="585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>IF(E30&lt;&gt;"",IF(N30&lt;1.85,"Выговор",IF(AND(N30&gt;1.85,N30&lt;3),"Предупреждение",IF(AND(N30&gt;3,N30&lt;4.65),"Нормально",IF(AND(N30&gt;4.65,N30&lt;5.1,MIN(E30:M30)&gt;=4),"Благодарность","Нормально")))),"")</f>
        <v/>
      </c>
      <c r="R30" s="118" t="n">
        <f aca="false">COUNTIF(E30:M30,2)+COUNTIF(E30:M30,1)+COUNTIF(E30:M30,0)</f>
        <v>0</v>
      </c>
    </row>
    <row r="31" customFormat="false" ht="15" hidden="false" customHeight="true" outlineLevel="0" collapsed="false">
      <c r="A31" s="123" t="s">
        <v>77</v>
      </c>
      <c r="B31" s="123"/>
      <c r="C31" s="123"/>
      <c r="E31" s="713" t="e">
        <f aca="false">AVERAGE(E8:E30)</f>
        <v>#DIV/0!</v>
      </c>
      <c r="F31" s="713" t="e">
        <f aca="false">AVERAGE(F8:F30)</f>
        <v>#DIV/0!</v>
      </c>
      <c r="G31" s="713" t="e">
        <f aca="false">AVERAGE(G8:G30)</f>
        <v>#DIV/0!</v>
      </c>
      <c r="H31" s="713" t="e">
        <f aca="false">AVERAGE(H8:H30)</f>
        <v>#DIV/0!</v>
      </c>
      <c r="I31" s="713" t="e">
        <f aca="false">AVERAGE(I8:I30)</f>
        <v>#DIV/0!</v>
      </c>
      <c r="J31" s="713" t="e">
        <f aca="false">AVERAGE(J8:J30)</f>
        <v>#DIV/0!</v>
      </c>
      <c r="K31" s="713" t="e">
        <f aca="false">AVERAGE(K8:K30)</f>
        <v>#DIV/0!</v>
      </c>
      <c r="L31" s="713" t="e">
        <f aca="false">AVERAGE(L8:L30)</f>
        <v>#DIV/0!</v>
      </c>
      <c r="M31" s="713" t="e">
        <f aca="false">AVERAGE(M8:M30)</f>
        <v>#DIV/0!</v>
      </c>
    </row>
    <row r="32" customFormat="false" ht="15" hidden="false" customHeight="true" outlineLevel="0" collapsed="false">
      <c r="A32" s="0" t="s">
        <v>78</v>
      </c>
      <c r="E32" s="454" t="e">
        <f aca="false">(COUNTIF(E8:E30,5)+COUNTIF(E8:E30,4)+COUNTIF(E8:E30,3))/$Q$36*100</f>
        <v>#DIV/0!</v>
      </c>
      <c r="F32" s="454" t="e">
        <f aca="false">(COUNTIF(F8:F30,5)+COUNTIF(F8:F30,4)+COUNTIF(F8:F30,3))/$Q$36*100</f>
        <v>#DIV/0!</v>
      </c>
      <c r="G32" s="454" t="e">
        <f aca="false">(COUNTIF(G8:G30,5)+COUNTIF(G8:G30,4)+COUNTIF(G8:G30,3))/$Q$36*100</f>
        <v>#DIV/0!</v>
      </c>
      <c r="H32" s="454" t="e">
        <f aca="false">(COUNTIF(H8:H30,5)+COUNTIF(H8:H30,4)+COUNTIF(H8:H30,3))/$Q$36*100</f>
        <v>#DIV/0!</v>
      </c>
      <c r="I32" s="454" t="e">
        <f aca="false">(COUNTIF(I8:I30,5)+COUNTIF(I8:I30,4)+COUNTIF(I8:I30,3))/$Q$36*100</f>
        <v>#DIV/0!</v>
      </c>
      <c r="J32" s="454" t="e">
        <f aca="false">(COUNTIF(J8:J30,5)+COUNTIF(J8:J30,4)+COUNTIF(J8:J30,3))/$Q$36*100</f>
        <v>#DIV/0!</v>
      </c>
      <c r="K32" s="454" t="e">
        <f aca="false">(COUNTIF(K8:K30,5)+COUNTIF(K8:K30,4)+COUNTIF(K8:K30,3))/$Q$36*100</f>
        <v>#DIV/0!</v>
      </c>
      <c r="L32" s="454" t="e">
        <f aca="false">(COUNTIF(L8:L30,5)+COUNTIF(L8:L30,4)+COUNTIF(L8:L30,3))/$Q$36*100</f>
        <v>#DIV/0!</v>
      </c>
      <c r="M32" s="454" t="e">
        <f aca="false">(COUNTIF(M8:M30,5)+COUNTIF(M8:M30,4)+COUNTIF(M8:M30,3))/$Q$36*100</f>
        <v>#DIV/0!</v>
      </c>
    </row>
    <row r="33" customFormat="false" ht="15" hidden="false" customHeight="true" outlineLevel="0" collapsed="false"/>
    <row r="34" customFormat="false" ht="15" hidden="false" customHeight="true" outlineLevel="0" collapsed="false">
      <c r="C34" s="50" t="s">
        <v>8</v>
      </c>
      <c r="D34" s="51" t="str">
        <f aca="false">IFERROR(AVERAGE(N8:N30),"")</f>
        <v/>
      </c>
      <c r="E34" s="52" t="s">
        <v>9</v>
      </c>
      <c r="F34" s="52"/>
      <c r="G34" s="53" t="str">
        <f aca="false">IFERROR(COUNTIF(O8:O30,"Успевает")/Q36*100,"")</f>
        <v/>
      </c>
      <c r="H34" s="319" t="s">
        <v>79</v>
      </c>
      <c r="I34" s="319"/>
      <c r="J34" s="55" t="str">
        <f aca="false">IFERROR(AVERAGE(P8:P30),"")</f>
        <v/>
      </c>
      <c r="M34" s="52"/>
      <c r="N34" s="52"/>
      <c r="O34" s="52"/>
      <c r="P34" s="158"/>
      <c r="Q34" s="48"/>
      <c r="R34" s="48"/>
    </row>
    <row r="35" customFormat="false" ht="15" hidden="false" customHeight="true" outlineLevel="0" collapsed="false">
      <c r="D35" s="50"/>
      <c r="E35" s="50"/>
      <c r="F35" s="50"/>
      <c r="G35" s="56"/>
      <c r="H35" s="56"/>
      <c r="I35" s="56"/>
      <c r="J35" s="56"/>
      <c r="K35" s="56"/>
      <c r="L35" s="56"/>
      <c r="M35" s="56"/>
      <c r="N35" s="56"/>
      <c r="R35" s="59"/>
    </row>
    <row r="36" customFormat="false" ht="15" hidden="false" customHeight="true" outlineLevel="0" collapsed="false">
      <c r="C36" s="61" t="s">
        <v>81</v>
      </c>
      <c r="D36" s="61"/>
      <c r="E36" s="61"/>
      <c r="F36" s="61"/>
      <c r="G36" s="61"/>
      <c r="H36" s="61"/>
      <c r="I36" s="61"/>
      <c r="J36" s="61"/>
      <c r="K36" s="61"/>
      <c r="L36" s="347" t="s">
        <v>82</v>
      </c>
      <c r="M36" s="347"/>
      <c r="N36" s="96"/>
      <c r="O36" s="57" t="s">
        <v>80</v>
      </c>
      <c r="P36" s="57"/>
      <c r="Q36" s="58" t="n">
        <f aca="false">SUM(Q37,Q38)</f>
        <v>0</v>
      </c>
      <c r="R36" s="64"/>
    </row>
    <row r="37" customFormat="false" ht="15" hidden="false" customHeight="true" outlineLevel="0" collapsed="false">
      <c r="C37" s="65" t="str">
        <f aca="false">$E$6</f>
        <v> Операционные системы</v>
      </c>
      <c r="D37" s="65"/>
      <c r="E37" s="65"/>
      <c r="F37" s="65"/>
      <c r="G37" s="65"/>
      <c r="H37" s="65"/>
      <c r="I37" s="65"/>
      <c r="J37" s="65"/>
      <c r="K37" s="65"/>
      <c r="L37" s="714"/>
      <c r="M37" s="714"/>
      <c r="N37" s="715"/>
      <c r="O37" s="57" t="s">
        <v>83</v>
      </c>
      <c r="P37" s="57"/>
      <c r="Q37" s="58" t="n">
        <f aca="false">COUNTIF(O8:O30,"Успевает")</f>
        <v>0</v>
      </c>
      <c r="R37" s="99"/>
    </row>
    <row r="38" customFormat="false" ht="15" hidden="false" customHeight="true" outlineLevel="0" collapsed="false">
      <c r="C38" s="65" t="str">
        <f aca="false">$F$6</f>
        <v> Программирование на языке Java</v>
      </c>
      <c r="D38" s="65"/>
      <c r="E38" s="65"/>
      <c r="F38" s="65"/>
      <c r="G38" s="65"/>
      <c r="H38" s="65"/>
      <c r="I38" s="65"/>
      <c r="J38" s="65"/>
      <c r="K38" s="65"/>
      <c r="L38" s="714"/>
      <c r="M38" s="714"/>
      <c r="N38" s="715"/>
      <c r="O38" s="98" t="s">
        <v>84</v>
      </c>
      <c r="P38" s="98"/>
      <c r="Q38" s="58" t="n">
        <f aca="false">COUNTIF(O8:O30,"Не успевает")</f>
        <v>0</v>
      </c>
      <c r="R38" s="64"/>
    </row>
    <row r="39" customFormat="false" ht="15" hidden="false" customHeight="true" outlineLevel="0" collapsed="false">
      <c r="C39" s="65" t="str">
        <f aca="false">$G$6</f>
        <v> Сетевые технологии в автоматизированных системах обработки информации и управления</v>
      </c>
      <c r="D39" s="65"/>
      <c r="E39" s="65"/>
      <c r="F39" s="65"/>
      <c r="G39" s="65"/>
      <c r="H39" s="65"/>
      <c r="I39" s="65"/>
      <c r="J39" s="65"/>
      <c r="K39" s="65"/>
      <c r="L39" s="714"/>
      <c r="M39" s="714"/>
      <c r="N39" s="715"/>
      <c r="O39" s="98" t="s">
        <v>85</v>
      </c>
      <c r="P39" s="98"/>
      <c r="Q39" s="58" t="n">
        <f aca="false">COUNTIF(Q8:Q30,"Благодарность")</f>
        <v>0</v>
      </c>
      <c r="R39" s="48"/>
    </row>
    <row r="40" customFormat="false" ht="15" hidden="false" customHeight="true" outlineLevel="0" collapsed="false">
      <c r="C40" s="65" t="str">
        <f aca="false">$H$6</f>
        <v> Сети и телекоммуникации</v>
      </c>
      <c r="D40" s="65"/>
      <c r="E40" s="65"/>
      <c r="F40" s="65"/>
      <c r="G40" s="65"/>
      <c r="H40" s="65"/>
      <c r="I40" s="65"/>
      <c r="J40" s="65"/>
      <c r="K40" s="65"/>
      <c r="L40" s="714"/>
      <c r="M40" s="714"/>
      <c r="N40" s="715"/>
      <c r="O40" s="98" t="s">
        <v>86</v>
      </c>
      <c r="P40" s="98"/>
      <c r="Q40" s="58" t="n">
        <f aca="false">COUNTIF(Q8:Q30,"Нормально")</f>
        <v>0</v>
      </c>
      <c r="R40" s="48"/>
    </row>
    <row r="41" customFormat="false" ht="15" hidden="false" customHeight="true" outlineLevel="0" collapsed="false">
      <c r="C41" s="65" t="str">
        <f aca="false">$I$6</f>
        <v>Иностранный язык</v>
      </c>
      <c r="D41" s="65"/>
      <c r="E41" s="65"/>
      <c r="F41" s="65"/>
      <c r="G41" s="65"/>
      <c r="H41" s="65"/>
      <c r="I41" s="65"/>
      <c r="J41" s="65"/>
      <c r="K41" s="65"/>
      <c r="L41" s="714"/>
      <c r="M41" s="714"/>
      <c r="N41" s="715"/>
      <c r="O41" s="98" t="s">
        <v>87</v>
      </c>
      <c r="P41" s="98"/>
      <c r="Q41" s="58" t="n">
        <f aca="false">COUNTIF(Q8:Q30,"Предупреждение")</f>
        <v>0</v>
      </c>
      <c r="R41" s="48"/>
    </row>
    <row r="42" customFormat="false" ht="15" hidden="false" customHeight="true" outlineLevel="0" collapsed="false">
      <c r="C42" s="65" t="str">
        <f aca="false">$J$6</f>
        <v> Модели данных (к.п.)</v>
      </c>
      <c r="D42" s="65"/>
      <c r="E42" s="65"/>
      <c r="F42" s="65"/>
      <c r="G42" s="65"/>
      <c r="H42" s="65"/>
      <c r="I42" s="65"/>
      <c r="J42" s="65"/>
      <c r="K42" s="65"/>
      <c r="L42" s="714"/>
      <c r="M42" s="714"/>
      <c r="N42" s="715"/>
      <c r="O42" s="98" t="s">
        <v>88</v>
      </c>
      <c r="P42" s="98"/>
      <c r="Q42" s="58" t="n">
        <f aca="false">COUNTIF(Q8:Q30,"Выговор")</f>
        <v>0</v>
      </c>
      <c r="R42" s="48"/>
    </row>
    <row r="43" customFormat="false" ht="15" hidden="false" customHeight="true" outlineLevel="0" collapsed="false">
      <c r="C43" s="65" t="str">
        <f aca="false">$K$6</f>
        <v> Социология</v>
      </c>
      <c r="D43" s="65"/>
      <c r="E43" s="65"/>
      <c r="F43" s="65"/>
      <c r="G43" s="65"/>
      <c r="H43" s="65"/>
      <c r="I43" s="65"/>
      <c r="J43" s="65"/>
      <c r="K43" s="65"/>
      <c r="L43" s="714"/>
      <c r="M43" s="714"/>
      <c r="N43" s="715"/>
      <c r="O43" s="442" t="s">
        <v>1575</v>
      </c>
      <c r="P43" s="380"/>
      <c r="Q43" s="143" t="n">
        <f aca="false">SUM(R8:R30)</f>
        <v>0</v>
      </c>
      <c r="R43" s="67"/>
    </row>
    <row r="44" customFormat="false" ht="15" hidden="false" customHeight="true" outlineLevel="0" collapsed="false">
      <c r="C44" s="65" t="str">
        <f aca="false">$L$6</f>
        <v> Экология</v>
      </c>
      <c r="D44" s="65"/>
      <c r="E44" s="65"/>
      <c r="F44" s="65"/>
      <c r="G44" s="65"/>
      <c r="H44" s="65"/>
      <c r="I44" s="65"/>
      <c r="J44" s="65"/>
      <c r="K44" s="65"/>
      <c r="L44" s="714"/>
      <c r="M44" s="714"/>
      <c r="N44" s="715"/>
      <c r="O44" s="716"/>
      <c r="P44" s="50"/>
      <c r="Q44" s="67"/>
      <c r="R44" s="67"/>
    </row>
    <row r="45" customFormat="false" ht="15" hidden="false" customHeight="true" outlineLevel="0" collapsed="false">
      <c r="C45" s="65" t="str">
        <f aca="false">$M$6</f>
        <v>Физическая культура и спорт</v>
      </c>
      <c r="D45" s="65"/>
      <c r="E45" s="65"/>
      <c r="F45" s="65"/>
      <c r="G45" s="65"/>
      <c r="H45" s="65"/>
      <c r="I45" s="65"/>
      <c r="J45" s="65"/>
      <c r="K45" s="65"/>
      <c r="L45" s="714"/>
      <c r="M45" s="714"/>
      <c r="N45" s="715"/>
      <c r="O45" s="716"/>
      <c r="P45" s="48"/>
      <c r="Q45" s="67"/>
      <c r="R45" s="67"/>
    </row>
    <row r="46" customFormat="false" ht="15" hidden="false" customHeight="true" outlineLevel="0" collapsed="false">
      <c r="C46" s="50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50"/>
      <c r="R46" s="48"/>
    </row>
    <row r="47" customFormat="false" ht="15" hidden="false" customHeight="true" outlineLevel="0" collapsed="false">
      <c r="B47" s="0" t="s">
        <v>405</v>
      </c>
      <c r="C47" s="50" t="s">
        <v>2453</v>
      </c>
      <c r="D47" s="73"/>
      <c r="E47" s="73"/>
      <c r="F47" s="73"/>
      <c r="G47" s="67"/>
      <c r="H47" s="52" t="s">
        <v>369</v>
      </c>
      <c r="I47" s="300" t="s">
        <v>2454</v>
      </c>
      <c r="J47" s="52"/>
      <c r="K47" s="52"/>
      <c r="L47" s="52"/>
      <c r="M47" s="52"/>
      <c r="N47" s="50"/>
      <c r="R47" s="48"/>
    </row>
    <row r="48" customFormat="false" ht="15" hidden="false" customHeight="true" outlineLevel="0" collapsed="false"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R48" s="48"/>
    </row>
    <row r="49" customFormat="false" ht="15" hidden="false" customHeight="true" outlineLevel="0" collapsed="false">
      <c r="B49" s="50" t="s">
        <v>93</v>
      </c>
      <c r="C49" s="50"/>
      <c r="D49" s="50"/>
      <c r="E49" s="50"/>
      <c r="F49" s="50"/>
      <c r="G49" s="50"/>
      <c r="H49" s="50"/>
      <c r="I49" s="50"/>
      <c r="L49" s="50"/>
      <c r="M49" s="50"/>
      <c r="N49" s="50"/>
      <c r="R49" s="48"/>
    </row>
    <row r="50" customFormat="false" ht="15" hidden="false" customHeight="true" outlineLevel="0" collapsed="false">
      <c r="B50" s="50" t="s">
        <v>94</v>
      </c>
      <c r="C50" s="50"/>
      <c r="D50" s="50"/>
      <c r="E50" s="50"/>
      <c r="F50" s="50"/>
      <c r="G50" s="50"/>
      <c r="H50" s="50"/>
      <c r="I50" s="50"/>
      <c r="L50" s="50"/>
      <c r="M50" s="50"/>
      <c r="N50" s="50"/>
      <c r="R50" s="48"/>
    </row>
    <row r="51" customFormat="false" ht="15" hidden="false" customHeight="true" outlineLevel="0" collapsed="false">
      <c r="B51" s="50" t="s">
        <v>95</v>
      </c>
      <c r="C51" s="50"/>
      <c r="D51" s="50"/>
      <c r="E51" s="50"/>
      <c r="F51" s="50"/>
      <c r="G51" s="50"/>
      <c r="H51" s="50"/>
      <c r="I51" s="50"/>
      <c r="L51" s="50"/>
      <c r="M51" s="50"/>
      <c r="N51" s="50"/>
      <c r="R51" s="48"/>
    </row>
    <row r="52" customFormat="false" ht="15" hidden="false" customHeight="true" outlineLevel="0" collapsed="false">
      <c r="B52" s="50" t="s">
        <v>96</v>
      </c>
      <c r="C52" s="50"/>
      <c r="D52" s="50"/>
      <c r="E52" s="50"/>
      <c r="F52" s="50"/>
      <c r="G52" s="50"/>
      <c r="H52" s="50"/>
      <c r="I52" s="50"/>
      <c r="L52" s="50"/>
      <c r="M52" s="50"/>
      <c r="N52" s="50"/>
    </row>
    <row r="53" customFormat="false" ht="15" hidden="false" customHeight="true" outlineLevel="0" collapsed="false">
      <c r="B53" s="50" t="s">
        <v>97</v>
      </c>
      <c r="C53" s="50"/>
      <c r="D53" s="50"/>
      <c r="E53" s="50"/>
      <c r="F53" s="50"/>
      <c r="G53" s="50"/>
      <c r="H53" s="50"/>
      <c r="I53" s="50"/>
      <c r="L53" s="50"/>
      <c r="M53" s="50"/>
      <c r="N53" s="50"/>
    </row>
    <row r="54" customFormat="false" ht="15" hidden="false" customHeight="true" outlineLevel="0" collapsed="false">
      <c r="B54" s="50" t="s">
        <v>98</v>
      </c>
      <c r="C54" s="50"/>
      <c r="D54" s="50"/>
      <c r="E54" s="50"/>
      <c r="F54" s="50"/>
      <c r="G54" s="50"/>
      <c r="H54" s="50"/>
      <c r="I54" s="50"/>
      <c r="L54" s="50"/>
      <c r="M54" s="50"/>
    </row>
    <row r="55" customFormat="false" ht="15" hidden="false" customHeight="true" outlineLevel="0" collapsed="false">
      <c r="B55" s="50" t="s">
        <v>99</v>
      </c>
      <c r="C55" s="50"/>
      <c r="D55" s="50"/>
      <c r="E55" s="50"/>
      <c r="F55" s="50"/>
      <c r="G55" s="50"/>
      <c r="H55" s="50"/>
      <c r="I55" s="50"/>
      <c r="L55" s="50"/>
      <c r="M55" s="50"/>
    </row>
    <row r="56" customFormat="false" ht="15" hidden="false" customHeight="true" outlineLevel="0" collapsed="false"/>
  </sheetData>
  <mergeCells count="41">
    <mergeCell ref="E1:H1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A31:C31"/>
    <mergeCell ref="H34:I34"/>
    <mergeCell ref="C36:K36"/>
    <mergeCell ref="L36:M36"/>
    <mergeCell ref="O36:P36"/>
    <mergeCell ref="C37:K37"/>
    <mergeCell ref="L37:M37"/>
    <mergeCell ref="O37:P37"/>
    <mergeCell ref="C38:K38"/>
    <mergeCell ref="L38:M38"/>
    <mergeCell ref="O38:P38"/>
    <mergeCell ref="C39:K39"/>
    <mergeCell ref="L39:M39"/>
    <mergeCell ref="O39:P39"/>
    <mergeCell ref="C40:K40"/>
    <mergeCell ref="L40:M40"/>
    <mergeCell ref="O40:P40"/>
    <mergeCell ref="C41:K41"/>
    <mergeCell ref="L41:M41"/>
    <mergeCell ref="O41:P41"/>
    <mergeCell ref="C42:K42"/>
    <mergeCell ref="L42:M42"/>
    <mergeCell ref="O42:P42"/>
    <mergeCell ref="C43:K43"/>
    <mergeCell ref="L43:M43"/>
    <mergeCell ref="C44:K44"/>
    <mergeCell ref="L44:M44"/>
    <mergeCell ref="C45:K45"/>
    <mergeCell ref="L45:M45"/>
  </mergeCells>
  <conditionalFormatting sqref="L8:L14 L30 L16:L2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3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9:N12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0:K30 E8:K14 E16:K22 M30 M16:M22 M8:M14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K15 M15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K23 M23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3:N30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4:K29 M24:M29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24:L29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63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C8" activeCellId="0" sqref="C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71"/>
    <col collapsed="false" customWidth="true" hidden="false" outlineLevel="0" max="3" min="3" style="0" width="17.71"/>
    <col collapsed="false" customWidth="true" hidden="false" outlineLevel="0" max="5" min="5" style="0" width="10"/>
    <col collapsed="false" customWidth="true" hidden="false" outlineLevel="0" max="15" min="15" style="0" width="10.85"/>
    <col collapsed="false" customWidth="true" hidden="false" outlineLevel="0" max="16" min="16" style="0" width="11.14"/>
    <col collapsed="false" customWidth="true" hidden="false" outlineLevel="0" max="17" min="17" style="0" width="16.71"/>
    <col collapsed="false" customWidth="true" hidden="false" outlineLevel="0" max="18" min="18" style="0" width="5.71"/>
    <col collapsed="false" customWidth="true" hidden="false" outlineLevel="0" max="19" min="19" style="0" width="3.86"/>
    <col collapsed="false" customWidth="true" hidden="false" outlineLevel="0" max="20" min="20" style="0" width="3.57"/>
    <col collapsed="false" customWidth="true" hidden="false" outlineLevel="0" max="21" min="21" style="0" width="4.14"/>
    <col collapsed="false" customWidth="true" hidden="false" outlineLevel="0" max="22" min="22" style="0" width="4.71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0" t="s">
        <v>1</v>
      </c>
      <c r="M2" s="599"/>
      <c r="O2" s="75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ИУК5-52Б факультета ИУК МГТУ им. Н.Э. Баумана"</f>
        <v>Успеваемость студентов за 1 семестр 24/25 учебного года по группе ИУК5-52Б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20" t="s">
        <v>1575</v>
      </c>
    </row>
    <row r="6" customFormat="false" ht="130.5" hidden="false" customHeight="true" outlineLevel="0" collapsed="false">
      <c r="A6" s="8"/>
      <c r="B6" s="8"/>
      <c r="C6" s="8"/>
      <c r="D6" s="9"/>
      <c r="E6" s="627" t="s">
        <v>882</v>
      </c>
      <c r="F6" s="629" t="s">
        <v>2404</v>
      </c>
      <c r="G6" s="629" t="s">
        <v>2405</v>
      </c>
      <c r="H6" s="630" t="s">
        <v>291</v>
      </c>
      <c r="I6" s="629" t="s">
        <v>18</v>
      </c>
      <c r="J6" s="629" t="s">
        <v>2406</v>
      </c>
      <c r="K6" s="629" t="s">
        <v>295</v>
      </c>
      <c r="L6" s="629" t="s">
        <v>296</v>
      </c>
      <c r="M6" s="630" t="s">
        <v>147</v>
      </c>
      <c r="N6" s="391"/>
      <c r="O6" s="391"/>
      <c r="P6" s="391"/>
      <c r="Q6" s="14"/>
      <c r="R6" s="620"/>
    </row>
    <row r="7" customFormat="false" ht="17.9" hidden="false" customHeight="false" outlineLevel="0" collapsed="false">
      <c r="A7" s="8"/>
      <c r="B7" s="8"/>
      <c r="C7" s="8"/>
      <c r="D7" s="9"/>
      <c r="E7" s="343" t="s">
        <v>299</v>
      </c>
      <c r="F7" s="344" t="s">
        <v>299</v>
      </c>
      <c r="G7" s="344" t="s">
        <v>299</v>
      </c>
      <c r="H7" s="346" t="s">
        <v>299</v>
      </c>
      <c r="I7" s="344" t="s">
        <v>1456</v>
      </c>
      <c r="J7" s="344" t="s">
        <v>1004</v>
      </c>
      <c r="K7" s="344" t="s">
        <v>175</v>
      </c>
      <c r="L7" s="344" t="s">
        <v>300</v>
      </c>
      <c r="M7" s="346" t="s">
        <v>176</v>
      </c>
      <c r="N7" s="391"/>
      <c r="O7" s="391"/>
      <c r="P7" s="391"/>
      <c r="Q7" s="14"/>
      <c r="R7" s="620"/>
    </row>
    <row r="8" customFormat="false" ht="15" hidden="false" customHeight="true" outlineLevel="0" collapsed="false">
      <c r="A8" s="25" t="n">
        <v>1</v>
      </c>
      <c r="B8" s="25" t="s">
        <v>2455</v>
      </c>
      <c r="C8" s="25" t="s">
        <v>2456</v>
      </c>
      <c r="D8" s="717"/>
      <c r="E8" s="718"/>
      <c r="F8" s="719"/>
      <c r="G8" s="719"/>
      <c r="H8" s="720"/>
      <c r="I8" s="721"/>
      <c r="J8" s="722"/>
      <c r="K8" s="722"/>
      <c r="L8" s="722"/>
      <c r="M8" s="723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2457</v>
      </c>
      <c r="C9" s="37" t="s">
        <v>2458</v>
      </c>
      <c r="D9" s="717"/>
      <c r="E9" s="724"/>
      <c r="F9" s="725"/>
      <c r="G9" s="725"/>
      <c r="H9" s="726"/>
      <c r="I9" s="724"/>
      <c r="J9" s="725"/>
      <c r="K9" s="725"/>
      <c r="L9" s="725"/>
      <c r="M9" s="727"/>
      <c r="N9" s="58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2459</v>
      </c>
      <c r="C10" s="37" t="s">
        <v>2460</v>
      </c>
      <c r="D10" s="717"/>
      <c r="E10" s="724"/>
      <c r="F10" s="725"/>
      <c r="G10" s="725"/>
      <c r="H10" s="726"/>
      <c r="I10" s="724"/>
      <c r="J10" s="725"/>
      <c r="K10" s="725"/>
      <c r="L10" s="725"/>
      <c r="M10" s="727"/>
      <c r="N10" s="58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2461</v>
      </c>
      <c r="C11" s="37" t="s">
        <v>2462</v>
      </c>
      <c r="D11" s="717"/>
      <c r="E11" s="724"/>
      <c r="F11" s="725"/>
      <c r="G11" s="725"/>
      <c r="H11" s="726"/>
      <c r="I11" s="724"/>
      <c r="J11" s="725"/>
      <c r="K11" s="725"/>
      <c r="L11" s="725"/>
      <c r="M11" s="727"/>
      <c r="N11" s="58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2463</v>
      </c>
      <c r="C12" s="37" t="s">
        <v>2464</v>
      </c>
      <c r="D12" s="717"/>
      <c r="E12" s="724"/>
      <c r="F12" s="725"/>
      <c r="G12" s="725"/>
      <c r="H12" s="726"/>
      <c r="I12" s="724"/>
      <c r="J12" s="725"/>
      <c r="K12" s="725"/>
      <c r="L12" s="725"/>
      <c r="M12" s="727"/>
      <c r="N12" s="58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2465</v>
      </c>
      <c r="C13" s="37" t="s">
        <v>2466</v>
      </c>
      <c r="D13" s="717"/>
      <c r="E13" s="724"/>
      <c r="F13" s="725"/>
      <c r="G13" s="725"/>
      <c r="H13" s="726"/>
      <c r="I13" s="724"/>
      <c r="J13" s="725"/>
      <c r="K13" s="725"/>
      <c r="L13" s="725"/>
      <c r="M13" s="727"/>
      <c r="N13" s="58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2467</v>
      </c>
      <c r="C14" s="37" t="s">
        <v>2468</v>
      </c>
      <c r="D14" s="717"/>
      <c r="E14" s="724"/>
      <c r="F14" s="725"/>
      <c r="G14" s="725"/>
      <c r="H14" s="726"/>
      <c r="I14" s="724"/>
      <c r="J14" s="725"/>
      <c r="K14" s="725"/>
      <c r="L14" s="725"/>
      <c r="M14" s="727"/>
      <c r="N14" s="58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2469</v>
      </c>
      <c r="C15" s="37" t="s">
        <v>2470</v>
      </c>
      <c r="D15" s="717"/>
      <c r="E15" s="724"/>
      <c r="F15" s="725"/>
      <c r="G15" s="725"/>
      <c r="H15" s="726"/>
      <c r="I15" s="724"/>
      <c r="J15" s="725"/>
      <c r="K15" s="725"/>
      <c r="L15" s="725"/>
      <c r="M15" s="727"/>
      <c r="N15" s="58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2471</v>
      </c>
      <c r="C16" s="37" t="s">
        <v>2472</v>
      </c>
      <c r="D16" s="717"/>
      <c r="E16" s="724"/>
      <c r="F16" s="725"/>
      <c r="G16" s="725"/>
      <c r="H16" s="726"/>
      <c r="I16" s="724"/>
      <c r="J16" s="725"/>
      <c r="K16" s="725"/>
      <c r="L16" s="725"/>
      <c r="M16" s="727"/>
      <c r="N16" s="58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2473</v>
      </c>
      <c r="C17" s="37" t="s">
        <v>2474</v>
      </c>
      <c r="D17" s="717"/>
      <c r="E17" s="724"/>
      <c r="F17" s="725"/>
      <c r="G17" s="725"/>
      <c r="H17" s="726"/>
      <c r="I17" s="724"/>
      <c r="J17" s="725"/>
      <c r="K17" s="725"/>
      <c r="L17" s="725"/>
      <c r="M17" s="727"/>
      <c r="N17" s="58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2475</v>
      </c>
      <c r="C18" s="37" t="s">
        <v>2476</v>
      </c>
      <c r="D18" s="717"/>
      <c r="E18" s="724"/>
      <c r="F18" s="725"/>
      <c r="G18" s="725"/>
      <c r="H18" s="726"/>
      <c r="I18" s="724"/>
      <c r="J18" s="725"/>
      <c r="K18" s="725"/>
      <c r="L18" s="725"/>
      <c r="M18" s="727"/>
      <c r="N18" s="58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2477</v>
      </c>
      <c r="C19" s="37" t="s">
        <v>2478</v>
      </c>
      <c r="D19" s="717"/>
      <c r="E19" s="724"/>
      <c r="F19" s="725"/>
      <c r="G19" s="725"/>
      <c r="H19" s="726"/>
      <c r="I19" s="724"/>
      <c r="J19" s="725"/>
      <c r="K19" s="725"/>
      <c r="L19" s="725"/>
      <c r="M19" s="727"/>
      <c r="N19" s="58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2479</v>
      </c>
      <c r="C20" s="37" t="s">
        <v>2480</v>
      </c>
      <c r="D20" s="717"/>
      <c r="E20" s="724"/>
      <c r="F20" s="725"/>
      <c r="G20" s="725"/>
      <c r="H20" s="726"/>
      <c r="I20" s="724"/>
      <c r="J20" s="725"/>
      <c r="K20" s="725"/>
      <c r="L20" s="725"/>
      <c r="M20" s="727"/>
      <c r="N20" s="58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2481</v>
      </c>
      <c r="C21" s="37" t="s">
        <v>2211</v>
      </c>
      <c r="D21" s="717"/>
      <c r="E21" s="724"/>
      <c r="F21" s="725"/>
      <c r="G21" s="725"/>
      <c r="H21" s="726"/>
      <c r="I21" s="724"/>
      <c r="J21" s="725"/>
      <c r="K21" s="725"/>
      <c r="L21" s="725"/>
      <c r="M21" s="727"/>
      <c r="N21" s="58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s="45" customFormat="true" ht="15" hidden="false" customHeight="true" outlineLevel="0" collapsed="false">
      <c r="A22" s="37" t="n">
        <v>15</v>
      </c>
      <c r="B22" s="37" t="s">
        <v>2482</v>
      </c>
      <c r="C22" s="37" t="s">
        <v>2483</v>
      </c>
      <c r="D22" s="717"/>
      <c r="E22" s="718"/>
      <c r="F22" s="719"/>
      <c r="G22" s="719"/>
      <c r="H22" s="720"/>
      <c r="I22" s="718"/>
      <c r="J22" s="719"/>
      <c r="K22" s="719"/>
      <c r="L22" s="719"/>
      <c r="M22" s="728"/>
      <c r="N22" s="585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s="45" customFormat="true" ht="15" hidden="false" customHeight="true" outlineLevel="0" collapsed="false">
      <c r="A23" s="37" t="n">
        <v>16</v>
      </c>
      <c r="B23" s="37" t="s">
        <v>2484</v>
      </c>
      <c r="C23" s="37" t="s">
        <v>2485</v>
      </c>
      <c r="D23" s="717"/>
      <c r="E23" s="724"/>
      <c r="F23" s="725"/>
      <c r="G23" s="725"/>
      <c r="H23" s="726"/>
      <c r="I23" s="724"/>
      <c r="J23" s="725"/>
      <c r="K23" s="725"/>
      <c r="L23" s="725"/>
      <c r="M23" s="727"/>
      <c r="N23" s="585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s="45" customFormat="true" ht="15" hidden="false" customHeight="true" outlineLevel="0" collapsed="false">
      <c r="A24" s="37" t="n">
        <v>17</v>
      </c>
      <c r="B24" s="37" t="s">
        <v>2486</v>
      </c>
      <c r="C24" s="37" t="s">
        <v>2487</v>
      </c>
      <c r="D24" s="717"/>
      <c r="E24" s="724"/>
      <c r="F24" s="725"/>
      <c r="G24" s="725"/>
      <c r="H24" s="726"/>
      <c r="I24" s="724"/>
      <c r="J24" s="725"/>
      <c r="K24" s="725"/>
      <c r="L24" s="725"/>
      <c r="M24" s="727"/>
      <c r="N24" s="585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s="45" customFormat="true" ht="15" hidden="false" customHeight="true" outlineLevel="0" collapsed="false">
      <c r="A25" s="37" t="n">
        <v>18</v>
      </c>
      <c r="B25" s="37" t="s">
        <v>2488</v>
      </c>
      <c r="C25" s="37" t="s">
        <v>2489</v>
      </c>
      <c r="D25" s="717"/>
      <c r="E25" s="724"/>
      <c r="F25" s="725"/>
      <c r="G25" s="725"/>
      <c r="H25" s="726"/>
      <c r="I25" s="724"/>
      <c r="J25" s="725"/>
      <c r="K25" s="725"/>
      <c r="L25" s="725"/>
      <c r="M25" s="727"/>
      <c r="N25" s="585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19</v>
      </c>
      <c r="B26" s="37" t="s">
        <v>2490</v>
      </c>
      <c r="C26" s="37" t="s">
        <v>2491</v>
      </c>
      <c r="D26" s="717"/>
      <c r="E26" s="724"/>
      <c r="F26" s="725"/>
      <c r="G26" s="725"/>
      <c r="H26" s="726"/>
      <c r="I26" s="724"/>
      <c r="J26" s="725"/>
      <c r="K26" s="725"/>
      <c r="L26" s="725"/>
      <c r="M26" s="727"/>
      <c r="N26" s="585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s="45" customFormat="true" ht="15" hidden="false" customHeight="true" outlineLevel="0" collapsed="false">
      <c r="A27" s="37" t="n">
        <v>20</v>
      </c>
      <c r="B27" s="37" t="s">
        <v>2492</v>
      </c>
      <c r="C27" s="37" t="s">
        <v>2493</v>
      </c>
      <c r="D27" s="717"/>
      <c r="E27" s="724"/>
      <c r="F27" s="725"/>
      <c r="G27" s="725"/>
      <c r="H27" s="726"/>
      <c r="I27" s="724"/>
      <c r="J27" s="725"/>
      <c r="K27" s="725"/>
      <c r="L27" s="725"/>
      <c r="M27" s="727"/>
      <c r="N27" s="585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118" t="n">
        <f aca="false">COUNTIF(E27:M27,2)+COUNTIF(E27:M27,1)+COUNTIF(E27:M27,0)</f>
        <v>0</v>
      </c>
    </row>
    <row r="28" s="45" customFormat="true" ht="15" hidden="false" customHeight="true" outlineLevel="0" collapsed="false">
      <c r="A28" s="37" t="n">
        <v>21</v>
      </c>
      <c r="B28" s="37" t="s">
        <v>2494</v>
      </c>
      <c r="C28" s="37" t="s">
        <v>2495</v>
      </c>
      <c r="D28" s="717"/>
      <c r="E28" s="724"/>
      <c r="F28" s="725"/>
      <c r="G28" s="725"/>
      <c r="H28" s="726"/>
      <c r="I28" s="724"/>
      <c r="J28" s="725"/>
      <c r="K28" s="725"/>
      <c r="L28" s="725"/>
      <c r="M28" s="727"/>
      <c r="N28" s="585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118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2496</v>
      </c>
      <c r="C29" s="37" t="s">
        <v>2497</v>
      </c>
      <c r="D29" s="717"/>
      <c r="E29" s="724"/>
      <c r="F29" s="725"/>
      <c r="G29" s="725"/>
      <c r="H29" s="726"/>
      <c r="I29" s="724"/>
      <c r="J29" s="725"/>
      <c r="K29" s="725"/>
      <c r="L29" s="725"/>
      <c r="M29" s="727"/>
      <c r="N29" s="585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118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2498</v>
      </c>
      <c r="C30" s="37" t="s">
        <v>2499</v>
      </c>
      <c r="D30" s="717"/>
      <c r="E30" s="724"/>
      <c r="F30" s="725"/>
      <c r="G30" s="725"/>
      <c r="H30" s="726"/>
      <c r="I30" s="724"/>
      <c r="J30" s="725"/>
      <c r="K30" s="725"/>
      <c r="L30" s="725"/>
      <c r="M30" s="727"/>
      <c r="N30" s="585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118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24</v>
      </c>
      <c r="B31" s="37" t="s">
        <v>2500</v>
      </c>
      <c r="C31" s="37" t="s">
        <v>2501</v>
      </c>
      <c r="D31" s="717"/>
      <c r="E31" s="724"/>
      <c r="F31" s="725"/>
      <c r="G31" s="725"/>
      <c r="H31" s="726"/>
      <c r="I31" s="724"/>
      <c r="J31" s="725"/>
      <c r="K31" s="725"/>
      <c r="L31" s="725"/>
      <c r="M31" s="727"/>
      <c r="N31" s="585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118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2502</v>
      </c>
      <c r="C32" s="37" t="s">
        <v>2503</v>
      </c>
      <c r="D32" s="717"/>
      <c r="E32" s="724"/>
      <c r="F32" s="725"/>
      <c r="G32" s="725"/>
      <c r="H32" s="726"/>
      <c r="I32" s="724"/>
      <c r="J32" s="725"/>
      <c r="K32" s="725"/>
      <c r="L32" s="725"/>
      <c r="M32" s="727"/>
      <c r="N32" s="585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118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26</v>
      </c>
      <c r="B33" s="37" t="s">
        <v>2504</v>
      </c>
      <c r="C33" s="37" t="s">
        <v>2505</v>
      </c>
      <c r="D33" s="717"/>
      <c r="E33" s="724"/>
      <c r="F33" s="725"/>
      <c r="G33" s="725"/>
      <c r="H33" s="726"/>
      <c r="I33" s="724"/>
      <c r="J33" s="725"/>
      <c r="K33" s="725"/>
      <c r="L33" s="725"/>
      <c r="M33" s="727"/>
      <c r="N33" s="585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118" t="n">
        <f aca="false">COUNTIF(E33:M33,2)+COUNTIF(E33:M33,1)+COUNTIF(E33:M33,0)</f>
        <v>0</v>
      </c>
    </row>
    <row r="34" s="45" customFormat="true" ht="15" hidden="false" customHeight="true" outlineLevel="0" collapsed="false">
      <c r="A34" s="37" t="n">
        <v>27</v>
      </c>
      <c r="B34" s="37" t="s">
        <v>2506</v>
      </c>
      <c r="C34" s="37" t="s">
        <v>2507</v>
      </c>
      <c r="D34" s="717"/>
      <c r="E34" s="724"/>
      <c r="F34" s="725"/>
      <c r="G34" s="725"/>
      <c r="H34" s="726"/>
      <c r="I34" s="724"/>
      <c r="J34" s="725"/>
      <c r="K34" s="725"/>
      <c r="L34" s="725"/>
      <c r="M34" s="727"/>
      <c r="N34" s="585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5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118" t="n">
        <f aca="false">COUNTIF(E34:M34,2)+COUNTIF(E34:M34,1)+COUNTIF(E34:M34,0)</f>
        <v>0</v>
      </c>
    </row>
    <row r="35" s="45" customFormat="true" ht="15" hidden="false" customHeight="true" outlineLevel="0" collapsed="false">
      <c r="A35" s="37" t="n">
        <v>28</v>
      </c>
      <c r="B35" s="37" t="s">
        <v>2508</v>
      </c>
      <c r="C35" s="37" t="s">
        <v>2509</v>
      </c>
      <c r="D35" s="717"/>
      <c r="E35" s="724"/>
      <c r="F35" s="725"/>
      <c r="G35" s="725"/>
      <c r="H35" s="726"/>
      <c r="I35" s="724"/>
      <c r="J35" s="725"/>
      <c r="K35" s="725"/>
      <c r="L35" s="725"/>
      <c r="M35" s="727"/>
      <c r="N35" s="585" t="str">
        <f aca="false">IFERROR(AVERAGE(E35:M35),"")</f>
        <v/>
      </c>
      <c r="O35" s="84" t="str">
        <f aca="false">IF(E35&lt;&gt;"",IF(COUNTIF(E35:M35,"&lt;3"),"Не успевает","Успевает"),"")</f>
        <v/>
      </c>
      <c r="P35" s="241" t="str">
        <f aca="false">IF(D35&lt;&gt;"",(30*(set!B$5)-D35)/(30*(set!B$5))*100,"")</f>
        <v/>
      </c>
      <c r="Q35" s="85" t="str">
        <f aca="false" t="array" ref="Q35:Q35">IF(E35&lt;&gt;"",IF(N35&lt;1.85,"Выговор",IF(N35=1.85,"Выговор",IF(AND(N35&gt;1.85,N35&lt;3),"Предупреждение",IF(AND(N35&gt;3,N35&lt;4.65),"Нормально",IF(AND(N35&gt;4.65,N35&lt;5.1,E35:M35&gt;=4),"Благодарность","Нормально"))))),"")</f>
        <v/>
      </c>
      <c r="R35" s="118" t="n">
        <f aca="false">COUNTIF(E35:M35,2)+COUNTIF(E35:M35,1)+COUNTIF(E35:M35,0)</f>
        <v>0</v>
      </c>
    </row>
    <row r="36" customFormat="false" ht="15" hidden="false" customHeight="true" outlineLevel="0" collapsed="false">
      <c r="A36" s="37" t="n">
        <v>29</v>
      </c>
      <c r="B36" s="37" t="s">
        <v>2510</v>
      </c>
      <c r="C36" s="37" t="s">
        <v>2511</v>
      </c>
      <c r="D36" s="729"/>
      <c r="E36" s="730"/>
      <c r="F36" s="731"/>
      <c r="G36" s="731"/>
      <c r="H36" s="732"/>
      <c r="I36" s="724"/>
      <c r="J36" s="725"/>
      <c r="K36" s="725"/>
      <c r="L36" s="725"/>
      <c r="M36" s="727"/>
      <c r="N36" s="585" t="str">
        <f aca="false">IFERROR(AVERAGE(E36:M36),"")</f>
        <v/>
      </c>
      <c r="O36" s="84" t="str">
        <f aca="false">IF(E36&lt;&gt;"",IF(COUNTIF(E36:M36,"&lt;3"),"Не успевает","Успевает"),"")</f>
        <v/>
      </c>
      <c r="P36" s="241" t="str">
        <f aca="false">IF(D36&lt;&gt;"",(30*(set!B$5)-D36)/(30*(set!B$5))*100,"")</f>
        <v/>
      </c>
      <c r="Q36" s="85" t="str">
        <f aca="false" t="array" ref="Q36:Q36">IF(E36&lt;&gt;"",IF(N36&lt;1.85,"Выговор",IF(N36=1.85,"Выговор",IF(AND(N36&gt;1.85,N36&lt;3),"Предупреждение",IF(AND(N36&gt;3,N36&lt;4.65),"Нормально",IF(AND(N36&gt;4.65,N36&lt;5.1,E36:M36&gt;=4),"Благодарность","Нормально"))))),"")</f>
        <v/>
      </c>
      <c r="R36" s="118" t="n">
        <f aca="false">COUNTIF(E36:M36,2)+COUNTIF(E36:M36,1)+COUNTIF(E36:M36,0)</f>
        <v>0</v>
      </c>
    </row>
    <row r="37" customFormat="false" ht="15" hidden="false" customHeight="true" outlineLevel="0" collapsed="false">
      <c r="A37" s="0" t="s">
        <v>77</v>
      </c>
      <c r="D37" s="733"/>
      <c r="E37" s="734" t="e">
        <f aca="false">AVERAGE(E8:E36)</f>
        <v>#DIV/0!</v>
      </c>
      <c r="F37" s="734" t="e">
        <f aca="false">AVERAGE(F8:F36)</f>
        <v>#DIV/0!</v>
      </c>
      <c r="G37" s="734" t="e">
        <f aca="false">AVERAGE(G8:G36)</f>
        <v>#DIV/0!</v>
      </c>
      <c r="H37" s="734" t="e">
        <f aca="false">AVERAGE(H8:H36)</f>
        <v>#DIV/0!</v>
      </c>
      <c r="I37" s="734" t="e">
        <f aca="false">AVERAGE(I8:I36)</f>
        <v>#DIV/0!</v>
      </c>
      <c r="J37" s="734" t="e">
        <f aca="false">AVERAGE(J8:J36)</f>
        <v>#DIV/0!</v>
      </c>
      <c r="K37" s="734" t="e">
        <f aca="false">AVERAGE(K8:K36)</f>
        <v>#DIV/0!</v>
      </c>
      <c r="L37" s="734" t="e">
        <f aca="false">AVERAGE(L8:L36)</f>
        <v>#DIV/0!</v>
      </c>
      <c r="M37" s="734" t="e">
        <f aca="false">AVERAGE(M8:M36)</f>
        <v>#DIV/0!</v>
      </c>
      <c r="N37" s="47"/>
      <c r="O37" s="47"/>
      <c r="P37" s="48"/>
      <c r="Q37" s="48"/>
    </row>
    <row r="38" customFormat="false" ht="15" hidden="false" customHeight="true" outlineLevel="0" collapsed="false">
      <c r="A38" s="0" t="s">
        <v>78</v>
      </c>
      <c r="D38" s="735"/>
      <c r="E38" s="736" t="e">
        <f aca="false">(COUNTIF(E8:E36,5)+COUNTIF(E8:E36,4)+COUNTIF(E8:E36,3))/$O$43*100</f>
        <v>#DIV/0!</v>
      </c>
      <c r="F38" s="736" t="e">
        <f aca="false">(COUNTIF(F8:F36,5)+COUNTIF(F8:F36,4)+COUNTIF(F8:F36,3))/$O$43*100</f>
        <v>#DIV/0!</v>
      </c>
      <c r="G38" s="736" t="e">
        <f aca="false">(COUNTIF(G8:G36,5)+COUNTIF(G8:G36,4)+COUNTIF(G8:G36,3))/$O$43*100</f>
        <v>#DIV/0!</v>
      </c>
      <c r="H38" s="736" t="e">
        <f aca="false">(COUNTIF(H8:H36,5)+COUNTIF(H8:H36,4)+COUNTIF(H8:H36,3))/$O$43*100</f>
        <v>#DIV/0!</v>
      </c>
      <c r="I38" s="736" t="e">
        <f aca="false">(COUNTIF(I8:I36,5)+COUNTIF(I8:I36,4)+COUNTIF(I8:I36,3))/$O$43*100</f>
        <v>#DIV/0!</v>
      </c>
      <c r="J38" s="736" t="e">
        <f aca="false">(COUNTIF(J8:J36,5)+COUNTIF(J8:J36,4)+COUNTIF(J8:J36,3))/$O$43*100</f>
        <v>#DIV/0!</v>
      </c>
      <c r="K38" s="736" t="e">
        <f aca="false">(COUNTIF(K8:K36,5)+COUNTIF(K8:K36,4)+COUNTIF(K8:K36,3))/$O$43*100</f>
        <v>#DIV/0!</v>
      </c>
      <c r="L38" s="736" t="e">
        <f aca="false">(COUNTIF(L8:L36,5)+COUNTIF(L8:L36,4)+COUNTIF(L8:L36,3))/$O$43*100</f>
        <v>#DIV/0!</v>
      </c>
      <c r="M38" s="736" t="e">
        <f aca="false">(COUNTIF(M8:M36,5)+COUNTIF(M8:M36,4)+COUNTIF(M8:M36,3))/$O$43*100</f>
        <v>#DIV/0!</v>
      </c>
      <c r="N38" s="47"/>
      <c r="O38" s="47"/>
      <c r="P38" s="48"/>
      <c r="Q38" s="48"/>
    </row>
    <row r="39" customFormat="false" ht="15" hidden="false" customHeight="true" outlineLevel="0" collapsed="false">
      <c r="D39" s="737"/>
      <c r="E39" s="738"/>
      <c r="F39" s="738"/>
      <c r="G39" s="738"/>
      <c r="H39" s="738"/>
      <c r="I39" s="738"/>
      <c r="J39" s="738"/>
      <c r="K39" s="738"/>
      <c r="L39" s="738"/>
      <c r="M39" s="738"/>
      <c r="N39" s="738"/>
      <c r="O39" s="738"/>
      <c r="P39" s="47"/>
      <c r="Q39" s="47"/>
      <c r="R39" s="48"/>
    </row>
    <row r="40" customFormat="false" ht="15" hidden="false" customHeight="true" outlineLevel="0" collapsed="false"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</row>
    <row r="41" customFormat="false" ht="15" hidden="false" customHeight="true" outlineLevel="0" collapsed="false">
      <c r="B41" s="50"/>
      <c r="C41" s="50" t="s">
        <v>8</v>
      </c>
      <c r="D41" s="51" t="str">
        <f aca="false">IFERROR(AVERAGE(N8:N36),"")</f>
        <v/>
      </c>
      <c r="E41" s="52" t="s">
        <v>9</v>
      </c>
      <c r="F41" s="52"/>
      <c r="G41" s="53" t="str">
        <f aca="false">IFERROR(COUNTIF(O8:O36,"Успевает")/O43*100,"")</f>
        <v/>
      </c>
      <c r="H41" s="54" t="s">
        <v>79</v>
      </c>
      <c r="I41" s="54"/>
      <c r="J41" s="55" t="str">
        <f aca="false">IFERROR(AVERAGE(P8:P36),"")</f>
        <v/>
      </c>
      <c r="K41" s="52"/>
      <c r="L41" s="52"/>
      <c r="M41" s="52"/>
      <c r="N41" s="158"/>
      <c r="O41" s="158"/>
      <c r="P41" s="48"/>
      <c r="Q41" s="48"/>
      <c r="R41" s="48"/>
    </row>
    <row r="42" customFormat="false" ht="15" hidden="false" customHeight="true" outlineLevel="0" collapsed="false">
      <c r="B42" s="50"/>
      <c r="C42" s="50"/>
      <c r="D42" s="50"/>
      <c r="E42" s="56"/>
      <c r="F42" s="56"/>
      <c r="G42" s="56"/>
      <c r="H42" s="56"/>
      <c r="I42" s="56"/>
      <c r="J42" s="56"/>
      <c r="K42" s="56"/>
      <c r="L42" s="56"/>
      <c r="M42" s="56"/>
      <c r="Q42" s="183"/>
      <c r="R42" s="183"/>
    </row>
    <row r="43" customFormat="false" ht="15" hidden="false" customHeight="true" outlineLevel="0" collapsed="false">
      <c r="A43" s="61" t="s">
        <v>81</v>
      </c>
      <c r="B43" s="61"/>
      <c r="C43" s="61"/>
      <c r="D43" s="61"/>
      <c r="E43" s="61"/>
      <c r="F43" s="61"/>
      <c r="G43" s="61"/>
      <c r="H43" s="61"/>
      <c r="I43" s="61"/>
      <c r="J43" s="61" t="s">
        <v>82</v>
      </c>
      <c r="K43" s="61"/>
      <c r="L43" s="61"/>
      <c r="M43" s="739" t="s">
        <v>80</v>
      </c>
      <c r="N43" s="739"/>
      <c r="O43" s="740" t="n">
        <f aca="false">SUM(O44,O45)</f>
        <v>0</v>
      </c>
      <c r="R43" s="64"/>
    </row>
    <row r="44" customFormat="false" ht="15" hidden="false" customHeight="true" outlineLevel="0" collapsed="false">
      <c r="A44" s="65" t="str">
        <f aca="false">$E$6</f>
        <v> Операционные системы</v>
      </c>
      <c r="B44" s="65"/>
      <c r="C44" s="65"/>
      <c r="D44" s="65"/>
      <c r="E44" s="65"/>
      <c r="F44" s="65"/>
      <c r="G44" s="65"/>
      <c r="H44" s="65"/>
      <c r="I44" s="65"/>
      <c r="J44" s="741"/>
      <c r="K44" s="741"/>
      <c r="L44" s="741"/>
      <c r="M44" s="739" t="s">
        <v>83</v>
      </c>
      <c r="N44" s="739"/>
      <c r="O44" s="740" t="n">
        <f aca="false">COUNTIF(O8:O36,"Успевает")</f>
        <v>0</v>
      </c>
      <c r="R44" s="69"/>
    </row>
    <row r="45" customFormat="false" ht="15" hidden="false" customHeight="true" outlineLevel="0" collapsed="false">
      <c r="A45" s="65" t="str">
        <f aca="false">$F$6</f>
        <v> Программирование на языке Java</v>
      </c>
      <c r="B45" s="65"/>
      <c r="C45" s="65"/>
      <c r="D45" s="65"/>
      <c r="E45" s="65"/>
      <c r="F45" s="65"/>
      <c r="G45" s="65"/>
      <c r="H45" s="65"/>
      <c r="I45" s="65"/>
      <c r="J45" s="741"/>
      <c r="K45" s="741"/>
      <c r="L45" s="741"/>
      <c r="M45" s="742" t="s">
        <v>84</v>
      </c>
      <c r="N45" s="742"/>
      <c r="O45" s="740" t="n">
        <f aca="false">COUNTIF(O8:O36,"Не успевает")</f>
        <v>0</v>
      </c>
      <c r="R45" s="64"/>
    </row>
    <row r="46" customFormat="false" ht="15" hidden="false" customHeight="true" outlineLevel="0" collapsed="false">
      <c r="A46" s="65" t="str">
        <f aca="false">$G$6</f>
        <v> Сетевые технологии в автоматизированных системах обработки информации и управления</v>
      </c>
      <c r="B46" s="65"/>
      <c r="C46" s="65"/>
      <c r="D46" s="65"/>
      <c r="E46" s="65"/>
      <c r="F46" s="65"/>
      <c r="G46" s="65"/>
      <c r="H46" s="65"/>
      <c r="I46" s="65"/>
      <c r="J46" s="741"/>
      <c r="K46" s="741"/>
      <c r="L46" s="741"/>
      <c r="M46" s="742" t="s">
        <v>85</v>
      </c>
      <c r="N46" s="742"/>
      <c r="O46" s="740" t="n">
        <f aca="false">COUNTIF(Q8:Q36,"Благодарность")</f>
        <v>0</v>
      </c>
      <c r="R46" s="48"/>
    </row>
    <row r="47" customFormat="false" ht="15" hidden="false" customHeight="true" outlineLevel="0" collapsed="false">
      <c r="A47" s="65" t="str">
        <f aca="false">$H$6</f>
        <v> Сети и телекоммуникации</v>
      </c>
      <c r="B47" s="65"/>
      <c r="C47" s="65"/>
      <c r="D47" s="65"/>
      <c r="E47" s="65"/>
      <c r="F47" s="65"/>
      <c r="G47" s="65"/>
      <c r="H47" s="65"/>
      <c r="I47" s="65"/>
      <c r="J47" s="741"/>
      <c r="K47" s="741"/>
      <c r="L47" s="741"/>
      <c r="M47" s="742" t="s">
        <v>86</v>
      </c>
      <c r="N47" s="742"/>
      <c r="O47" s="740" t="n">
        <f aca="false">COUNTIF(Q8:Q36,"Нормально")</f>
        <v>0</v>
      </c>
      <c r="R47" s="48"/>
    </row>
    <row r="48" customFormat="false" ht="15" hidden="false" customHeight="true" outlineLevel="0" collapsed="false">
      <c r="A48" s="65" t="str">
        <f aca="false">$I$6</f>
        <v>Иностранный язык</v>
      </c>
      <c r="B48" s="65"/>
      <c r="C48" s="65"/>
      <c r="D48" s="65"/>
      <c r="E48" s="65"/>
      <c r="F48" s="65"/>
      <c r="G48" s="65"/>
      <c r="H48" s="65"/>
      <c r="I48" s="65"/>
      <c r="J48" s="741"/>
      <c r="K48" s="741"/>
      <c r="L48" s="741"/>
      <c r="M48" s="742" t="s">
        <v>87</v>
      </c>
      <c r="N48" s="742"/>
      <c r="O48" s="740" t="n">
        <f aca="false">COUNTIF(Q7:Q15,"Предупреждение")</f>
        <v>0</v>
      </c>
      <c r="R48" s="48"/>
    </row>
    <row r="49" customFormat="false" ht="15" hidden="false" customHeight="true" outlineLevel="0" collapsed="false">
      <c r="A49" s="65" t="str">
        <f aca="false">$J$6</f>
        <v> Модели данных (к.п.)</v>
      </c>
      <c r="B49" s="65"/>
      <c r="C49" s="65"/>
      <c r="D49" s="65"/>
      <c r="E49" s="65"/>
      <c r="F49" s="65"/>
      <c r="G49" s="65"/>
      <c r="H49" s="65"/>
      <c r="I49" s="65"/>
      <c r="J49" s="741"/>
      <c r="K49" s="741"/>
      <c r="L49" s="741"/>
      <c r="M49" s="742" t="s">
        <v>88</v>
      </c>
      <c r="N49" s="742"/>
      <c r="O49" s="740" t="n">
        <f aca="false">COUNTIF(Q8:Q36,"Выговор")</f>
        <v>0</v>
      </c>
      <c r="R49" s="67"/>
    </row>
    <row r="50" customFormat="false" ht="15" hidden="false" customHeight="true" outlineLevel="0" collapsed="false">
      <c r="A50" s="65" t="str">
        <f aca="false">$K$6</f>
        <v> Социология</v>
      </c>
      <c r="B50" s="65"/>
      <c r="C50" s="65"/>
      <c r="D50" s="65"/>
      <c r="E50" s="65"/>
      <c r="F50" s="65"/>
      <c r="G50" s="65"/>
      <c r="H50" s="65"/>
      <c r="I50" s="65"/>
      <c r="J50" s="741"/>
      <c r="K50" s="741"/>
      <c r="L50" s="741"/>
      <c r="M50" s="442" t="s">
        <v>1575</v>
      </c>
      <c r="N50" s="380"/>
      <c r="O50" s="380" t="n">
        <f aca="false">SUM(R8:R36)</f>
        <v>0</v>
      </c>
      <c r="R50" s="67"/>
    </row>
    <row r="51" customFormat="false" ht="15" hidden="false" customHeight="true" outlineLevel="0" collapsed="false">
      <c r="A51" s="65" t="str">
        <f aca="false">$L$6</f>
        <v> Экология</v>
      </c>
      <c r="B51" s="65"/>
      <c r="C51" s="65"/>
      <c r="D51" s="65"/>
      <c r="E51" s="65"/>
      <c r="F51" s="65"/>
      <c r="G51" s="65"/>
      <c r="H51" s="65"/>
      <c r="I51" s="65"/>
      <c r="J51" s="741"/>
      <c r="K51" s="741"/>
      <c r="L51" s="741"/>
      <c r="M51" s="67"/>
      <c r="N51" s="67"/>
      <c r="O51" s="67"/>
      <c r="P51" s="67"/>
      <c r="Q51" s="67"/>
      <c r="R51" s="67"/>
    </row>
    <row r="52" customFormat="false" ht="15" hidden="false" customHeight="true" outlineLevel="0" collapsed="false">
      <c r="A52" s="65" t="str">
        <f aca="false">$M$6</f>
        <v>Физическая культура и спорт</v>
      </c>
      <c r="B52" s="65"/>
      <c r="C52" s="65"/>
      <c r="D52" s="65"/>
      <c r="E52" s="65"/>
      <c r="F52" s="65"/>
      <c r="G52" s="65"/>
      <c r="H52" s="65"/>
      <c r="I52" s="65"/>
      <c r="J52" s="741"/>
      <c r="K52" s="741"/>
      <c r="L52" s="741"/>
      <c r="M52" s="67"/>
      <c r="N52" s="67"/>
      <c r="O52" s="67"/>
      <c r="P52" s="67"/>
      <c r="Q52" s="67"/>
      <c r="R52" s="67"/>
    </row>
    <row r="53" customFormat="false" ht="15" hidden="false" customHeight="true" outlineLevel="0" collapsed="false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48"/>
      <c r="R53" s="48"/>
    </row>
    <row r="54" customFormat="false" ht="15" hidden="false" customHeight="true" outlineLevel="0" collapsed="false">
      <c r="A54" s="50"/>
      <c r="B54" s="500" t="s">
        <v>1378</v>
      </c>
      <c r="C54" s="123" t="s">
        <v>2512</v>
      </c>
      <c r="D54" s="123"/>
      <c r="E54" s="67"/>
      <c r="F54" s="52" t="s">
        <v>1970</v>
      </c>
      <c r="G54" s="300" t="s">
        <v>2454</v>
      </c>
      <c r="H54" s="52"/>
      <c r="I54" s="52"/>
      <c r="J54" s="52"/>
      <c r="K54" s="52"/>
      <c r="L54" s="50"/>
      <c r="M54" s="50"/>
      <c r="N54" s="48"/>
      <c r="R54" s="48"/>
    </row>
    <row r="55" customFormat="false" ht="15" hidden="false" customHeight="true" outlineLevel="0" collapsed="false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48"/>
      <c r="R55" s="48"/>
    </row>
    <row r="56" customFormat="false" ht="15" hidden="false" customHeight="true" outlineLevel="0" collapsed="false">
      <c r="A56" s="50"/>
      <c r="B56" s="50" t="s">
        <v>93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48"/>
      <c r="R56" s="48"/>
    </row>
    <row r="57" customFormat="false" ht="15" hidden="false" customHeight="true" outlineLevel="0" collapsed="false">
      <c r="A57" s="50"/>
      <c r="B57" s="50" t="s">
        <v>94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R57" s="48"/>
    </row>
    <row r="58" customFormat="false" ht="15" hidden="false" customHeight="true" outlineLevel="0" collapsed="false">
      <c r="A58" s="50"/>
      <c r="B58" s="50" t="s">
        <v>95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R58" s="48"/>
    </row>
    <row r="59" customFormat="false" ht="15" hidden="false" customHeight="true" outlineLevel="0" collapsed="false">
      <c r="A59" s="50"/>
      <c r="B59" s="50" t="s">
        <v>96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R59" s="48"/>
    </row>
    <row r="60" customFormat="false" ht="15" hidden="false" customHeight="true" outlineLevel="0" collapsed="false">
      <c r="A60" s="50"/>
      <c r="B60" s="50" t="s">
        <v>97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R60" s="48"/>
    </row>
    <row r="61" customFormat="false" ht="15" hidden="false" customHeight="true" outlineLevel="0" collapsed="false">
      <c r="A61" s="50"/>
      <c r="B61" s="50" t="s">
        <v>98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Q61" s="48"/>
      <c r="R61" s="48"/>
    </row>
    <row r="62" customFormat="false" ht="15" hidden="false" customHeight="true" outlineLevel="0" collapsed="false">
      <c r="A62" s="50"/>
      <c r="B62" s="50" t="s">
        <v>99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Q62" s="48"/>
      <c r="R62" s="48"/>
    </row>
    <row r="63" customFormat="false" ht="15" hidden="false" customHeight="true" outlineLevel="0" collapsed="false"/>
  </sheetData>
  <mergeCells count="42">
    <mergeCell ref="E1:H1"/>
    <mergeCell ref="A3:R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41:I41"/>
    <mergeCell ref="Q42:R42"/>
    <mergeCell ref="A43:I43"/>
    <mergeCell ref="J43:L43"/>
    <mergeCell ref="M43:N43"/>
    <mergeCell ref="A44:I44"/>
    <mergeCell ref="J44:L44"/>
    <mergeCell ref="M44:N44"/>
    <mergeCell ref="A45:I45"/>
    <mergeCell ref="J45:L45"/>
    <mergeCell ref="M45:N45"/>
    <mergeCell ref="A46:I46"/>
    <mergeCell ref="J46:L46"/>
    <mergeCell ref="M46:N46"/>
    <mergeCell ref="A47:I47"/>
    <mergeCell ref="J47:L47"/>
    <mergeCell ref="M47:N47"/>
    <mergeCell ref="A48:I48"/>
    <mergeCell ref="J48:L48"/>
    <mergeCell ref="M48:N48"/>
    <mergeCell ref="A49:I49"/>
    <mergeCell ref="J49:L49"/>
    <mergeCell ref="M49:N49"/>
    <mergeCell ref="A50:I50"/>
    <mergeCell ref="J50:L50"/>
    <mergeCell ref="A51:I51"/>
    <mergeCell ref="J51:L51"/>
    <mergeCell ref="A52:I52"/>
    <mergeCell ref="J52:L52"/>
  </mergeCells>
  <conditionalFormatting sqref="K22:L3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36:L36 K8:L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2:M35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37:O38 P39:Q3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6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21 M36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9:O39 E37:M3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J21 E36:J36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:J35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51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C16" activeCellId="0" sqref="C16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71"/>
    <col collapsed="false" customWidth="true" hidden="false" outlineLevel="0" max="2" min="2" style="0" width="10.29"/>
    <col collapsed="false" customWidth="true" hidden="false" outlineLevel="0" max="3" min="3" style="0" width="17.86"/>
    <col collapsed="false" customWidth="true" hidden="false" outlineLevel="0" max="5" min="5" style="0" width="10.57"/>
    <col collapsed="false" customWidth="true" hidden="false" outlineLevel="0" max="12" min="10" style="45" width="12.71"/>
    <col collapsed="false" customWidth="true" hidden="false" outlineLevel="0" max="14" min="14" style="0" width="12"/>
    <col collapsed="false" customWidth="true" hidden="false" outlineLevel="0" max="15" min="15" style="0" width="10.29"/>
    <col collapsed="false" customWidth="true" hidden="false" outlineLevel="0" max="16" min="16" style="0" width="7.15"/>
    <col collapsed="false" customWidth="true" hidden="false" outlineLevel="0" max="17" min="17" style="0" width="16.14"/>
    <col collapsed="false" customWidth="true" hidden="false" outlineLevel="0" max="18" min="18" style="0" width="5.42"/>
    <col collapsed="false" customWidth="true" hidden="false" outlineLevel="0" max="19" min="19" style="0" width="4.71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266"/>
      <c r="K1" s="266"/>
      <c r="L1" s="266"/>
      <c r="M1" s="3"/>
    </row>
    <row r="2" customFormat="false" ht="15" hidden="false" customHeight="false" outlineLevel="0" collapsed="false">
      <c r="H2" s="4"/>
      <c r="N2" s="0" t="s">
        <v>1</v>
      </c>
      <c r="P2" s="72"/>
      <c r="Q2" s="146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ИУК5-71Б факультета ИУК МГТУ им. Н.Э. Баумана"</f>
        <v>Успеваемость студентов за 1 семестр 24/25 учебного года по группе ИУК5-71Б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619" t="s">
        <v>8</v>
      </c>
      <c r="O5" s="392" t="s">
        <v>9</v>
      </c>
      <c r="P5" s="392" t="s">
        <v>10</v>
      </c>
      <c r="Q5" s="14" t="s">
        <v>11</v>
      </c>
      <c r="R5" s="743" t="s">
        <v>1575</v>
      </c>
    </row>
    <row r="6" customFormat="false" ht="127.5" hidden="false" customHeight="true" outlineLevel="0" collapsed="false">
      <c r="A6" s="8"/>
      <c r="B6" s="8"/>
      <c r="C6" s="8"/>
      <c r="D6" s="301"/>
      <c r="E6" s="339" t="s">
        <v>2513</v>
      </c>
      <c r="F6" s="340" t="s">
        <v>2514</v>
      </c>
      <c r="G6" s="340" t="s">
        <v>2515</v>
      </c>
      <c r="H6" s="342" t="s">
        <v>2516</v>
      </c>
      <c r="I6" s="601" t="s">
        <v>1000</v>
      </c>
      <c r="J6" s="340" t="s">
        <v>2517</v>
      </c>
      <c r="K6" s="340" t="s">
        <v>377</v>
      </c>
      <c r="L6" s="340" t="s">
        <v>1002</v>
      </c>
      <c r="M6" s="602" t="s">
        <v>2518</v>
      </c>
      <c r="N6" s="619"/>
      <c r="O6" s="392"/>
      <c r="P6" s="392"/>
      <c r="Q6" s="14"/>
      <c r="R6" s="743"/>
    </row>
    <row r="7" customFormat="false" ht="17.9" hidden="false" customHeight="false" outlineLevel="0" collapsed="false">
      <c r="A7" s="8"/>
      <c r="B7" s="8"/>
      <c r="C7" s="8"/>
      <c r="D7" s="301"/>
      <c r="E7" s="343" t="s">
        <v>299</v>
      </c>
      <c r="F7" s="344" t="s">
        <v>299</v>
      </c>
      <c r="G7" s="344" t="s">
        <v>299</v>
      </c>
      <c r="H7" s="346" t="s">
        <v>299</v>
      </c>
      <c r="I7" s="407" t="s">
        <v>1004</v>
      </c>
      <c r="J7" s="344" t="s">
        <v>742</v>
      </c>
      <c r="K7" s="344" t="s">
        <v>1456</v>
      </c>
      <c r="L7" s="344" t="s">
        <v>380</v>
      </c>
      <c r="M7" s="496" t="s">
        <v>1004</v>
      </c>
      <c r="N7" s="619"/>
      <c r="O7" s="392"/>
      <c r="P7" s="392"/>
      <c r="Q7" s="14"/>
      <c r="R7" s="743"/>
    </row>
    <row r="8" customFormat="false" ht="15" hidden="false" customHeight="true" outlineLevel="0" collapsed="false">
      <c r="A8" s="25" t="n">
        <v>1</v>
      </c>
      <c r="B8" s="25" t="s">
        <v>2519</v>
      </c>
      <c r="C8" s="25" t="s">
        <v>2520</v>
      </c>
      <c r="D8" s="744"/>
      <c r="E8" s="745"/>
      <c r="F8" s="746"/>
      <c r="G8" s="746"/>
      <c r="H8" s="747"/>
      <c r="I8" s="748"/>
      <c r="J8" s="746"/>
      <c r="K8" s="746"/>
      <c r="L8" s="746"/>
      <c r="M8" s="747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77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2521</v>
      </c>
      <c r="C9" s="37" t="s">
        <v>2522</v>
      </c>
      <c r="D9" s="749"/>
      <c r="E9" s="750"/>
      <c r="F9" s="751"/>
      <c r="G9" s="751"/>
      <c r="H9" s="752"/>
      <c r="I9" s="753"/>
      <c r="J9" s="751"/>
      <c r="K9" s="751"/>
      <c r="L9" s="751"/>
      <c r="M9" s="752"/>
      <c r="N9" s="58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85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2523</v>
      </c>
      <c r="C10" s="37" t="s">
        <v>2524</v>
      </c>
      <c r="D10" s="749"/>
      <c r="E10" s="750"/>
      <c r="F10" s="751"/>
      <c r="G10" s="751"/>
      <c r="H10" s="752"/>
      <c r="I10" s="753"/>
      <c r="J10" s="751"/>
      <c r="K10" s="751"/>
      <c r="L10" s="751"/>
      <c r="M10" s="752"/>
      <c r="N10" s="58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85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2525</v>
      </c>
      <c r="C11" s="37" t="s">
        <v>2526</v>
      </c>
      <c r="D11" s="749"/>
      <c r="E11" s="750"/>
      <c r="F11" s="751"/>
      <c r="G11" s="751"/>
      <c r="H11" s="752"/>
      <c r="I11" s="753"/>
      <c r="J11" s="751"/>
      <c r="K11" s="751"/>
      <c r="L11" s="751"/>
      <c r="M11" s="752"/>
      <c r="N11" s="58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85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2527</v>
      </c>
      <c r="C12" s="37" t="s">
        <v>2528</v>
      </c>
      <c r="D12" s="749"/>
      <c r="E12" s="750"/>
      <c r="F12" s="751"/>
      <c r="G12" s="751"/>
      <c r="H12" s="752"/>
      <c r="I12" s="753"/>
      <c r="J12" s="751"/>
      <c r="K12" s="751"/>
      <c r="L12" s="751"/>
      <c r="M12" s="752"/>
      <c r="N12" s="58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85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2529</v>
      </c>
      <c r="C13" s="37" t="s">
        <v>2530</v>
      </c>
      <c r="D13" s="749"/>
      <c r="E13" s="750"/>
      <c r="F13" s="751"/>
      <c r="G13" s="751"/>
      <c r="H13" s="752"/>
      <c r="I13" s="753"/>
      <c r="J13" s="751"/>
      <c r="K13" s="751"/>
      <c r="L13" s="751"/>
      <c r="M13" s="752"/>
      <c r="N13" s="58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85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2531</v>
      </c>
      <c r="C14" s="37" t="s">
        <v>2532</v>
      </c>
      <c r="D14" s="749"/>
      <c r="E14" s="750"/>
      <c r="F14" s="751"/>
      <c r="G14" s="751"/>
      <c r="H14" s="752"/>
      <c r="I14" s="753"/>
      <c r="J14" s="751"/>
      <c r="K14" s="751"/>
      <c r="L14" s="751"/>
      <c r="M14" s="752"/>
      <c r="N14" s="58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85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2533</v>
      </c>
      <c r="C15" s="37" t="s">
        <v>2534</v>
      </c>
      <c r="D15" s="749"/>
      <c r="E15" s="750"/>
      <c r="F15" s="751"/>
      <c r="G15" s="751"/>
      <c r="H15" s="752"/>
      <c r="I15" s="753"/>
      <c r="J15" s="751"/>
      <c r="K15" s="751"/>
      <c r="L15" s="751"/>
      <c r="M15" s="752"/>
      <c r="N15" s="58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85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2535</v>
      </c>
      <c r="C16" s="37" t="s">
        <v>2536</v>
      </c>
      <c r="D16" s="749"/>
      <c r="E16" s="750"/>
      <c r="F16" s="751"/>
      <c r="G16" s="751"/>
      <c r="H16" s="752"/>
      <c r="I16" s="753"/>
      <c r="J16" s="751"/>
      <c r="K16" s="751"/>
      <c r="L16" s="751"/>
      <c r="M16" s="752"/>
      <c r="N16" s="58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85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2537</v>
      </c>
      <c r="C17" s="37" t="s">
        <v>2538</v>
      </c>
      <c r="D17" s="749"/>
      <c r="E17" s="750"/>
      <c r="F17" s="751"/>
      <c r="G17" s="751"/>
      <c r="H17" s="752"/>
      <c r="I17" s="753"/>
      <c r="J17" s="751"/>
      <c r="K17" s="751"/>
      <c r="L17" s="751"/>
      <c r="M17" s="752"/>
      <c r="N17" s="58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85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2539</v>
      </c>
      <c r="C18" s="37" t="s">
        <v>2540</v>
      </c>
      <c r="D18" s="749"/>
      <c r="E18" s="750"/>
      <c r="F18" s="751"/>
      <c r="G18" s="751"/>
      <c r="H18" s="752"/>
      <c r="I18" s="753"/>
      <c r="J18" s="751"/>
      <c r="K18" s="751"/>
      <c r="L18" s="751"/>
      <c r="M18" s="752"/>
      <c r="N18" s="58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85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2541</v>
      </c>
      <c r="C19" s="37" t="s">
        <v>2542</v>
      </c>
      <c r="D19" s="749"/>
      <c r="E19" s="750"/>
      <c r="F19" s="751"/>
      <c r="G19" s="751"/>
      <c r="H19" s="752"/>
      <c r="I19" s="753"/>
      <c r="J19" s="751"/>
      <c r="K19" s="751"/>
      <c r="L19" s="751"/>
      <c r="M19" s="752"/>
      <c r="N19" s="58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85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2543</v>
      </c>
      <c r="C20" s="37" t="s">
        <v>2544</v>
      </c>
      <c r="D20" s="749"/>
      <c r="E20" s="750"/>
      <c r="F20" s="751"/>
      <c r="G20" s="751"/>
      <c r="H20" s="752"/>
      <c r="I20" s="753"/>
      <c r="J20" s="751"/>
      <c r="K20" s="751"/>
      <c r="L20" s="751"/>
      <c r="M20" s="752"/>
      <c r="N20" s="58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85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2545</v>
      </c>
      <c r="C21" s="37" t="s">
        <v>2546</v>
      </c>
      <c r="D21" s="749"/>
      <c r="E21" s="750"/>
      <c r="F21" s="751"/>
      <c r="G21" s="751"/>
      <c r="H21" s="752"/>
      <c r="I21" s="753"/>
      <c r="J21" s="751"/>
      <c r="K21" s="751"/>
      <c r="L21" s="751"/>
      <c r="M21" s="752"/>
      <c r="N21" s="58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85" t="n">
        <f aca="false">COUNTIF(E21:M21,2)+COUNTIF(E21:M21,1)+COUNTIF(E21:M21,0)</f>
        <v>0</v>
      </c>
    </row>
    <row r="22" customFormat="false" ht="15" hidden="false" customHeight="true" outlineLevel="0" collapsed="false">
      <c r="A22" s="0" t="s">
        <v>77</v>
      </c>
      <c r="D22" s="537"/>
      <c r="E22" s="47" t="e">
        <f aca="false">AVERAGE(E8:E21)</f>
        <v>#DIV/0!</v>
      </c>
      <c r="F22" s="47" t="e">
        <f aca="false">AVERAGE(F8:F21)</f>
        <v>#DIV/0!</v>
      </c>
      <c r="G22" s="47" t="e">
        <f aca="false">AVERAGE(G8:G21)</f>
        <v>#DIV/0!</v>
      </c>
      <c r="H22" s="47" t="e">
        <f aca="false">AVERAGE(H8:H21)</f>
        <v>#DIV/0!</v>
      </c>
      <c r="I22" s="47" t="e">
        <f aca="false">AVERAGE(I8:I21)</f>
        <v>#DIV/0!</v>
      </c>
      <c r="J22" s="47" t="e">
        <f aca="false">AVERAGE(J8:J21)</f>
        <v>#DIV/0!</v>
      </c>
      <c r="K22" s="47" t="e">
        <f aca="false">AVERAGE(K8:K21)</f>
        <v>#DIV/0!</v>
      </c>
      <c r="L22" s="47" t="e">
        <f aca="false">AVERAGE(L8:L21)</f>
        <v>#DIV/0!</v>
      </c>
      <c r="M22" s="47" t="e">
        <f aca="false">AVERAGE(M8:M21)</f>
        <v>#DIV/0!</v>
      </c>
      <c r="N22" s="47"/>
      <c r="O22" s="47"/>
      <c r="P22" s="48"/>
      <c r="Q22" s="48"/>
    </row>
    <row r="23" customFormat="false" ht="15" hidden="false" customHeight="true" outlineLevel="0" collapsed="false">
      <c r="A23" s="0" t="s">
        <v>78</v>
      </c>
      <c r="D23" s="537"/>
      <c r="E23" s="229" t="e">
        <f aca="false">(COUNTIF(E8:E21,5)+COUNTIF(E8:E21,4)+COUNTIF(E8:E21,3))/$S$28*100</f>
        <v>#DIV/0!</v>
      </c>
      <c r="F23" s="229" t="e">
        <f aca="false">(COUNTIF(F8:F21,5)+COUNTIF(F8:F21,4)+COUNTIF(F8:F21,3))/$S$28*100</f>
        <v>#DIV/0!</v>
      </c>
      <c r="G23" s="229" t="e">
        <f aca="false">(COUNTIF(G8:G21,5)+COUNTIF(G8:G21,4)+COUNTIF(G8:G21,3))/$S$28*100</f>
        <v>#DIV/0!</v>
      </c>
      <c r="H23" s="229" t="e">
        <f aca="false">(COUNTIF(H8:H21,5)+COUNTIF(H8:H21,4)+COUNTIF(H8:H21,3))/$S$28*100</f>
        <v>#DIV/0!</v>
      </c>
      <c r="I23" s="229" t="e">
        <f aca="false">(COUNTIF(I8:I21,5)+COUNTIF(I8:I21,4)+COUNTIF(I8:I21,3))/$S$28*100</f>
        <v>#DIV/0!</v>
      </c>
      <c r="J23" s="229" t="e">
        <f aca="false">(COUNTIF(J8:J21,5)+COUNTIF(J8:J21,4)+COUNTIF(J8:J21,3))/$S$28*100</f>
        <v>#DIV/0!</v>
      </c>
      <c r="K23" s="229" t="e">
        <f aca="false">(COUNTIF(K8:K21,5)+COUNTIF(K8:K21,4)+COUNTIF(K8:K21,3))/$S$28*100</f>
        <v>#DIV/0!</v>
      </c>
      <c r="L23" s="229" t="e">
        <f aca="false">(COUNTIF(L8:L21,5)+COUNTIF(L8:L21,4)+COUNTIF(L8:L21,3))/$S$28*100</f>
        <v>#DIV/0!</v>
      </c>
      <c r="M23" s="229" t="e">
        <f aca="false">(COUNTIF(M8:M21,5)+COUNTIF(M8:M21,4)+COUNTIF(M8:M21,3))/$S$28*100</f>
        <v>#DIV/0!</v>
      </c>
      <c r="N23" s="48"/>
      <c r="O23" s="48"/>
      <c r="P23" s="48"/>
    </row>
    <row r="24" customFormat="false" ht="15" hidden="false" customHeight="true" outlineLevel="0" collapsed="false">
      <c r="D24" s="537"/>
      <c r="E24" s="229"/>
      <c r="F24" s="229"/>
      <c r="G24" s="229"/>
      <c r="H24" s="229"/>
      <c r="I24" s="229"/>
      <c r="J24" s="229"/>
      <c r="K24" s="229"/>
      <c r="L24" s="229"/>
      <c r="M24" s="229"/>
      <c r="N24" s="48"/>
      <c r="O24" s="48"/>
      <c r="P24" s="48"/>
    </row>
    <row r="25" customFormat="false" ht="15" hidden="false" customHeight="true" outlineLevel="0" collapsed="false"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</row>
    <row r="26" customFormat="false" ht="15" hidden="false" customHeight="true" outlineLevel="0" collapsed="false">
      <c r="B26" s="50"/>
      <c r="C26" s="50" t="s">
        <v>8</v>
      </c>
      <c r="D26" s="51" t="str">
        <f aca="false">IFERROR(AVERAGE(N8:N21),"")</f>
        <v/>
      </c>
      <c r="E26" s="52" t="s">
        <v>9</v>
      </c>
      <c r="F26" s="52"/>
      <c r="G26" s="53" t="str">
        <f aca="false">IFERROR(COUNTIF(O8:O21,"Успевает")/S28*100,"")</f>
        <v/>
      </c>
      <c r="H26" s="54" t="s">
        <v>79</v>
      </c>
      <c r="I26" s="54"/>
      <c r="J26" s="754" t="str">
        <f aca="false">IFERROR(AVERAGE(P8:P21),"")</f>
        <v/>
      </c>
      <c r="K26" s="754"/>
      <c r="L26" s="754"/>
      <c r="M26" s="55"/>
      <c r="N26" s="48"/>
      <c r="O26" s="48"/>
      <c r="P26" s="48"/>
      <c r="Q26" s="48"/>
    </row>
    <row r="27" customFormat="false" ht="15" hidden="false" customHeight="true" outlineLevel="0" collapsed="false">
      <c r="B27" s="50"/>
      <c r="C27" s="50"/>
      <c r="D27" s="50"/>
      <c r="E27" s="56"/>
      <c r="F27" s="56"/>
      <c r="G27" s="56"/>
      <c r="H27" s="56"/>
      <c r="I27" s="56"/>
      <c r="J27" s="56"/>
      <c r="K27" s="56"/>
      <c r="L27" s="56"/>
      <c r="M27" s="56"/>
    </row>
    <row r="28" customFormat="false" ht="15" hidden="false" customHeight="true" outlineLevel="0" collapsed="false">
      <c r="A28" s="61" t="s">
        <v>81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1" t="s">
        <v>82</v>
      </c>
      <c r="M28" s="61"/>
      <c r="N28" s="61"/>
      <c r="O28" s="61"/>
      <c r="Q28" s="590" t="s">
        <v>80</v>
      </c>
      <c r="R28" s="590"/>
      <c r="S28" s="58" t="n">
        <f aca="false">SUM(S29,S30)</f>
        <v>0</v>
      </c>
    </row>
    <row r="29" customFormat="false" ht="15" hidden="false" customHeight="true" outlineLevel="0" collapsed="false">
      <c r="A29" s="65" t="str">
        <f aca="false">$E$6</f>
        <v> Программирование в системах 1С</v>
      </c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6"/>
      <c r="M29" s="66"/>
      <c r="N29" s="66"/>
      <c r="O29" s="66"/>
      <c r="Q29" s="590" t="s">
        <v>83</v>
      </c>
      <c r="R29" s="590"/>
      <c r="S29" s="58" t="n">
        <f aca="false">COUNTIF(O8:O21,"Успевает")</f>
        <v>0</v>
      </c>
    </row>
    <row r="30" customFormat="false" ht="15" hidden="false" customHeight="true" outlineLevel="0" collapsed="false">
      <c r="A30" s="65" t="str">
        <f aca="false">$F$6</f>
        <v> Разработка Интернет-приложений</v>
      </c>
      <c r="B30" s="65"/>
      <c r="C30" s="65"/>
      <c r="D30" s="65"/>
      <c r="E30" s="65"/>
      <c r="F30" s="65"/>
      <c r="G30" s="65"/>
      <c r="H30" s="65"/>
      <c r="I30" s="65"/>
      <c r="J30" s="65"/>
      <c r="K30" s="65"/>
      <c r="L30" s="66"/>
      <c r="M30" s="66"/>
      <c r="N30" s="66"/>
      <c r="O30" s="66"/>
      <c r="Q30" s="591" t="s">
        <v>84</v>
      </c>
      <c r="R30" s="591"/>
      <c r="S30" s="58" t="n">
        <f aca="false">COUNTIF(O8:O21,"Не успевает")</f>
        <v>0</v>
      </c>
    </row>
    <row r="31" customFormat="false" ht="15" hidden="false" customHeight="true" outlineLevel="0" collapsed="false">
      <c r="A31" s="65" t="str">
        <f aca="false">$G$6</f>
        <v> Разработка приложений для мобильных устройств</v>
      </c>
      <c r="B31" s="65"/>
      <c r="C31" s="65"/>
      <c r="D31" s="65"/>
      <c r="E31" s="65"/>
      <c r="F31" s="65"/>
      <c r="G31" s="65"/>
      <c r="H31" s="65"/>
      <c r="I31" s="65"/>
      <c r="J31" s="65"/>
      <c r="K31" s="65"/>
      <c r="L31" s="66"/>
      <c r="M31" s="66"/>
      <c r="N31" s="66"/>
      <c r="O31" s="66"/>
      <c r="Q31" s="591" t="s">
        <v>85</v>
      </c>
      <c r="R31" s="591"/>
      <c r="S31" s="58" t="n">
        <f aca="false">COUNTIF(Q8:Q21,"Благодарность")</f>
        <v>0</v>
      </c>
    </row>
    <row r="32" customFormat="false" ht="15" hidden="false" customHeight="true" outlineLevel="0" collapsed="false">
      <c r="A32" s="65" t="str">
        <f aca="false">$H$6</f>
        <v> Распределенные системы обработки информации и блокчейн-технологии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6"/>
      <c r="M32" s="66"/>
      <c r="N32" s="66"/>
      <c r="O32" s="66"/>
      <c r="Q32" s="591" t="s">
        <v>86</v>
      </c>
      <c r="R32" s="591"/>
      <c r="S32" s="58" t="n">
        <f aca="false">COUNTIF(Q8:Q21,"Нормально")</f>
        <v>0</v>
      </c>
    </row>
    <row r="33" customFormat="false" ht="15" hidden="false" customHeight="true" outlineLevel="0" collapsed="false">
      <c r="A33" s="65" t="str">
        <f aca="false">$I$6</f>
        <v> Беспроводные технологии передачи данных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6"/>
      <c r="M33" s="66"/>
      <c r="N33" s="66"/>
      <c r="O33" s="66"/>
      <c r="Q33" s="591" t="s">
        <v>87</v>
      </c>
      <c r="R33" s="591"/>
      <c r="S33" s="58" t="n">
        <f aca="false">COUNTIF(Q8:Q21,"Предупреждение")</f>
        <v>0</v>
      </c>
    </row>
    <row r="34" customFormat="false" ht="15" hidden="false" customHeight="true" outlineLevel="0" collapsed="false">
      <c r="A34" s="65" t="str">
        <f aca="false">$J$6</f>
        <v> Методы машинного обучения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6"/>
      <c r="M34" s="66"/>
      <c r="N34" s="66"/>
      <c r="O34" s="66"/>
      <c r="Q34" s="591" t="s">
        <v>88</v>
      </c>
      <c r="R34" s="591"/>
      <c r="S34" s="58" t="n">
        <f aca="false">COUNTIF(Q8:Q21,"Выговор")</f>
        <v>0</v>
      </c>
    </row>
    <row r="35" customFormat="false" ht="15" hidden="false" customHeight="true" outlineLevel="0" collapsed="false">
      <c r="A35" s="65" t="str">
        <f aca="false">$K$6</f>
        <v> Научно-исследовательская работа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6"/>
      <c r="M35" s="66"/>
      <c r="N35" s="66"/>
      <c r="O35" s="66"/>
      <c r="P35" s="48"/>
      <c r="Q35" s="442" t="s">
        <v>1575</v>
      </c>
      <c r="R35" s="380"/>
      <c r="S35" s="143" t="n">
        <f aca="false">SUM(R8:R21)</f>
        <v>0</v>
      </c>
    </row>
    <row r="36" s="45" customFormat="true" ht="15" hidden="false" customHeight="true" outlineLevel="0" collapsed="false">
      <c r="A36" s="65" t="str">
        <f aca="false">$L$6</f>
        <v> Экономика</v>
      </c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6"/>
      <c r="M36" s="66"/>
      <c r="N36" s="66"/>
      <c r="O36" s="66"/>
      <c r="P36" s="48"/>
    </row>
    <row r="37" s="45" customFormat="true" ht="15" hidden="false" customHeight="true" outlineLevel="0" collapsed="false">
      <c r="A37" s="65" t="str">
        <f aca="false">$M$6</f>
        <v> Элементы управления в автоматизированных системах обработки информации и управления (к.п.)</v>
      </c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6"/>
      <c r="M37" s="66"/>
      <c r="N37" s="66"/>
      <c r="O37" s="66"/>
      <c r="P37" s="48"/>
    </row>
    <row r="38" s="45" customFormat="true" ht="15" hidden="false" customHeight="true" outlineLevel="0" collapsed="false">
      <c r="A38" s="139"/>
      <c r="B38" s="139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39"/>
      <c r="P38" s="48"/>
    </row>
    <row r="39" customFormat="false" ht="15" hidden="false" customHeight="true" outlineLevel="0" collapsed="false">
      <c r="A39" s="139"/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39"/>
      <c r="P39" s="48"/>
      <c r="Q39" s="48"/>
    </row>
    <row r="40" customFormat="false" ht="15" hidden="false" customHeight="true" outlineLevel="0" collapsed="false">
      <c r="B40" s="73" t="s">
        <v>1378</v>
      </c>
      <c r="C40" s="178" t="s">
        <v>2547</v>
      </c>
      <c r="D40" s="178"/>
      <c r="E40" s="178"/>
      <c r="F40" s="52" t="s">
        <v>1970</v>
      </c>
      <c r="G40" s="300" t="s">
        <v>2548</v>
      </c>
      <c r="H40" s="300"/>
      <c r="I40" s="300"/>
      <c r="J40" s="300"/>
      <c r="K40" s="300"/>
      <c r="L40" s="300"/>
      <c r="M40" s="52"/>
      <c r="N40" s="139"/>
      <c r="O40" s="139"/>
      <c r="P40" s="48"/>
      <c r="Q40" s="48"/>
    </row>
    <row r="41" customFormat="false" ht="15" hidden="false" customHeight="true" outlineLevel="0" collapsed="false">
      <c r="A41" s="755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139"/>
      <c r="O41" s="139"/>
      <c r="P41" s="48"/>
    </row>
    <row r="42" customFormat="false" ht="15" hidden="false" customHeight="true" outlineLevel="0" collapsed="false">
      <c r="A42" s="755"/>
      <c r="B42" s="50" t="s">
        <v>93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48"/>
      <c r="O42" s="48"/>
      <c r="P42" s="48"/>
    </row>
    <row r="43" customFormat="false" ht="15" hidden="false" customHeight="true" outlineLevel="0" collapsed="false">
      <c r="A43" s="50"/>
      <c r="B43" s="50" t="s">
        <v>94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48"/>
      <c r="O43" s="48"/>
      <c r="P43" s="48"/>
    </row>
    <row r="44" customFormat="false" ht="15" hidden="false" customHeight="true" outlineLevel="0" collapsed="false">
      <c r="A44" s="50"/>
      <c r="B44" s="50" t="s">
        <v>95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48"/>
      <c r="O44" s="48"/>
      <c r="P44" s="48"/>
    </row>
    <row r="45" customFormat="false" ht="15" hidden="false" customHeight="true" outlineLevel="0" collapsed="false">
      <c r="A45" s="50"/>
      <c r="B45" s="50" t="s">
        <v>96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48"/>
    </row>
    <row r="46" customFormat="false" ht="15" hidden="false" customHeight="true" outlineLevel="0" collapsed="false">
      <c r="A46" s="50"/>
      <c r="B46" s="50" t="s">
        <v>97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48"/>
    </row>
    <row r="47" customFormat="false" ht="15" hidden="false" customHeight="true" outlineLevel="0" collapsed="false">
      <c r="A47" s="50"/>
      <c r="B47" s="50" t="s">
        <v>98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48"/>
    </row>
    <row r="48" customFormat="false" ht="15" hidden="false" customHeight="true" outlineLevel="0" collapsed="false">
      <c r="A48" s="50"/>
      <c r="B48" s="50" t="s">
        <v>99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48"/>
    </row>
    <row r="49" customFormat="false" ht="15" hidden="false" customHeight="true" outlineLevel="0" collapsed="false">
      <c r="A49" s="50"/>
      <c r="N49" s="48"/>
    </row>
    <row r="50" customFormat="false" ht="15" hidden="false" customHeight="true" outlineLevel="0" collapsed="false">
      <c r="A50" s="50"/>
      <c r="N50" s="48"/>
    </row>
    <row r="51" customFormat="false" ht="15.75" hidden="false" customHeight="false" outlineLevel="0" collapsed="false">
      <c r="A51" s="50"/>
      <c r="N51" s="48"/>
    </row>
  </sheetData>
  <mergeCells count="35">
    <mergeCell ref="E1:H1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26:I26"/>
    <mergeCell ref="A28:K28"/>
    <mergeCell ref="L28:O28"/>
    <mergeCell ref="A29:K29"/>
    <mergeCell ref="L29:O29"/>
    <mergeCell ref="A30:K30"/>
    <mergeCell ref="L30:O30"/>
    <mergeCell ref="A31:K31"/>
    <mergeCell ref="L31:O31"/>
    <mergeCell ref="A32:K32"/>
    <mergeCell ref="L32:O32"/>
    <mergeCell ref="A33:K33"/>
    <mergeCell ref="L33:O33"/>
    <mergeCell ref="A34:K34"/>
    <mergeCell ref="L34:O34"/>
    <mergeCell ref="A35:K35"/>
    <mergeCell ref="L35:O35"/>
    <mergeCell ref="A36:K36"/>
    <mergeCell ref="L36:O36"/>
    <mergeCell ref="A37:K37"/>
    <mergeCell ref="L37:O37"/>
    <mergeCell ref="C40:E40"/>
  </mergeCells>
  <conditionalFormatting sqref="N22:O2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:M2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21 E8:I2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K21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L2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7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C9" activeCellId="0" sqref="C9"/>
    </sheetView>
  </sheetViews>
  <sheetFormatPr defaultColWidth="8.71484375" defaultRowHeight="15" zeroHeight="false" outlineLevelRow="0" outlineLevelCol="0"/>
  <cols>
    <col collapsed="false" customWidth="true" hidden="false" outlineLevel="0" max="3" min="3" style="0" width="18"/>
    <col collapsed="false" customWidth="true" hidden="false" outlineLevel="0" max="12" min="10" style="45" width="13.42"/>
    <col collapsed="false" customWidth="true" hidden="false" outlineLevel="0" max="14" min="14" style="0" width="9.86"/>
    <col collapsed="false" customWidth="true" hidden="false" outlineLevel="0" max="17" min="17" style="0" width="18.42"/>
    <col collapsed="false" customWidth="true" hidden="false" outlineLevel="0" max="18" min="18" style="0" width="7"/>
    <col collapsed="false" customWidth="true" hidden="false" outlineLevel="0" max="19" min="19" style="0" width="11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266"/>
      <c r="K1" s="266"/>
      <c r="L1" s="266"/>
      <c r="M1" s="3"/>
    </row>
    <row r="2" customFormat="false" ht="15" hidden="false" customHeight="false" outlineLevel="0" collapsed="false">
      <c r="H2" s="4"/>
      <c r="N2" s="146"/>
      <c r="O2" s="756"/>
      <c r="P2" s="5" t="s">
        <v>1</v>
      </c>
      <c r="Q2" s="5"/>
      <c r="R2" s="5"/>
      <c r="S2" s="75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ИУК5-72Б факультета ИУК МГТУ им. Н.Э. Баумана"</f>
        <v>Успеваемость студентов за 1 семестр 24/25 учебного года по группе ИУК5-72Б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.7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619" t="s">
        <v>8</v>
      </c>
      <c r="O5" s="392" t="s">
        <v>9</v>
      </c>
      <c r="P5" s="392" t="s">
        <v>10</v>
      </c>
      <c r="Q5" s="14" t="s">
        <v>11</v>
      </c>
      <c r="R5" s="743" t="s">
        <v>1575</v>
      </c>
    </row>
    <row r="6" customFormat="false" ht="153" hidden="false" customHeight="true" outlineLevel="0" collapsed="false">
      <c r="A6" s="8"/>
      <c r="B6" s="8"/>
      <c r="C6" s="8"/>
      <c r="D6" s="9"/>
      <c r="E6" s="339" t="s">
        <v>2513</v>
      </c>
      <c r="F6" s="340" t="s">
        <v>2514</v>
      </c>
      <c r="G6" s="340" t="s">
        <v>2515</v>
      </c>
      <c r="H6" s="342" t="s">
        <v>2516</v>
      </c>
      <c r="I6" s="601" t="s">
        <v>1000</v>
      </c>
      <c r="J6" s="340" t="s">
        <v>2517</v>
      </c>
      <c r="K6" s="340" t="s">
        <v>377</v>
      </c>
      <c r="L6" s="340" t="s">
        <v>1002</v>
      </c>
      <c r="M6" s="602" t="s">
        <v>2518</v>
      </c>
      <c r="N6" s="619"/>
      <c r="O6" s="392"/>
      <c r="P6" s="392"/>
      <c r="Q6" s="14"/>
      <c r="R6" s="743"/>
    </row>
    <row r="7" customFormat="false" ht="17.9" hidden="false" customHeight="false" outlineLevel="0" collapsed="false">
      <c r="A7" s="8"/>
      <c r="B7" s="8"/>
      <c r="C7" s="8"/>
      <c r="D7" s="9"/>
      <c r="E7" s="343" t="s">
        <v>299</v>
      </c>
      <c r="F7" s="344" t="s">
        <v>299</v>
      </c>
      <c r="G7" s="344" t="s">
        <v>299</v>
      </c>
      <c r="H7" s="346" t="s">
        <v>299</v>
      </c>
      <c r="I7" s="407" t="s">
        <v>1004</v>
      </c>
      <c r="J7" s="344" t="s">
        <v>742</v>
      </c>
      <c r="K7" s="344" t="s">
        <v>1456</v>
      </c>
      <c r="L7" s="344" t="s">
        <v>380</v>
      </c>
      <c r="M7" s="496" t="s">
        <v>1004</v>
      </c>
      <c r="N7" s="619"/>
      <c r="O7" s="392"/>
      <c r="P7" s="392"/>
      <c r="Q7" s="14"/>
      <c r="R7" s="743"/>
    </row>
    <row r="8" customFormat="false" ht="15" hidden="false" customHeight="true" outlineLevel="0" collapsed="false">
      <c r="A8" s="77" t="n">
        <v>1</v>
      </c>
      <c r="B8" s="45" t="s">
        <v>2549</v>
      </c>
      <c r="C8" s="77" t="s">
        <v>2550</v>
      </c>
      <c r="D8" s="757"/>
      <c r="E8" s="632"/>
      <c r="F8" s="634"/>
      <c r="G8" s="634"/>
      <c r="H8" s="573"/>
      <c r="I8" s="633"/>
      <c r="J8" s="634"/>
      <c r="K8" s="634"/>
      <c r="L8" s="634"/>
      <c r="M8" s="573"/>
      <c r="N8" s="394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77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2551</v>
      </c>
      <c r="C9" s="758" t="s">
        <v>2552</v>
      </c>
      <c r="D9" s="757"/>
      <c r="E9" s="474"/>
      <c r="F9" s="475"/>
      <c r="G9" s="475"/>
      <c r="H9" s="568"/>
      <c r="I9" s="567"/>
      <c r="J9" s="475"/>
      <c r="K9" s="475"/>
      <c r="L9" s="475"/>
      <c r="M9" s="568"/>
      <c r="N9" s="585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85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4</v>
      </c>
      <c r="B10" s="37" t="s">
        <v>2553</v>
      </c>
      <c r="C10" s="758" t="s">
        <v>2554</v>
      </c>
      <c r="D10" s="757"/>
      <c r="E10" s="474"/>
      <c r="F10" s="475"/>
      <c r="G10" s="475"/>
      <c r="H10" s="568"/>
      <c r="I10" s="567"/>
      <c r="J10" s="475"/>
      <c r="K10" s="475"/>
      <c r="L10" s="475"/>
      <c r="M10" s="568"/>
      <c r="N10" s="585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85" t="n">
        <f aca="false">COUNTIF(E10:M10,2)+COUNTIF(E10:M10,1)+COUNTIF(E10:M10,0)</f>
        <v>0</v>
      </c>
    </row>
    <row r="11" customFormat="false" ht="15" hidden="false" customHeight="true" outlineLevel="0" collapsed="false">
      <c r="A11" s="77" t="n">
        <v>5</v>
      </c>
      <c r="B11" s="37" t="s">
        <v>2555</v>
      </c>
      <c r="C11" s="758" t="s">
        <v>2195</v>
      </c>
      <c r="D11" s="757"/>
      <c r="E11" s="474"/>
      <c r="F11" s="475"/>
      <c r="G11" s="475"/>
      <c r="H11" s="568"/>
      <c r="I11" s="567"/>
      <c r="J11" s="475"/>
      <c r="K11" s="475"/>
      <c r="L11" s="475"/>
      <c r="M11" s="568"/>
      <c r="N11" s="585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85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6</v>
      </c>
      <c r="B12" s="37" t="s">
        <v>2556</v>
      </c>
      <c r="C12" s="758" t="s">
        <v>2557</v>
      </c>
      <c r="D12" s="757"/>
      <c r="E12" s="474"/>
      <c r="F12" s="475"/>
      <c r="G12" s="475"/>
      <c r="H12" s="568"/>
      <c r="I12" s="567"/>
      <c r="J12" s="475"/>
      <c r="K12" s="475"/>
      <c r="L12" s="475"/>
      <c r="M12" s="568"/>
      <c r="N12" s="585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85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7</v>
      </c>
      <c r="B13" s="37" t="s">
        <v>2558</v>
      </c>
      <c r="C13" s="758" t="s">
        <v>2559</v>
      </c>
      <c r="D13" s="757"/>
      <c r="E13" s="474"/>
      <c r="F13" s="475"/>
      <c r="G13" s="475"/>
      <c r="H13" s="568"/>
      <c r="I13" s="567"/>
      <c r="J13" s="475"/>
      <c r="K13" s="475"/>
      <c r="L13" s="475"/>
      <c r="M13" s="568"/>
      <c r="N13" s="585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85" t="n">
        <f aca="false">COUNTIF(E13:M13,2)+COUNTIF(E13:M13,1)+COUNTIF(E13:M13,0)</f>
        <v>0</v>
      </c>
    </row>
    <row r="14" customFormat="false" ht="15" hidden="false" customHeight="true" outlineLevel="0" collapsed="false">
      <c r="A14" s="77" t="n">
        <v>8</v>
      </c>
      <c r="B14" s="37" t="s">
        <v>2560</v>
      </c>
      <c r="C14" s="758" t="s">
        <v>2561</v>
      </c>
      <c r="D14" s="757"/>
      <c r="E14" s="474"/>
      <c r="F14" s="475"/>
      <c r="G14" s="475"/>
      <c r="H14" s="568"/>
      <c r="I14" s="567"/>
      <c r="J14" s="475"/>
      <c r="K14" s="475"/>
      <c r="L14" s="475"/>
      <c r="M14" s="568"/>
      <c r="N14" s="585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85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9</v>
      </c>
      <c r="B15" s="37" t="s">
        <v>2562</v>
      </c>
      <c r="C15" s="758" t="s">
        <v>2563</v>
      </c>
      <c r="D15" s="757"/>
      <c r="E15" s="474"/>
      <c r="F15" s="475"/>
      <c r="G15" s="475"/>
      <c r="H15" s="568"/>
      <c r="I15" s="567"/>
      <c r="J15" s="475"/>
      <c r="K15" s="475"/>
      <c r="L15" s="475"/>
      <c r="M15" s="568"/>
      <c r="N15" s="585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85" t="n">
        <f aca="false">COUNTIF(E15:M15,2)+COUNTIF(E15:M15,1)+COUNTIF(E15:M15,0)</f>
        <v>0</v>
      </c>
    </row>
    <row r="16" customFormat="false" ht="15" hidden="false" customHeight="true" outlineLevel="0" collapsed="false">
      <c r="A16" s="77" t="n">
        <v>10</v>
      </c>
      <c r="B16" s="37" t="s">
        <v>2564</v>
      </c>
      <c r="C16" s="758" t="s">
        <v>2565</v>
      </c>
      <c r="D16" s="757"/>
      <c r="E16" s="474"/>
      <c r="F16" s="475"/>
      <c r="G16" s="475"/>
      <c r="H16" s="568"/>
      <c r="I16" s="567"/>
      <c r="J16" s="475"/>
      <c r="K16" s="475"/>
      <c r="L16" s="475"/>
      <c r="M16" s="568"/>
      <c r="N16" s="585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85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11</v>
      </c>
      <c r="B17" s="37" t="s">
        <v>2566</v>
      </c>
      <c r="C17" s="758" t="s">
        <v>2567</v>
      </c>
      <c r="D17" s="757"/>
      <c r="E17" s="474"/>
      <c r="F17" s="475"/>
      <c r="G17" s="475"/>
      <c r="H17" s="568"/>
      <c r="I17" s="567"/>
      <c r="J17" s="475"/>
      <c r="K17" s="475"/>
      <c r="L17" s="475"/>
      <c r="M17" s="568"/>
      <c r="N17" s="585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85" t="n">
        <f aca="false">COUNTIF(E17:M17,2)+COUNTIF(E17:M17,1)+COUNTIF(E17:M17,0)</f>
        <v>0</v>
      </c>
    </row>
    <row r="18" customFormat="false" ht="15" hidden="false" customHeight="true" outlineLevel="0" collapsed="false">
      <c r="A18" s="77" t="n">
        <v>12</v>
      </c>
      <c r="B18" s="37" t="s">
        <v>2568</v>
      </c>
      <c r="C18" s="758" t="s">
        <v>2569</v>
      </c>
      <c r="D18" s="757"/>
      <c r="E18" s="474"/>
      <c r="F18" s="475"/>
      <c r="G18" s="475"/>
      <c r="H18" s="568"/>
      <c r="I18" s="567"/>
      <c r="J18" s="475"/>
      <c r="K18" s="475"/>
      <c r="L18" s="475"/>
      <c r="M18" s="568"/>
      <c r="N18" s="585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85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13</v>
      </c>
      <c r="B19" s="37" t="s">
        <v>2570</v>
      </c>
      <c r="C19" s="758" t="s">
        <v>2571</v>
      </c>
      <c r="D19" s="757"/>
      <c r="E19" s="474"/>
      <c r="F19" s="475"/>
      <c r="G19" s="475"/>
      <c r="H19" s="568"/>
      <c r="I19" s="567"/>
      <c r="J19" s="475"/>
      <c r="K19" s="475"/>
      <c r="L19" s="475"/>
      <c r="M19" s="568"/>
      <c r="N19" s="585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85" t="n">
        <f aca="false">COUNTIF(E19:M19,2)+COUNTIF(E19:M19,1)+COUNTIF(E19:M19,0)</f>
        <v>0</v>
      </c>
    </row>
    <row r="20" customFormat="false" ht="15" hidden="false" customHeight="true" outlineLevel="0" collapsed="false">
      <c r="A20" s="77" t="n">
        <v>14</v>
      </c>
      <c r="B20" s="37" t="s">
        <v>2572</v>
      </c>
      <c r="C20" s="758" t="s">
        <v>2573</v>
      </c>
      <c r="D20" s="757"/>
      <c r="E20" s="474"/>
      <c r="F20" s="475"/>
      <c r="G20" s="475"/>
      <c r="H20" s="568"/>
      <c r="I20" s="567"/>
      <c r="J20" s="475"/>
      <c r="K20" s="475"/>
      <c r="L20" s="475"/>
      <c r="M20" s="568"/>
      <c r="N20" s="585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85" t="n">
        <f aca="false">COUNTIF(E20:M20,2)+COUNTIF(E20:M20,1)+COUNTIF(E20:M20,0)</f>
        <v>0</v>
      </c>
    </row>
    <row r="21" customFormat="false" ht="15" hidden="false" customHeight="true" outlineLevel="0" collapsed="false">
      <c r="A21" s="77" t="n">
        <v>15</v>
      </c>
      <c r="B21" s="37" t="s">
        <v>2574</v>
      </c>
      <c r="C21" s="45" t="s">
        <v>2575</v>
      </c>
      <c r="D21" s="757"/>
      <c r="E21" s="474"/>
      <c r="F21" s="475"/>
      <c r="G21" s="475"/>
      <c r="H21" s="568"/>
      <c r="I21" s="567"/>
      <c r="J21" s="475"/>
      <c r="K21" s="475"/>
      <c r="L21" s="475"/>
      <c r="M21" s="568"/>
      <c r="N21" s="585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85" t="n">
        <f aca="false">COUNTIF(E21:M21,2)+COUNTIF(E21:M21,1)+COUNTIF(E21:M21,0)</f>
        <v>0</v>
      </c>
    </row>
    <row r="22" s="45" customFormat="true" ht="15" hidden="false" customHeight="true" outlineLevel="0" collapsed="false">
      <c r="A22" s="37" t="n">
        <v>16</v>
      </c>
      <c r="B22" s="37" t="s">
        <v>2576</v>
      </c>
      <c r="C22" s="758" t="s">
        <v>2577</v>
      </c>
      <c r="D22" s="757"/>
      <c r="E22" s="474"/>
      <c r="F22" s="475"/>
      <c r="G22" s="475"/>
      <c r="H22" s="568"/>
      <c r="I22" s="567"/>
      <c r="J22" s="475"/>
      <c r="K22" s="475"/>
      <c r="L22" s="475"/>
      <c r="M22" s="568"/>
      <c r="N22" s="585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85" t="n">
        <f aca="false">COUNTIF(E22:M22,2)+COUNTIF(E22:M22,1)+COUNTIF(E22:M22,0)</f>
        <v>0</v>
      </c>
    </row>
    <row r="23" s="45" customFormat="true" ht="15" hidden="false" customHeight="true" outlineLevel="0" collapsed="false">
      <c r="A23" s="77" t="n">
        <v>17</v>
      </c>
      <c r="B23" s="37" t="s">
        <v>2578</v>
      </c>
      <c r="C23" s="758" t="s">
        <v>2579</v>
      </c>
      <c r="D23" s="757"/>
      <c r="E23" s="474"/>
      <c r="F23" s="475"/>
      <c r="G23" s="475"/>
      <c r="H23" s="568"/>
      <c r="I23" s="567"/>
      <c r="J23" s="475"/>
      <c r="K23" s="475"/>
      <c r="L23" s="475"/>
      <c r="M23" s="568"/>
      <c r="N23" s="585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85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18</v>
      </c>
      <c r="B24" s="37" t="s">
        <v>2580</v>
      </c>
      <c r="C24" s="758" t="s">
        <v>2581</v>
      </c>
      <c r="D24" s="759"/>
      <c r="E24" s="474"/>
      <c r="F24" s="475"/>
      <c r="G24" s="475"/>
      <c r="H24" s="568"/>
      <c r="I24" s="567"/>
      <c r="J24" s="475"/>
      <c r="K24" s="475"/>
      <c r="L24" s="475"/>
      <c r="M24" s="568"/>
      <c r="N24" s="585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85" t="n">
        <f aca="false">COUNTIF(E24:M24,2)+COUNTIF(E24:M24,1)+COUNTIF(E24:M24,0)</f>
        <v>0</v>
      </c>
    </row>
    <row r="25" customFormat="false" ht="15" hidden="false" customHeight="true" outlineLevel="0" collapsed="false">
      <c r="A25" s="0" t="s">
        <v>77</v>
      </c>
      <c r="D25" s="760"/>
      <c r="E25" s="761" t="e">
        <f aca="false">AVERAGE(E8:E24)</f>
        <v>#DIV/0!</v>
      </c>
      <c r="F25" s="761" t="e">
        <f aca="false">AVERAGE(F8:F24)</f>
        <v>#DIV/0!</v>
      </c>
      <c r="G25" s="761" t="e">
        <f aca="false">AVERAGE(G8:G24)</f>
        <v>#DIV/0!</v>
      </c>
      <c r="H25" s="761" t="e">
        <f aca="false">AVERAGE(H8:H24)</f>
        <v>#DIV/0!</v>
      </c>
      <c r="I25" s="761" t="e">
        <f aca="false">AVERAGE(I8:I24)</f>
        <v>#DIV/0!</v>
      </c>
      <c r="J25" s="761" t="e">
        <f aca="false">AVERAGE(J8:J24)</f>
        <v>#DIV/0!</v>
      </c>
      <c r="K25" s="761" t="e">
        <f aca="false">AVERAGE(K8:K24)</f>
        <v>#DIV/0!</v>
      </c>
      <c r="L25" s="761" t="e">
        <f aca="false">AVERAGE(L8:L24)</f>
        <v>#DIV/0!</v>
      </c>
      <c r="M25" s="761" t="e">
        <f aca="false">AVERAGE(M8:M24)</f>
        <v>#DIV/0!</v>
      </c>
      <c r="N25" s="762"/>
      <c r="O25" s="47"/>
      <c r="P25" s="48"/>
      <c r="Q25" s="48"/>
    </row>
    <row r="26" customFormat="false" ht="15" hidden="false" customHeight="true" outlineLevel="0" collapsed="false">
      <c r="A26" s="0" t="s">
        <v>78</v>
      </c>
      <c r="D26" s="537"/>
      <c r="E26" s="229" t="e">
        <f aca="false">(COUNTIF(E8:E24,5)+COUNTIF(E8:E24,4)+COUNTIF(E8:E24,3))/$U$31*100</f>
        <v>#DIV/0!</v>
      </c>
      <c r="F26" s="229" t="e">
        <f aca="false">(COUNTIF(F8:F24,5)+COUNTIF(F8:F24,4)+COUNTIF(F8:F24,3))/$U$31*100</f>
        <v>#DIV/0!</v>
      </c>
      <c r="G26" s="229" t="e">
        <f aca="false">(COUNTIF(G8:G24,5)+COUNTIF(G8:G24,4)+COUNTIF(G8:G24,3))/$U$31*100</f>
        <v>#DIV/0!</v>
      </c>
      <c r="H26" s="229" t="e">
        <f aca="false">(COUNTIF(H8:H24,5)+COUNTIF(H8:H24,4)+COUNTIF(H8:H24,3))/$U$31*100</f>
        <v>#DIV/0!</v>
      </c>
      <c r="I26" s="229" t="e">
        <f aca="false">(COUNTIF(I8:I24,5)+COUNTIF(I8:I24,4)+COUNTIF(I8:I24,3))/$U$31*100</f>
        <v>#DIV/0!</v>
      </c>
      <c r="J26" s="229" t="e">
        <f aca="false">(COUNTIF(J8:J24,5)+COUNTIF(J8:J24,4)+COUNTIF(J8:J24,3))/$U$31*100</f>
        <v>#DIV/0!</v>
      </c>
      <c r="K26" s="229" t="e">
        <f aca="false">(COUNTIF(K8:K24,5)+COUNTIF(K8:K24,4)+COUNTIF(K8:K24,3))/$U$31*100</f>
        <v>#DIV/0!</v>
      </c>
      <c r="L26" s="229" t="e">
        <f aca="false">(COUNTIF(L8:L24,5)+COUNTIF(L8:L24,4)+COUNTIF(L8:L24,3))/$U$31*100</f>
        <v>#DIV/0!</v>
      </c>
      <c r="M26" s="229" t="e">
        <f aca="false">(COUNTIF(M8:M24,5)+COUNTIF(M8:M24,4)+COUNTIF(M8:M24,3))/$U$31*100</f>
        <v>#DIV/0!</v>
      </c>
      <c r="N26" s="48"/>
      <c r="O26" s="48"/>
      <c r="P26" s="48"/>
    </row>
    <row r="27" customFormat="false" ht="15" hidden="false" customHeight="true" outlineLevel="0" collapsed="false">
      <c r="D27" s="537"/>
      <c r="E27" s="229"/>
      <c r="F27" s="229"/>
      <c r="G27" s="229"/>
      <c r="H27" s="229"/>
      <c r="I27" s="229"/>
      <c r="J27" s="229"/>
      <c r="K27" s="229"/>
      <c r="L27" s="229"/>
      <c r="M27" s="229"/>
      <c r="N27" s="48"/>
      <c r="O27" s="48"/>
      <c r="P27" s="48"/>
    </row>
    <row r="28" customFormat="false" ht="15" hidden="false" customHeight="true" outlineLevel="0" collapsed="false">
      <c r="E28" s="48"/>
      <c r="F28" s="48"/>
      <c r="G28" s="48"/>
      <c r="H28" s="48"/>
      <c r="I28" s="48"/>
      <c r="J28" s="48"/>
      <c r="K28" s="48"/>
      <c r="L28" s="48"/>
      <c r="M28" s="48"/>
      <c r="N28" s="48"/>
      <c r="O28" s="48"/>
      <c r="P28" s="48"/>
      <c r="Q28" s="48"/>
    </row>
    <row r="29" customFormat="false" ht="15" hidden="false" customHeight="true" outlineLevel="0" collapsed="false">
      <c r="B29" s="50"/>
      <c r="C29" s="50" t="s">
        <v>8</v>
      </c>
      <c r="D29" s="51" t="str">
        <f aca="false">IFERROR(AVERAGE(N8:N24),"")</f>
        <v/>
      </c>
      <c r="E29" s="52" t="s">
        <v>9</v>
      </c>
      <c r="F29" s="52"/>
      <c r="G29" s="53" t="str">
        <f aca="false">IFERROR(COUNTIF(O8:O24,"Успевает")/U31*100,"")</f>
        <v/>
      </c>
      <c r="H29" s="54" t="s">
        <v>79</v>
      </c>
      <c r="I29" s="54"/>
      <c r="J29" s="754" t="str">
        <f aca="false">IFERROR(AVERAGE(P8:P24),"")</f>
        <v/>
      </c>
      <c r="K29" s="754"/>
      <c r="L29" s="754"/>
      <c r="M29" s="55"/>
      <c r="N29" s="48"/>
      <c r="O29" s="48"/>
      <c r="P29" s="48"/>
      <c r="Q29" s="48"/>
    </row>
    <row r="30" customFormat="false" ht="15" hidden="false" customHeight="true" outlineLevel="0" collapsed="false">
      <c r="B30" s="50"/>
      <c r="C30" s="50"/>
      <c r="D30" s="50"/>
      <c r="E30" s="56"/>
      <c r="F30" s="56"/>
      <c r="G30" s="56"/>
      <c r="H30" s="56"/>
      <c r="I30" s="56"/>
      <c r="J30" s="56"/>
      <c r="K30" s="56"/>
      <c r="L30" s="56"/>
      <c r="M30" s="56"/>
      <c r="Q30" s="59"/>
    </row>
    <row r="31" customFormat="false" ht="15" hidden="false" customHeight="true" outlineLevel="0" collapsed="false">
      <c r="A31" s="61" t="s">
        <v>81</v>
      </c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 t="s">
        <v>82</v>
      </c>
      <c r="N31" s="61"/>
      <c r="O31" s="61"/>
      <c r="P31" s="61"/>
      <c r="Q31" s="64"/>
      <c r="S31" s="490" t="s">
        <v>80</v>
      </c>
      <c r="T31" s="490"/>
      <c r="U31" s="58" t="n">
        <f aca="false">SUM(U32,U33)</f>
        <v>0</v>
      </c>
    </row>
    <row r="32" customFormat="false" ht="15" hidden="false" customHeight="true" outlineLevel="0" collapsed="false">
      <c r="A32" s="65" t="str">
        <f aca="false">$E$6</f>
        <v> Программирование в системах 1С</v>
      </c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763"/>
      <c r="N32" s="763"/>
      <c r="O32" s="763"/>
      <c r="P32" s="763"/>
      <c r="Q32" s="99"/>
      <c r="S32" s="490" t="s">
        <v>83</v>
      </c>
      <c r="T32" s="490"/>
      <c r="U32" s="58" t="n">
        <f aca="false">COUNTIF(O8:O24,"Успевает")</f>
        <v>0</v>
      </c>
    </row>
    <row r="33" customFormat="false" ht="15" hidden="false" customHeight="true" outlineLevel="0" collapsed="false">
      <c r="A33" s="65" t="str">
        <f aca="false">$F$6</f>
        <v> Разработка Интернет-приложений</v>
      </c>
      <c r="B33" s="65"/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763"/>
      <c r="N33" s="763"/>
      <c r="O33" s="763"/>
      <c r="P33" s="763"/>
      <c r="Q33" s="764"/>
      <c r="S33" s="491" t="s">
        <v>84</v>
      </c>
      <c r="T33" s="491"/>
      <c r="U33" s="58" t="n">
        <f aca="false">COUNTIF(O8:O24,"Не успевает")</f>
        <v>0</v>
      </c>
    </row>
    <row r="34" customFormat="false" ht="15" hidden="false" customHeight="true" outlineLevel="0" collapsed="false">
      <c r="A34" s="65" t="str">
        <f aca="false">$G$6</f>
        <v> Разработка приложений для мобильных устройств</v>
      </c>
      <c r="B34" s="65"/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763"/>
      <c r="N34" s="763"/>
      <c r="O34" s="763"/>
      <c r="P34" s="763"/>
      <c r="Q34" s="48"/>
      <c r="S34" s="491" t="s">
        <v>85</v>
      </c>
      <c r="T34" s="491"/>
      <c r="U34" s="58" t="n">
        <f aca="false">COUNTIF(Q8:Q24,"Благодарность")</f>
        <v>0</v>
      </c>
    </row>
    <row r="35" customFormat="false" ht="15" hidden="false" customHeight="true" outlineLevel="0" collapsed="false">
      <c r="A35" s="65" t="str">
        <f aca="false">$H$6</f>
        <v> Распределенные системы обработки информации и блокчейн-технологии</v>
      </c>
      <c r="B35" s="65"/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763"/>
      <c r="N35" s="763"/>
      <c r="O35" s="763"/>
      <c r="P35" s="763"/>
      <c r="Q35" s="48"/>
      <c r="S35" s="491" t="s">
        <v>86</v>
      </c>
      <c r="T35" s="491"/>
      <c r="U35" s="58" t="n">
        <f aca="false">COUNTIF(Q8:Q24,"Нормально")</f>
        <v>0</v>
      </c>
    </row>
    <row r="36" customFormat="false" ht="15" hidden="false" customHeight="true" outlineLevel="0" collapsed="false">
      <c r="A36" s="65" t="str">
        <f aca="false">$I$6</f>
        <v> Беспроводные технологии передачи данных</v>
      </c>
      <c r="B36" s="65"/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763"/>
      <c r="N36" s="763"/>
      <c r="O36" s="763"/>
      <c r="P36" s="763"/>
      <c r="Q36" s="48"/>
      <c r="S36" s="491" t="s">
        <v>87</v>
      </c>
      <c r="T36" s="491"/>
      <c r="U36" s="58" t="n">
        <f aca="false">COUNTIF(Q8:Q24,"Предупреждение")</f>
        <v>0</v>
      </c>
    </row>
    <row r="37" customFormat="false" ht="15" hidden="false" customHeight="true" outlineLevel="0" collapsed="false">
      <c r="A37" s="65" t="str">
        <f aca="false">$J$6</f>
        <v> Методы машинного обучения</v>
      </c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763"/>
      <c r="N37" s="763"/>
      <c r="O37" s="763"/>
      <c r="P37" s="763"/>
      <c r="Q37" s="48"/>
      <c r="S37" s="491" t="s">
        <v>88</v>
      </c>
      <c r="T37" s="491"/>
      <c r="U37" s="58" t="n">
        <f aca="false">COUNTIF(Q8:Q24,"Выговор")</f>
        <v>0</v>
      </c>
    </row>
    <row r="38" s="45" customFormat="true" ht="15" hidden="false" customHeight="true" outlineLevel="0" collapsed="false">
      <c r="A38" s="65" t="str">
        <f aca="false">$K$6</f>
        <v> Научно-исследовательская работа</v>
      </c>
      <c r="B38" s="65"/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763"/>
      <c r="N38" s="763"/>
      <c r="O38" s="763"/>
      <c r="P38" s="763"/>
      <c r="Q38" s="48"/>
      <c r="S38" s="765" t="s">
        <v>1575</v>
      </c>
      <c r="T38" s="765"/>
      <c r="U38" s="143" t="n">
        <f aca="false">SUM(R8:R24)</f>
        <v>0</v>
      </c>
    </row>
    <row r="39" s="45" customFormat="true" ht="15" hidden="false" customHeight="true" outlineLevel="0" collapsed="false">
      <c r="A39" s="65" t="str">
        <f aca="false">$L$6</f>
        <v> Экономика</v>
      </c>
      <c r="B39" s="65"/>
      <c r="C39" s="65"/>
      <c r="D39" s="65"/>
      <c r="E39" s="65"/>
      <c r="F39" s="65"/>
      <c r="G39" s="65"/>
      <c r="H39" s="65"/>
      <c r="I39" s="65"/>
      <c r="J39" s="65"/>
      <c r="K39" s="65"/>
      <c r="L39" s="65"/>
      <c r="M39" s="763"/>
      <c r="N39" s="763"/>
      <c r="O39" s="763"/>
      <c r="P39" s="763"/>
      <c r="Q39" s="48"/>
    </row>
    <row r="40" s="45" customFormat="true" ht="15" hidden="false" customHeight="true" outlineLevel="0" collapsed="false">
      <c r="A40" s="65" t="str">
        <f aca="false">$M$6</f>
        <v> Элементы управления в автоматизированных системах обработки информации и управления (к.п.)</v>
      </c>
      <c r="B40" s="65"/>
      <c r="C40" s="65"/>
      <c r="D40" s="65"/>
      <c r="E40" s="65"/>
      <c r="F40" s="65"/>
      <c r="G40" s="65"/>
      <c r="H40" s="65"/>
      <c r="I40" s="65"/>
      <c r="J40" s="65"/>
      <c r="K40" s="65"/>
      <c r="L40" s="65"/>
      <c r="M40" s="763"/>
      <c r="N40" s="763"/>
      <c r="O40" s="763"/>
      <c r="P40" s="763"/>
      <c r="Q40" s="48"/>
    </row>
    <row r="41" s="45" customFormat="true" ht="15" hidden="false" customHeight="true" outlineLevel="0" collapsed="false">
      <c r="A41" s="766"/>
      <c r="B41" s="766"/>
      <c r="C41" s="766"/>
      <c r="D41" s="766"/>
      <c r="E41" s="766"/>
      <c r="F41" s="766"/>
      <c r="G41" s="766"/>
      <c r="H41" s="766"/>
      <c r="I41" s="766"/>
      <c r="J41" s="766"/>
      <c r="K41" s="766"/>
      <c r="L41" s="766"/>
      <c r="M41" s="50"/>
      <c r="N41" s="48"/>
      <c r="O41" s="48"/>
      <c r="P41" s="48"/>
      <c r="Q41" s="48"/>
    </row>
    <row r="42" s="45" customFormat="true" ht="15" hidden="false" customHeight="true" outlineLevel="0" collapsed="false">
      <c r="A42" s="766"/>
      <c r="B42" s="766"/>
      <c r="C42" s="766"/>
      <c r="D42" s="766"/>
      <c r="E42" s="766"/>
      <c r="F42" s="766"/>
      <c r="G42" s="766"/>
      <c r="H42" s="766"/>
      <c r="I42" s="766"/>
      <c r="J42" s="766"/>
      <c r="K42" s="766"/>
      <c r="L42" s="766"/>
      <c r="M42" s="50"/>
      <c r="N42" s="48"/>
      <c r="O42" s="48"/>
      <c r="P42" s="48"/>
      <c r="Q42" s="48"/>
    </row>
    <row r="43" customFormat="false" ht="15" hidden="false" customHeight="true" outlineLevel="0" collapsed="false">
      <c r="A43" s="50"/>
      <c r="B43" s="428" t="s">
        <v>1378</v>
      </c>
      <c r="C43" s="467" t="s">
        <v>2582</v>
      </c>
      <c r="D43" s="467"/>
      <c r="E43" s="67"/>
      <c r="F43" s="52" t="s">
        <v>1970</v>
      </c>
      <c r="G43" s="300" t="s">
        <v>2548</v>
      </c>
      <c r="H43" s="52"/>
      <c r="I43" s="52"/>
      <c r="J43" s="52"/>
      <c r="K43" s="52"/>
      <c r="L43" s="52"/>
      <c r="M43" s="52"/>
      <c r="N43" s="48"/>
      <c r="O43" s="48"/>
      <c r="P43" s="48"/>
      <c r="Q43" s="48"/>
    </row>
    <row r="44" customFormat="false" ht="15" hidden="false" customHeight="true" outlineLevel="0" collapsed="false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48"/>
      <c r="O44" s="48"/>
      <c r="P44" s="48"/>
      <c r="Q44" s="48"/>
    </row>
    <row r="45" customFormat="false" ht="15" hidden="false" customHeight="true" outlineLevel="0" collapsed="false">
      <c r="A45" s="50"/>
      <c r="B45" s="50" t="s">
        <v>93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48"/>
      <c r="O45" s="48"/>
      <c r="P45" s="48"/>
      <c r="Q45" s="48"/>
    </row>
    <row r="46" customFormat="false" ht="15" hidden="false" customHeight="true" outlineLevel="0" collapsed="false">
      <c r="A46" s="50"/>
      <c r="B46" s="50" t="s">
        <v>94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48"/>
      <c r="O46" s="48"/>
      <c r="P46" s="48"/>
      <c r="Q46" s="48"/>
    </row>
    <row r="47" customFormat="false" ht="15" hidden="false" customHeight="true" outlineLevel="0" collapsed="false">
      <c r="A47" s="50"/>
      <c r="B47" s="50" t="s">
        <v>95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48"/>
      <c r="O47" s="48"/>
      <c r="P47" s="48"/>
      <c r="Q47" s="48"/>
    </row>
    <row r="48" customFormat="false" ht="15" hidden="false" customHeight="true" outlineLevel="0" collapsed="false">
      <c r="A48" s="50"/>
      <c r="B48" s="50" t="s">
        <v>96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48"/>
      <c r="O48" s="48"/>
      <c r="P48" s="48"/>
      <c r="Q48" s="48"/>
    </row>
    <row r="49" customFormat="false" ht="15" hidden="false" customHeight="true" outlineLevel="0" collapsed="false">
      <c r="A49" s="50"/>
      <c r="B49" s="50" t="s">
        <v>97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48"/>
      <c r="O49" s="48"/>
      <c r="P49" s="48"/>
      <c r="Q49" s="48"/>
    </row>
    <row r="50" customFormat="false" ht="15" hidden="false" customHeight="true" outlineLevel="0" collapsed="false">
      <c r="A50" s="50"/>
      <c r="B50" s="50" t="s">
        <v>98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48"/>
      <c r="O50" s="48"/>
      <c r="P50" s="48"/>
      <c r="Q50" s="48"/>
    </row>
    <row r="51" customFormat="false" ht="15" hidden="false" customHeight="true" outlineLevel="0" collapsed="false">
      <c r="A51" s="50"/>
      <c r="B51" s="50" t="s">
        <v>99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48"/>
      <c r="O51" s="48"/>
      <c r="P51" s="48"/>
      <c r="Q51" s="48"/>
    </row>
    <row r="52" customFormat="false" ht="15" hidden="false" customHeight="true" outlineLevel="0" collapsed="false">
      <c r="Q52" s="48"/>
    </row>
    <row r="53" customFormat="false" ht="15" hidden="false" customHeight="true" outlineLevel="0" collapsed="false">
      <c r="Q53" s="48"/>
    </row>
    <row r="54" customFormat="false" ht="15" hidden="false" customHeight="true" outlineLevel="0" collapsed="false">
      <c r="Q54" s="48"/>
    </row>
    <row r="55" customFormat="false" ht="15" hidden="false" customHeight="true" outlineLevel="0" collapsed="false">
      <c r="Q55" s="48"/>
    </row>
    <row r="56" customFormat="false" ht="15" hidden="false" customHeight="true" outlineLevel="0" collapsed="false">
      <c r="Q56" s="48"/>
    </row>
    <row r="57" customFormat="false" ht="15" hidden="false" customHeight="true" outlineLevel="0" collapsed="false"/>
  </sheetData>
  <mergeCells count="44">
    <mergeCell ref="E1:H1"/>
    <mergeCell ref="P2:R2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29:I29"/>
    <mergeCell ref="A31:L31"/>
    <mergeCell ref="M31:P31"/>
    <mergeCell ref="S31:T31"/>
    <mergeCell ref="A32:L32"/>
    <mergeCell ref="M32:P32"/>
    <mergeCell ref="S32:T32"/>
    <mergeCell ref="A33:L33"/>
    <mergeCell ref="M33:P33"/>
    <mergeCell ref="S33:T33"/>
    <mergeCell ref="A34:L34"/>
    <mergeCell ref="M34:P34"/>
    <mergeCell ref="S34:T34"/>
    <mergeCell ref="A35:L35"/>
    <mergeCell ref="M35:P35"/>
    <mergeCell ref="S35:T35"/>
    <mergeCell ref="A36:L36"/>
    <mergeCell ref="M36:P36"/>
    <mergeCell ref="S36:T36"/>
    <mergeCell ref="A37:L37"/>
    <mergeCell ref="M37:P37"/>
    <mergeCell ref="S37:T37"/>
    <mergeCell ref="A38:L38"/>
    <mergeCell ref="M38:P38"/>
    <mergeCell ref="S38:T38"/>
    <mergeCell ref="A39:L39"/>
    <mergeCell ref="M39:P39"/>
    <mergeCell ref="A40:L40"/>
    <mergeCell ref="M40:P40"/>
    <mergeCell ref="C43:D43"/>
  </mergeCells>
  <conditionalFormatting sqref="E22:M2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25:O2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5:M27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2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21 E24:M24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6.29"/>
    <col collapsed="false" customWidth="true" hidden="false" outlineLevel="0" max="2" min="2" style="0" width="10.29"/>
    <col collapsed="false" customWidth="true" hidden="false" outlineLevel="0" max="3" min="3" style="0" width="19"/>
    <col collapsed="false" customWidth="false" hidden="false" outlineLevel="0" max="5" min="5" style="45" width="8.71"/>
    <col collapsed="false" customWidth="true" hidden="false" outlineLevel="0" max="6" min="6" style="0" width="10"/>
    <col collapsed="false" customWidth="true" hidden="false" outlineLevel="0" max="7" min="7" style="0" width="9.42"/>
    <col collapsed="false" customWidth="true" hidden="false" outlineLevel="0" max="12" min="11" style="0" width="9.14"/>
    <col collapsed="false" customWidth="true" hidden="false" outlineLevel="0" max="13" min="13" style="0" width="7.29"/>
    <col collapsed="false" customWidth="true" hidden="false" outlineLevel="0" max="14" min="14" style="0" width="6.71"/>
    <col collapsed="false" customWidth="true" hidden="false" outlineLevel="0" max="16" min="16" style="0" width="13.86"/>
    <col collapsed="false" customWidth="true" hidden="false" outlineLevel="0" max="17" min="17" style="0" width="7.29"/>
    <col collapsed="false" customWidth="true" hidden="false" outlineLevel="0" max="18" min="18" style="0" width="4"/>
    <col collapsed="false" customWidth="true" hidden="false" outlineLevel="0" max="19" min="19" style="0" width="4.14"/>
  </cols>
  <sheetData>
    <row r="1" customFormat="false" ht="19.7" hidden="false" customHeight="false" outlineLevel="0" collapsed="false">
      <c r="F1" s="1" t="s">
        <v>0</v>
      </c>
      <c r="G1" s="1"/>
      <c r="H1" s="1"/>
      <c r="I1" s="1"/>
      <c r="J1" s="2" t="n">
        <f aca="false">set!B1</f>
        <v>2</v>
      </c>
      <c r="K1" s="3"/>
      <c r="L1" s="3"/>
    </row>
    <row r="2" customFormat="false" ht="15" hidden="false" customHeight="false" outlineLevel="0" collapsed="false">
      <c r="I2" s="4"/>
      <c r="L2" s="5" t="s">
        <v>1</v>
      </c>
      <c r="M2" s="5"/>
      <c r="N2" s="5"/>
      <c r="O2" s="5"/>
      <c r="P2" s="75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ИУК5-11М факультета ИУК МГТУ им. Н.Э. Баумана"</f>
        <v>Успеваемость студентов за 1 семестр 24/25 учебного года по группе ИУК5-11М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2403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391" t="s">
        <v>8</v>
      </c>
      <c r="N5" s="392" t="s">
        <v>9</v>
      </c>
      <c r="O5" s="392" t="s">
        <v>10</v>
      </c>
      <c r="P5" s="14" t="s">
        <v>11</v>
      </c>
      <c r="Q5" s="600" t="s">
        <v>1575</v>
      </c>
    </row>
    <row r="6" customFormat="false" ht="128.25" hidden="false" customHeight="true" outlineLevel="0" collapsed="false">
      <c r="A6" s="8"/>
      <c r="B6" s="8"/>
      <c r="C6" s="8"/>
      <c r="D6" s="301"/>
      <c r="E6" s="627" t="s">
        <v>1078</v>
      </c>
      <c r="F6" s="628" t="s">
        <v>2583</v>
      </c>
      <c r="G6" s="629" t="s">
        <v>1080</v>
      </c>
      <c r="H6" s="419" t="s">
        <v>1081</v>
      </c>
      <c r="I6" s="627" t="s">
        <v>18</v>
      </c>
      <c r="J6" s="629" t="s">
        <v>467</v>
      </c>
      <c r="K6" s="629" t="s">
        <v>1082</v>
      </c>
      <c r="L6" s="630" t="s">
        <v>1405</v>
      </c>
      <c r="M6" s="391"/>
      <c r="N6" s="392"/>
      <c r="O6" s="392"/>
      <c r="P6" s="14"/>
      <c r="Q6" s="600"/>
    </row>
    <row r="7" customFormat="false" ht="17.9" hidden="false" customHeight="false" outlineLevel="0" collapsed="false">
      <c r="A7" s="8"/>
      <c r="B7" s="8"/>
      <c r="C7" s="8"/>
      <c r="D7" s="301"/>
      <c r="E7" s="343" t="s">
        <v>549</v>
      </c>
      <c r="F7" s="344" t="s">
        <v>547</v>
      </c>
      <c r="G7" s="344" t="s">
        <v>299</v>
      </c>
      <c r="H7" s="346" t="s">
        <v>741</v>
      </c>
      <c r="I7" s="343" t="s">
        <v>27</v>
      </c>
      <c r="J7" s="344" t="s">
        <v>2584</v>
      </c>
      <c r="K7" s="344" t="s">
        <v>2585</v>
      </c>
      <c r="L7" s="346" t="s">
        <v>380</v>
      </c>
      <c r="M7" s="391"/>
      <c r="N7" s="392"/>
      <c r="O7" s="392"/>
      <c r="P7" s="14"/>
      <c r="Q7" s="600"/>
      <c r="R7" s="240"/>
      <c r="S7" s="240"/>
    </row>
    <row r="8" customFormat="false" ht="15" hidden="false" customHeight="true" outlineLevel="0" collapsed="false">
      <c r="A8" s="103" t="n">
        <v>1</v>
      </c>
      <c r="B8" s="25" t="s">
        <v>2586</v>
      </c>
      <c r="C8" s="25" t="s">
        <v>2587</v>
      </c>
      <c r="D8" s="767"/>
      <c r="E8" s="768"/>
      <c r="F8" s="769"/>
      <c r="G8" s="769"/>
      <c r="H8" s="770"/>
      <c r="I8" s="769"/>
      <c r="J8" s="769"/>
      <c r="K8" s="771"/>
      <c r="L8" s="772"/>
      <c r="M8" s="773" t="str">
        <f aca="false">IFERROR(AVERAGE(F8:L8),"")</f>
        <v/>
      </c>
      <c r="N8" s="84" t="str">
        <f aca="false">IF(F8&lt;&gt;"",IF(COUNTIF(F8:L8,"&lt;3"),"Не успевает","Успевает"),"")</f>
        <v/>
      </c>
      <c r="O8" s="241" t="str">
        <f aca="false">IF(D8&lt;&gt;"",(30*(set!B$5)-D8)/(30*(set!B$5))*100,"")</f>
        <v/>
      </c>
      <c r="P8" s="85" t="str">
        <f aca="false" t="array" ref="P8:P8">IF(F8&lt;&gt;"",IF(M8&lt;1.85,"Выговор",IF(M8=1.85,"Выговор",IF(AND(M8&gt;1.85,M8&lt;3),"Предупреждение",IF(AND(M8&gt;3,M8&lt;4.65),"Нормально",IF(AND(M8&gt;4.65,M8&lt;5,F8:L8&gt;=4),"Благодарность","Нормально"))))),"")</f>
        <v/>
      </c>
      <c r="Q8" s="437" t="n">
        <f aca="false">COUNTIF(F8:L8,2)+COUNTIF(F8:L8,1)+COUNTIF(F8:L8,0)</f>
        <v>0</v>
      </c>
      <c r="R8" s="242"/>
      <c r="S8" s="242"/>
    </row>
    <row r="9" customFormat="false" ht="15" hidden="false" customHeight="true" outlineLevel="0" collapsed="false">
      <c r="A9" s="85" t="n">
        <v>2</v>
      </c>
      <c r="B9" s="37" t="s">
        <v>2588</v>
      </c>
      <c r="C9" s="37" t="s">
        <v>2589</v>
      </c>
      <c r="D9" s="774"/>
      <c r="E9" s="775"/>
      <c r="F9" s="776"/>
      <c r="G9" s="776"/>
      <c r="H9" s="777"/>
      <c r="I9" s="776"/>
      <c r="J9" s="776"/>
      <c r="K9" s="771"/>
      <c r="L9" s="772"/>
      <c r="M9" s="773" t="str">
        <f aca="false">IFERROR(AVERAGE(F9:L9),"")</f>
        <v/>
      </c>
      <c r="N9" s="84" t="str">
        <f aca="false">IF(F9&lt;&gt;"",IF(COUNTIF(F9:L9,"&lt;3"),"Не успевает","Успевает"),"")</f>
        <v/>
      </c>
      <c r="O9" s="241" t="str">
        <f aca="false">IF(D9&lt;&gt;"",(30*(set!B$5)-D9)/(30*(set!B$5))*100,"")</f>
        <v/>
      </c>
      <c r="P9" s="85" t="str">
        <f aca="false" t="array" ref="P9:P9">IF(F9&lt;&gt;"",IF(M9&lt;1.85,"Выговор",IF(M9=1.85,"Выговор",IF(AND(M9&gt;1.85,M9&lt;3),"Предупреждение",IF(AND(M9&gt;3,M9&lt;4.65),"Нормально",IF(AND(M9&gt;4.65,M9&lt;5,F9:L9&gt;=4),"Благодарность","Нормально"))))),"")</f>
        <v/>
      </c>
      <c r="Q9" s="437" t="n">
        <f aca="false">COUNTIF(F9:L9,2)+COUNTIF(F9:L9,1)+COUNTIF(F9:L9,0)</f>
        <v>0</v>
      </c>
      <c r="R9" s="242"/>
      <c r="S9" s="242"/>
    </row>
    <row r="10" customFormat="false" ht="15" hidden="false" customHeight="true" outlineLevel="0" collapsed="false">
      <c r="A10" s="37" t="n">
        <v>3</v>
      </c>
      <c r="B10" s="37" t="s">
        <v>2590</v>
      </c>
      <c r="C10" s="37" t="s">
        <v>2591</v>
      </c>
      <c r="D10" s="778"/>
      <c r="E10" s="779"/>
      <c r="F10" s="780"/>
      <c r="G10" s="780"/>
      <c r="H10" s="781"/>
      <c r="I10" s="780"/>
      <c r="J10" s="780"/>
      <c r="K10" s="771"/>
      <c r="L10" s="772"/>
      <c r="M10" s="773" t="str">
        <f aca="false">IFERROR(AVERAGE(F10:L10),"")</f>
        <v/>
      </c>
      <c r="N10" s="84" t="str">
        <f aca="false">IF(F10&lt;&gt;"",IF(COUNTIF(F10:L10,"&lt;3"),"Не успевает","Успевает"),"")</f>
        <v/>
      </c>
      <c r="O10" s="241" t="str">
        <f aca="false">IF(D10&lt;&gt;"",(30*(set!B$5)-D10)/(30*(set!B$5))*100,"")</f>
        <v/>
      </c>
      <c r="P10" s="85" t="str">
        <f aca="false" t="array" ref="P10:P10">IF(F10&lt;&gt;"",IF(M10&lt;1.85,"Выговор",IF(M10=1.85,"Выговор",IF(AND(M10&gt;1.85,M10&lt;3),"Предупреждение",IF(AND(M10&gt;3,M10&lt;4.65),"Нормально",IF(AND(M10&gt;4.65,M10&lt;5,F10:L10&gt;=4),"Благодарность","Нормально"))))),"")</f>
        <v/>
      </c>
      <c r="Q10" s="437" t="n">
        <f aca="false">COUNTIF(F10:L10,2)+COUNTIF(F10:L10,1)+COUNTIF(F10:L10,0)</f>
        <v>0</v>
      </c>
      <c r="R10" s="242"/>
      <c r="S10" s="242"/>
    </row>
    <row r="11" customFormat="false" ht="15" hidden="false" customHeight="true" outlineLevel="0" collapsed="false">
      <c r="A11" s="85" t="n">
        <v>4</v>
      </c>
      <c r="B11" s="37" t="s">
        <v>2592</v>
      </c>
      <c r="C11" s="37" t="s">
        <v>2593</v>
      </c>
      <c r="D11" s="778"/>
      <c r="E11" s="779"/>
      <c r="F11" s="780"/>
      <c r="G11" s="780"/>
      <c r="H11" s="781"/>
      <c r="I11" s="780"/>
      <c r="J11" s="780"/>
      <c r="K11" s="771"/>
      <c r="L11" s="772"/>
      <c r="M11" s="773" t="str">
        <f aca="false">IFERROR(AVERAGE(F11:L11),"")</f>
        <v/>
      </c>
      <c r="N11" s="84" t="str">
        <f aca="false">IF(F11&lt;&gt;"",IF(COUNTIF(F11:L11,"&lt;3"),"Не успевает","Успевает"),"")</f>
        <v/>
      </c>
      <c r="O11" s="241" t="str">
        <f aca="false">IF(D11&lt;&gt;"",(30*(set!B$5)-D11)/(30*(set!B$5))*100,"")</f>
        <v/>
      </c>
      <c r="P11" s="85" t="str">
        <f aca="false" t="array" ref="P11:P11">IF(F11&lt;&gt;"",IF(M11&lt;1.85,"Выговор",IF(M11=1.85,"Выговор",IF(AND(M11&gt;1.85,M11&lt;3),"Предупреждение",IF(AND(M11&gt;3,M11&lt;4.65),"Нормально",IF(AND(M11&gt;4.65,M11&lt;5,F11:L11&gt;=4),"Благодарность","Нормально"))))),"")</f>
        <v/>
      </c>
      <c r="Q11" s="437" t="n">
        <f aca="false">COUNTIF(F11:L11,2)+COUNTIF(F11:L11,1)+COUNTIF(F11:L11,0)</f>
        <v>0</v>
      </c>
      <c r="R11" s="242"/>
      <c r="S11" s="242"/>
    </row>
    <row r="12" customFormat="false" ht="15" hidden="false" customHeight="true" outlineLevel="0" collapsed="false">
      <c r="A12" s="37" t="n">
        <v>5</v>
      </c>
      <c r="B12" s="37" t="s">
        <v>2594</v>
      </c>
      <c r="C12" s="37" t="s">
        <v>2595</v>
      </c>
      <c r="D12" s="778"/>
      <c r="E12" s="779"/>
      <c r="F12" s="780"/>
      <c r="G12" s="780"/>
      <c r="H12" s="781"/>
      <c r="I12" s="780"/>
      <c r="J12" s="780"/>
      <c r="K12" s="771"/>
      <c r="L12" s="772"/>
      <c r="M12" s="773" t="str">
        <f aca="false">IFERROR(AVERAGE(F12:L12),"")</f>
        <v/>
      </c>
      <c r="N12" s="84" t="str">
        <f aca="false">IF(F12&lt;&gt;"",IF(COUNTIF(F12:L12,"&lt;3"),"Не успевает","Успевает"),"")</f>
        <v/>
      </c>
      <c r="O12" s="241" t="str">
        <f aca="false">IF(D12&lt;&gt;"",(30*(set!B$5)-D12)/(30*(set!B$5))*100,"")</f>
        <v/>
      </c>
      <c r="P12" s="85" t="str">
        <f aca="false" t="array" ref="P12:P12">IF(F12&lt;&gt;"",IF(M12&lt;1.85,"Выговор",IF(M12=1.85,"Выговор",IF(AND(M12&gt;1.85,M12&lt;3),"Предупреждение",IF(AND(M12&gt;3,M12&lt;4.65),"Нормально",IF(AND(M12&gt;4.65,M12&lt;5,F12:L12&gt;=4),"Благодарность","Нормально"))))),"")</f>
        <v/>
      </c>
      <c r="Q12" s="437" t="n">
        <f aca="false">COUNTIF(F12:L12,2)+COUNTIF(F12:L12,1)+COUNTIF(F12:L12,0)</f>
        <v>0</v>
      </c>
      <c r="R12" s="242"/>
      <c r="S12" s="242"/>
    </row>
    <row r="13" customFormat="false" ht="15" hidden="false" customHeight="true" outlineLevel="0" collapsed="false">
      <c r="A13" s="85" t="n">
        <v>6</v>
      </c>
      <c r="B13" s="37" t="s">
        <v>2596</v>
      </c>
      <c r="C13" s="37" t="s">
        <v>2597</v>
      </c>
      <c r="D13" s="778"/>
      <c r="E13" s="779"/>
      <c r="F13" s="780"/>
      <c r="G13" s="780"/>
      <c r="H13" s="781"/>
      <c r="I13" s="780"/>
      <c r="J13" s="780"/>
      <c r="K13" s="771"/>
      <c r="L13" s="772"/>
      <c r="M13" s="773" t="str">
        <f aca="false">IFERROR(AVERAGE(F13:L13),"")</f>
        <v/>
      </c>
      <c r="N13" s="84" t="str">
        <f aca="false">IF(F13&lt;&gt;"",IF(COUNTIF(F13:L13,"&lt;3"),"Не успевает","Успевает"),"")</f>
        <v/>
      </c>
      <c r="O13" s="241" t="str">
        <f aca="false">IF(D13&lt;&gt;"",(30*(set!B$5)-D13)/(30*(set!B$5))*100,"")</f>
        <v/>
      </c>
      <c r="P13" s="85" t="str">
        <f aca="false" t="array" ref="P13:P13">IF(F13&lt;&gt;"",IF(M13&lt;1.85,"Выговор",IF(M13=1.85,"Выговор",IF(AND(M13&gt;1.85,M13&lt;3),"Предупреждение",IF(AND(M13&gt;3,M13&lt;4.65),"Нормально",IF(AND(M13&gt;4.65,M13&lt;5,F13:L13&gt;=4),"Благодарность","Нормально"))))),"")</f>
        <v/>
      </c>
      <c r="Q13" s="437" t="n">
        <f aca="false">COUNTIF(F13:L13,2)+COUNTIF(F13:L13,1)+COUNTIF(F13:L13,0)</f>
        <v>0</v>
      </c>
      <c r="R13" s="242"/>
      <c r="S13" s="242"/>
    </row>
    <row r="14" customFormat="false" ht="15" hidden="false" customHeight="true" outlineLevel="0" collapsed="false">
      <c r="A14" s="37" t="n">
        <v>7</v>
      </c>
      <c r="B14" s="37" t="s">
        <v>2598</v>
      </c>
      <c r="C14" s="37" t="s">
        <v>2599</v>
      </c>
      <c r="D14" s="767"/>
      <c r="E14" s="768"/>
      <c r="F14" s="769"/>
      <c r="G14" s="769"/>
      <c r="H14" s="770"/>
      <c r="I14" s="769"/>
      <c r="J14" s="769"/>
      <c r="K14" s="771"/>
      <c r="L14" s="772"/>
      <c r="M14" s="773" t="str">
        <f aca="false">IFERROR(AVERAGE(F14:L14),"")</f>
        <v/>
      </c>
      <c r="N14" s="84" t="str">
        <f aca="false">IF(F14&lt;&gt;"",IF(COUNTIF(F14:L14,"&lt;3"),"Не успевает","Успевает"),"")</f>
        <v/>
      </c>
      <c r="O14" s="241" t="str">
        <f aca="false">IF(D14&lt;&gt;"",(30*(set!B$5)-D14)/(30*(set!B$5))*100,"")</f>
        <v/>
      </c>
      <c r="P14" s="85" t="str">
        <f aca="false" t="array" ref="P14:P14">IF(F14&lt;&gt;"",IF(M14&lt;1.85,"Выговор",IF(M14=1.85,"Выговор",IF(AND(M14&gt;1.85,M14&lt;3),"Предупреждение",IF(AND(M14&gt;3,M14&lt;4.65),"Нормально",IF(AND(M14&gt;4.65,M14&lt;5,F14:L14&gt;=4),"Благодарность","Нормально"))))),"")</f>
        <v/>
      </c>
      <c r="Q14" s="437" t="n">
        <f aca="false">COUNTIF(F14:L14,2)+COUNTIF(F14:L14,1)+COUNTIF(F14:L14,0)</f>
        <v>0</v>
      </c>
      <c r="R14" s="242"/>
      <c r="S14" s="242"/>
    </row>
    <row r="15" customFormat="false" ht="15" hidden="false" customHeight="true" outlineLevel="0" collapsed="false">
      <c r="A15" s="37" t="n">
        <v>8</v>
      </c>
      <c r="B15" s="37" t="s">
        <v>2600</v>
      </c>
      <c r="C15" s="37" t="s">
        <v>2601</v>
      </c>
      <c r="D15" s="782"/>
      <c r="E15" s="783"/>
      <c r="F15" s="784"/>
      <c r="G15" s="784"/>
      <c r="H15" s="785"/>
      <c r="I15" s="784"/>
      <c r="J15" s="784"/>
      <c r="K15" s="771"/>
      <c r="L15" s="772"/>
      <c r="M15" s="773" t="str">
        <f aca="false">IFERROR(AVERAGE(F15:L15),"")</f>
        <v/>
      </c>
      <c r="N15" s="84" t="str">
        <f aca="false">IF(F15&lt;&gt;"",IF(COUNTIF(F15:L15,"&lt;3"),"Не успевает","Успевает"),"")</f>
        <v/>
      </c>
      <c r="O15" s="241" t="str">
        <f aca="false">IF(D15&lt;&gt;"",(30*(set!B$5)-D15)/(30*(set!B$5))*100,"")</f>
        <v/>
      </c>
      <c r="P15" s="85" t="str">
        <f aca="false" t="array" ref="P15:P15">IF(F15&lt;&gt;"",IF(M15&lt;1.85,"Выговор",IF(M15=1.85,"Выговор",IF(AND(M15&gt;1.85,M15&lt;3),"Предупреждение",IF(AND(M15&gt;3,M15&lt;4.65),"Нормально",IF(AND(M15&gt;4.65,M15&lt;5,F15:L15&gt;=4),"Благодарность","Нормально"))))),"")</f>
        <v/>
      </c>
      <c r="Q15" s="437" t="n">
        <f aca="false">COUNTIF(F15:L15,2)+COUNTIF(F15:L15,1)+COUNTIF(F15:L15,0)</f>
        <v>0</v>
      </c>
      <c r="R15" s="242"/>
      <c r="S15" s="242"/>
    </row>
    <row r="16" customFormat="false" ht="15" hidden="false" customHeight="true" outlineLevel="0" collapsed="false">
      <c r="A16" s="85" t="n">
        <v>9</v>
      </c>
      <c r="B16" s="37" t="s">
        <v>2602</v>
      </c>
      <c r="C16" s="37" t="s">
        <v>2603</v>
      </c>
      <c r="D16" s="774"/>
      <c r="E16" s="775"/>
      <c r="F16" s="776"/>
      <c r="G16" s="776"/>
      <c r="H16" s="777"/>
      <c r="I16" s="776"/>
      <c r="J16" s="776"/>
      <c r="K16" s="771"/>
      <c r="L16" s="772"/>
      <c r="M16" s="773" t="str">
        <f aca="false">IFERROR(AVERAGE(F16:L16),"")</f>
        <v/>
      </c>
      <c r="N16" s="84" t="str">
        <f aca="false">IF(F16&lt;&gt;"",IF(COUNTIF(F16:L16,"&lt;3"),"Не успевает","Успевает"),"")</f>
        <v/>
      </c>
      <c r="O16" s="241" t="str">
        <f aca="false">IF(D16&lt;&gt;"",(30*(set!B$5)-D16)/(30*(set!B$5))*100,"")</f>
        <v/>
      </c>
      <c r="P16" s="85" t="str">
        <f aca="false" t="array" ref="P16:P16">IF(F16&lt;&gt;"",IF(M16&lt;1.85,"Выговор",IF(M16=1.85,"Выговор",IF(AND(M16&gt;1.85,M16&lt;3),"Предупреждение",IF(AND(M16&gt;3,M16&lt;4.65),"Нормально",IF(AND(M16&gt;4.65,M16&lt;5,F16:L16&gt;=4),"Благодарность","Нормально"))))),"")</f>
        <v/>
      </c>
      <c r="Q16" s="437" t="n">
        <f aca="false">COUNTIF(F16:L16,2)+COUNTIF(F16:L16,1)+COUNTIF(F16:L16,0)</f>
        <v>0</v>
      </c>
      <c r="R16" s="242"/>
      <c r="S16" s="242"/>
    </row>
    <row r="17" customFormat="false" ht="15" hidden="false" customHeight="true" outlineLevel="0" collapsed="false">
      <c r="A17" s="37" t="n">
        <v>10</v>
      </c>
      <c r="B17" s="37" t="s">
        <v>2604</v>
      </c>
      <c r="C17" s="37" t="s">
        <v>2605</v>
      </c>
      <c r="D17" s="778"/>
      <c r="E17" s="779"/>
      <c r="F17" s="780"/>
      <c r="G17" s="780"/>
      <c r="H17" s="781"/>
      <c r="I17" s="780"/>
      <c r="J17" s="780"/>
      <c r="K17" s="771"/>
      <c r="L17" s="772"/>
      <c r="M17" s="773" t="str">
        <f aca="false">IFERROR(AVERAGE(F17:L17),"")</f>
        <v/>
      </c>
      <c r="N17" s="84" t="str">
        <f aca="false">IF(F17&lt;&gt;"",IF(COUNTIF(F17:L17,"&lt;3"),"Не успевает","Успевает"),"")</f>
        <v/>
      </c>
      <c r="O17" s="241" t="str">
        <f aca="false">IF(D17&lt;&gt;"",(30*(set!B$5)-D17)/(30*(set!B$5))*100,"")</f>
        <v/>
      </c>
      <c r="P17" s="85" t="str">
        <f aca="false" t="array" ref="P17:P17">IF(F17&lt;&gt;"",IF(M17&lt;1.85,"Выговор",IF(M17=1.85,"Выговор",IF(AND(M17&gt;1.85,M17&lt;3),"Предупреждение",IF(AND(M17&gt;3,M17&lt;4.65),"Нормально",IF(AND(M17&gt;4.65,M17&lt;5,F17:L17&gt;=4),"Благодарность","Нормально"))))),"")</f>
        <v/>
      </c>
      <c r="Q17" s="437" t="n">
        <f aca="false">COUNTIF(F17:L17,2)+COUNTIF(F17:L17,1)+COUNTIF(F17:L17,0)</f>
        <v>0</v>
      </c>
      <c r="R17" s="242"/>
      <c r="S17" s="242"/>
    </row>
    <row r="18" customFormat="false" ht="15" hidden="false" customHeight="true" outlineLevel="0" collapsed="false">
      <c r="A18" s="85" t="n">
        <v>11</v>
      </c>
      <c r="B18" s="37" t="s">
        <v>2606</v>
      </c>
      <c r="C18" s="37" t="s">
        <v>2607</v>
      </c>
      <c r="D18" s="778"/>
      <c r="E18" s="779"/>
      <c r="F18" s="780"/>
      <c r="G18" s="780"/>
      <c r="H18" s="781"/>
      <c r="I18" s="780"/>
      <c r="J18" s="780"/>
      <c r="K18" s="771"/>
      <c r="L18" s="772"/>
      <c r="M18" s="773" t="str">
        <f aca="false">IFERROR(AVERAGE(F18:L18),"")</f>
        <v/>
      </c>
      <c r="N18" s="84" t="str">
        <f aca="false">IF(F18&lt;&gt;"",IF(COUNTIF(F18:L18,"&lt;3"),"Не успевает","Успевает"),"")</f>
        <v/>
      </c>
      <c r="O18" s="241" t="str">
        <f aca="false">IF(D18&lt;&gt;"",(30*(set!B$5)-D18)/(30*(set!B$5))*100,"")</f>
        <v/>
      </c>
      <c r="P18" s="85" t="str">
        <f aca="false" t="array" ref="P18:P18">IF(F18&lt;&gt;"",IF(M18&lt;1.85,"Выговор",IF(M18=1.85,"Выговор",IF(AND(M18&gt;1.85,M18&lt;3),"Предупреждение",IF(AND(M18&gt;3,M18&lt;4.65),"Нормально",IF(AND(M18&gt;4.65,M18&lt;5,F18:L18&gt;=4),"Благодарность","Нормально"))))),"")</f>
        <v/>
      </c>
      <c r="Q18" s="437" t="n">
        <f aca="false">COUNTIF(F18:L18,2)+COUNTIF(F18:L18,1)+COUNTIF(F18:L18,0)</f>
        <v>0</v>
      </c>
      <c r="R18" s="242"/>
      <c r="S18" s="242"/>
    </row>
    <row r="19" customFormat="false" ht="15" hidden="false" customHeight="true" outlineLevel="0" collapsed="false">
      <c r="A19" s="0" t="s">
        <v>77</v>
      </c>
      <c r="D19" s="209"/>
      <c r="E19" s="210" t="e">
        <f aca="false">AVERAGE(E8:E18)</f>
        <v>#DIV/0!</v>
      </c>
      <c r="F19" s="210" t="e">
        <f aca="false">AVERAGE(F8:F18)</f>
        <v>#DIV/0!</v>
      </c>
      <c r="G19" s="210" t="e">
        <f aca="false">AVERAGE(G8:G18)</f>
        <v>#DIV/0!</v>
      </c>
      <c r="H19" s="210" t="e">
        <f aca="false">AVERAGE(H8:H18)</f>
        <v>#DIV/0!</v>
      </c>
      <c r="I19" s="210" t="e">
        <f aca="false">AVERAGE(I8:I18)</f>
        <v>#DIV/0!</v>
      </c>
      <c r="J19" s="210" t="e">
        <f aca="false">AVERAGE(J8:J18)</f>
        <v>#DIV/0!</v>
      </c>
      <c r="K19" s="210" t="e">
        <f aca="false">AVERAGE(K8:K18)</f>
        <v>#DIV/0!</v>
      </c>
      <c r="L19" s="210" t="e">
        <f aca="false">AVERAGE(L8:L18)</f>
        <v>#DIV/0!</v>
      </c>
      <c r="M19" s="47"/>
      <c r="N19" s="47"/>
      <c r="O19" s="47"/>
      <c r="P19" s="47"/>
    </row>
    <row r="20" customFormat="false" ht="15" hidden="false" customHeight="true" outlineLevel="0" collapsed="false">
      <c r="A20" s="0" t="s">
        <v>78</v>
      </c>
      <c r="D20" s="536"/>
      <c r="E20" s="137" t="e">
        <f aca="false">(COUNTIF(E8:E18,5)+COUNTIF(E8:E18,4)+COUNTIF(E8:E18,3))/$Q$26*100</f>
        <v>#DIV/0!</v>
      </c>
      <c r="F20" s="137" t="e">
        <f aca="false">(COUNTIF(F8:F18,5)+COUNTIF(F8:F18,4)+COUNTIF(F8:F18,3))/$Q$26*100</f>
        <v>#DIV/0!</v>
      </c>
      <c r="G20" s="137" t="e">
        <f aca="false">(COUNTIF(G8:G18,5)+COUNTIF(G8:G18,4)+COUNTIF(G8:G18,3))/$Q$26*100</f>
        <v>#DIV/0!</v>
      </c>
      <c r="H20" s="137" t="e">
        <f aca="false">(COUNTIF(H8:H18,5)+COUNTIF(H8:H18,4)+COUNTIF(H8:H18,3))/$Q$26*100</f>
        <v>#DIV/0!</v>
      </c>
      <c r="I20" s="137" t="e">
        <f aca="false">(COUNTIF(I8:I18,5)+COUNTIF(I8:I18,4)+COUNTIF(I8:I18,3))/$Q$26*100</f>
        <v>#DIV/0!</v>
      </c>
      <c r="J20" s="137" t="e">
        <f aca="false">(COUNTIF(J8:J18,5)+COUNTIF(J8:J18,4)+COUNTIF(J8:J18,3))/$Q$26*100</f>
        <v>#DIV/0!</v>
      </c>
      <c r="K20" s="137" t="e">
        <f aca="false">(COUNTIF(K8:K18,5)+COUNTIF(K8:K18,4)+COUNTIF(K8:K18,3))/$Q$26*100</f>
        <v>#DIV/0!</v>
      </c>
      <c r="L20" s="137" t="e">
        <f aca="false">(COUNTIF(L8:L18,5)+COUNTIF(L8:L18,4)+COUNTIF(L8:L18,3))/$Q$26*100</f>
        <v>#DIV/0!</v>
      </c>
      <c r="M20" s="48"/>
      <c r="N20" s="48"/>
      <c r="O20" s="47"/>
      <c r="P20" s="48"/>
      <c r="Q20" s="423"/>
      <c r="R20" s="242"/>
      <c r="S20" s="242"/>
    </row>
    <row r="21" customFormat="false" ht="15" hidden="false" customHeight="true" outlineLevel="0" collapsed="false">
      <c r="D21" s="537"/>
      <c r="E21" s="537"/>
      <c r="F21" s="48"/>
      <c r="G21" s="48"/>
      <c r="H21" s="48"/>
      <c r="I21" s="48"/>
      <c r="J21" s="48"/>
      <c r="K21" s="48"/>
      <c r="L21" s="48"/>
      <c r="M21" s="48"/>
      <c r="N21" s="48"/>
      <c r="O21" s="47"/>
      <c r="P21" s="48"/>
      <c r="Q21" s="49"/>
      <c r="R21" s="242"/>
      <c r="S21" s="242"/>
    </row>
    <row r="22" customFormat="false" ht="15" hidden="false" customHeight="true" outlineLevel="0" collapsed="false">
      <c r="D22" s="46"/>
      <c r="E22" s="46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</row>
    <row r="23" customFormat="false" ht="15" hidden="false" customHeight="true" outlineLevel="0" collapsed="false"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</row>
    <row r="24" customFormat="false" ht="15" hidden="false" customHeight="true" outlineLevel="0" collapsed="false">
      <c r="B24" s="50"/>
      <c r="C24" s="50" t="s">
        <v>8</v>
      </c>
      <c r="D24" s="51" t="str">
        <f aca="false">IFERROR(AVERAGE(M8:M18),"")</f>
        <v/>
      </c>
      <c r="E24" s="51"/>
      <c r="F24" s="52" t="s">
        <v>9</v>
      </c>
      <c r="G24" s="52"/>
      <c r="H24" s="53" t="str">
        <f aca="false">IFERROR(COUNTIF(N8:N18,"Успевает")/Q26*100,"")</f>
        <v/>
      </c>
      <c r="I24" s="54" t="s">
        <v>79</v>
      </c>
      <c r="J24" s="54"/>
      <c r="K24" s="55" t="str">
        <f aca="false">IFERROR(AVERAGE(O8:O18),"")</f>
        <v/>
      </c>
      <c r="L24" s="55"/>
      <c r="M24" s="52"/>
      <c r="N24" s="52"/>
      <c r="O24" s="158"/>
      <c r="P24" s="48"/>
      <c r="Q24" s="48"/>
    </row>
    <row r="25" customFormat="false" ht="15" hidden="false" customHeight="true" outlineLevel="0" collapsed="false">
      <c r="B25" s="50"/>
      <c r="C25" s="50"/>
      <c r="D25" s="50"/>
      <c r="E25" s="50"/>
      <c r="F25" s="56"/>
      <c r="G25" s="56"/>
      <c r="H25" s="56"/>
      <c r="I25" s="56"/>
      <c r="J25" s="56"/>
      <c r="K25" s="56"/>
      <c r="L25" s="56"/>
      <c r="M25" s="56"/>
      <c r="N25" s="56"/>
    </row>
    <row r="26" customFormat="false" ht="15" hidden="false" customHeight="true" outlineLevel="0" collapsed="false">
      <c r="A26" s="50"/>
      <c r="B26" s="61" t="s">
        <v>81</v>
      </c>
      <c r="C26" s="61"/>
      <c r="D26" s="61"/>
      <c r="E26" s="61"/>
      <c r="F26" s="61"/>
      <c r="G26" s="61"/>
      <c r="H26" s="61"/>
      <c r="I26" s="61"/>
      <c r="J26" s="61"/>
      <c r="K26" s="61" t="s">
        <v>498</v>
      </c>
      <c r="L26" s="61"/>
      <c r="M26" s="61"/>
      <c r="O26" s="739" t="s">
        <v>80</v>
      </c>
      <c r="P26" s="739"/>
      <c r="Q26" s="740" t="n">
        <f aca="false">SUM(Q27,Q28)</f>
        <v>0</v>
      </c>
    </row>
    <row r="27" customFormat="false" ht="15" hidden="false" customHeight="true" outlineLevel="0" collapsed="false">
      <c r="A27" s="50"/>
      <c r="B27" s="65" t="str">
        <f aca="false">$E$6</f>
        <v> Вейвлет-преобразования сигналов</v>
      </c>
      <c r="C27" s="65"/>
      <c r="D27" s="65"/>
      <c r="E27" s="65"/>
      <c r="F27" s="65"/>
      <c r="G27" s="65"/>
      <c r="H27" s="65"/>
      <c r="I27" s="65"/>
      <c r="J27" s="65"/>
      <c r="K27" s="66"/>
      <c r="L27" s="66"/>
      <c r="M27" s="66"/>
      <c r="O27" s="739" t="s">
        <v>83</v>
      </c>
      <c r="P27" s="739"/>
      <c r="Q27" s="740" t="n">
        <f aca="false">COUNTIF(N8:N18,"Успевает")</f>
        <v>0</v>
      </c>
    </row>
    <row r="28" customFormat="false" ht="15" hidden="false" customHeight="true" outlineLevel="0" collapsed="false">
      <c r="A28" s="50"/>
      <c r="B28" s="65" t="str">
        <f aca="false">$F$6</f>
        <v> Конструирование компиляторов</v>
      </c>
      <c r="C28" s="65"/>
      <c r="D28" s="65"/>
      <c r="E28" s="65"/>
      <c r="F28" s="65"/>
      <c r="G28" s="65"/>
      <c r="H28" s="65"/>
      <c r="I28" s="65"/>
      <c r="J28" s="65"/>
      <c r="K28" s="66"/>
      <c r="L28" s="66"/>
      <c r="M28" s="66"/>
      <c r="O28" s="742" t="s">
        <v>84</v>
      </c>
      <c r="P28" s="742"/>
      <c r="Q28" s="740" t="n">
        <f aca="false">COUNTIF(N8:N18,"Не успевает")</f>
        <v>0</v>
      </c>
    </row>
    <row r="29" customFormat="false" ht="15" hidden="false" customHeight="true" outlineLevel="0" collapsed="false">
      <c r="A29" s="50"/>
      <c r="B29" s="65" t="str">
        <f aca="false">$G$6</f>
        <v> Проектирование интеллектуальных систем</v>
      </c>
      <c r="C29" s="65"/>
      <c r="D29" s="65"/>
      <c r="E29" s="65"/>
      <c r="F29" s="65"/>
      <c r="G29" s="65"/>
      <c r="H29" s="65"/>
      <c r="I29" s="65"/>
      <c r="J29" s="65"/>
      <c r="K29" s="66"/>
      <c r="L29" s="66"/>
      <c r="M29" s="66"/>
      <c r="O29" s="742" t="s">
        <v>85</v>
      </c>
      <c r="P29" s="742"/>
      <c r="Q29" s="740" t="n">
        <f aca="false">COUNTIF(P8:P18,"Благодарность")</f>
        <v>0</v>
      </c>
    </row>
    <row r="30" customFormat="false" ht="15" hidden="false" customHeight="true" outlineLevel="0" collapsed="false">
      <c r="A30" s="50"/>
      <c r="B30" s="65" t="str">
        <f aca="false">$H$6</f>
        <v> Системы мультимедиа, прототипирование и разработка интерфейса веб-проекта</v>
      </c>
      <c r="C30" s="65"/>
      <c r="D30" s="65"/>
      <c r="E30" s="65"/>
      <c r="F30" s="65"/>
      <c r="G30" s="65"/>
      <c r="H30" s="65"/>
      <c r="I30" s="65"/>
      <c r="J30" s="65"/>
      <c r="K30" s="66"/>
      <c r="L30" s="66"/>
      <c r="M30" s="66"/>
      <c r="O30" s="742" t="s">
        <v>86</v>
      </c>
      <c r="P30" s="742"/>
      <c r="Q30" s="740" t="n">
        <f aca="false">COUNTIF(P8:P18,"Нормально")</f>
        <v>0</v>
      </c>
    </row>
    <row r="31" customFormat="false" ht="15" hidden="false" customHeight="true" outlineLevel="0" collapsed="false">
      <c r="A31" s="50"/>
      <c r="B31" s="65" t="str">
        <f aca="false">$I$6</f>
        <v>Иностранный язык</v>
      </c>
      <c r="C31" s="65"/>
      <c r="D31" s="65"/>
      <c r="E31" s="65"/>
      <c r="F31" s="65"/>
      <c r="G31" s="65"/>
      <c r="H31" s="65"/>
      <c r="I31" s="65"/>
      <c r="J31" s="65"/>
      <c r="K31" s="66"/>
      <c r="L31" s="66"/>
      <c r="M31" s="66"/>
      <c r="O31" s="742" t="s">
        <v>87</v>
      </c>
      <c r="P31" s="742"/>
      <c r="Q31" s="740" t="n">
        <f aca="false">COUNTIF(P8:P18,"Предупреждение")</f>
        <v>0</v>
      </c>
    </row>
    <row r="32" customFormat="false" ht="15" hidden="false" customHeight="true" outlineLevel="0" collapsed="false">
      <c r="A32" s="50"/>
      <c r="B32" s="65" t="str">
        <f aca="false">$J$6</f>
        <v>Научно-исследовательская работа</v>
      </c>
      <c r="C32" s="65"/>
      <c r="D32" s="65"/>
      <c r="E32" s="65"/>
      <c r="F32" s="65"/>
      <c r="G32" s="65"/>
      <c r="H32" s="65"/>
      <c r="I32" s="65"/>
      <c r="J32" s="65"/>
      <c r="K32" s="66"/>
      <c r="L32" s="66"/>
      <c r="M32" s="66"/>
      <c r="O32" s="742" t="s">
        <v>88</v>
      </c>
      <c r="P32" s="742"/>
      <c r="Q32" s="740" t="n">
        <f aca="false">COUNTIF(P8:P18,"Выговор")</f>
        <v>0</v>
      </c>
    </row>
    <row r="33" customFormat="false" ht="15" hidden="false" customHeight="true" outlineLevel="0" collapsed="false">
      <c r="A33" s="50"/>
      <c r="B33" s="65" t="str">
        <f aca="false">$K$6</f>
        <v> Технологическая практика</v>
      </c>
      <c r="C33" s="65"/>
      <c r="D33" s="65"/>
      <c r="E33" s="65"/>
      <c r="F33" s="65"/>
      <c r="G33" s="65"/>
      <c r="H33" s="65"/>
      <c r="I33" s="65"/>
      <c r="J33" s="65"/>
      <c r="K33" s="66"/>
      <c r="L33" s="66"/>
      <c r="M33" s="66"/>
      <c r="O33" s="442" t="s">
        <v>1575</v>
      </c>
      <c r="P33" s="380"/>
      <c r="Q33" s="443" t="n">
        <f aca="false">SUM(Q8:Q18)</f>
        <v>0</v>
      </c>
    </row>
    <row r="34" customFormat="false" ht="15" hidden="false" customHeight="true" outlineLevel="0" collapsed="false">
      <c r="A34" s="50"/>
      <c r="B34" s="65" t="str">
        <f aca="false">$L$6</f>
        <v> Управление персоналом</v>
      </c>
      <c r="C34" s="65"/>
      <c r="D34" s="65"/>
      <c r="E34" s="65"/>
      <c r="F34" s="65"/>
      <c r="G34" s="65"/>
      <c r="H34" s="65"/>
      <c r="I34" s="65"/>
      <c r="J34" s="65"/>
      <c r="K34" s="66"/>
      <c r="L34" s="66"/>
      <c r="M34" s="66"/>
      <c r="O34" s="67"/>
      <c r="P34" s="67"/>
      <c r="Q34" s="67"/>
    </row>
    <row r="35" customFormat="false" ht="15" hidden="false" customHeight="true" outlineLevel="0" collapsed="false">
      <c r="A35" s="50"/>
      <c r="B35" s="139"/>
      <c r="C35" s="139"/>
      <c r="D35" s="139"/>
      <c r="E35" s="139"/>
      <c r="F35" s="139"/>
      <c r="G35" s="139"/>
      <c r="H35" s="139"/>
      <c r="I35" s="139"/>
      <c r="J35" s="139"/>
      <c r="K35" s="139"/>
      <c r="L35" s="139"/>
      <c r="O35" s="67"/>
      <c r="P35" s="67"/>
      <c r="Q35" s="67"/>
    </row>
    <row r="36" customFormat="false" ht="15" hidden="false" customHeight="true" outlineLevel="0" collapsed="false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O36" s="48"/>
      <c r="P36" s="48"/>
      <c r="Q36" s="48"/>
    </row>
    <row r="37" customFormat="false" ht="15" hidden="false" customHeight="true" outlineLevel="0" collapsed="false">
      <c r="A37" s="50"/>
      <c r="B37" s="73" t="s">
        <v>405</v>
      </c>
      <c r="C37" s="449" t="s">
        <v>2608</v>
      </c>
      <c r="D37" s="449"/>
      <c r="E37" s="5"/>
      <c r="F37" s="786"/>
      <c r="G37" s="52" t="s">
        <v>369</v>
      </c>
      <c r="H37" s="300" t="s">
        <v>2609</v>
      </c>
      <c r="I37" s="52"/>
      <c r="J37" s="52"/>
      <c r="K37" s="52"/>
      <c r="L37" s="52"/>
      <c r="O37" s="48"/>
      <c r="P37" s="48"/>
      <c r="Q37" s="48"/>
    </row>
    <row r="38" customFormat="false" ht="15" hidden="false" customHeight="true" outlineLevel="0" collapsed="false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O38" s="48"/>
      <c r="P38" s="48"/>
      <c r="Q38" s="48"/>
    </row>
    <row r="39" customFormat="false" ht="15" hidden="false" customHeight="true" outlineLevel="0" collapsed="false">
      <c r="A39" s="50"/>
      <c r="B39" s="50" t="s">
        <v>93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O39" s="48"/>
      <c r="P39" s="48"/>
      <c r="Q39" s="48"/>
    </row>
    <row r="40" customFormat="false" ht="15" hidden="false" customHeight="true" outlineLevel="0" collapsed="false">
      <c r="A40" s="50"/>
      <c r="B40" s="50" t="s">
        <v>94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O40" s="48"/>
      <c r="P40" s="48"/>
      <c r="Q40" s="48"/>
    </row>
    <row r="41" customFormat="false" ht="15" hidden="false" customHeight="true" outlineLevel="0" collapsed="false">
      <c r="A41" s="50"/>
      <c r="B41" s="50" t="s">
        <v>95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O41" s="48"/>
      <c r="P41" s="48"/>
      <c r="Q41" s="48"/>
    </row>
    <row r="42" customFormat="false" ht="15" hidden="false" customHeight="true" outlineLevel="0" collapsed="false">
      <c r="A42" s="50"/>
      <c r="B42" s="50" t="s">
        <v>96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O42" s="48"/>
      <c r="P42" s="48"/>
      <c r="Q42" s="48"/>
    </row>
    <row r="43" customFormat="false" ht="15" hidden="false" customHeight="true" outlineLevel="0" collapsed="false">
      <c r="A43" s="50"/>
      <c r="B43" s="50" t="s">
        <v>97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O43" s="48"/>
      <c r="P43" s="48"/>
      <c r="Q43" s="48"/>
    </row>
    <row r="44" customFormat="false" ht="15" hidden="false" customHeight="true" outlineLevel="0" collapsed="false">
      <c r="A44" s="50"/>
      <c r="B44" s="50" t="s">
        <v>98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O44" s="48"/>
      <c r="P44" s="48"/>
      <c r="Q44" s="48"/>
    </row>
    <row r="45" customFormat="false" ht="15" hidden="false" customHeight="true" outlineLevel="0" collapsed="false">
      <c r="B45" s="50" t="s">
        <v>99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</row>
    <row r="46" customFormat="false" ht="15" hidden="false" customHeight="true" outlineLevel="0" collapsed="false"/>
    <row r="47" customFormat="false" ht="15" hidden="false" customHeight="true" outlineLevel="0" collapsed="false"/>
  </sheetData>
  <mergeCells count="41">
    <mergeCell ref="F1:I1"/>
    <mergeCell ref="L2:O2"/>
    <mergeCell ref="A3:N3"/>
    <mergeCell ref="A5:A7"/>
    <mergeCell ref="B5:B7"/>
    <mergeCell ref="C5:C7"/>
    <mergeCell ref="D5:D7"/>
    <mergeCell ref="E5:H5"/>
    <mergeCell ref="I5:L5"/>
    <mergeCell ref="M5:M7"/>
    <mergeCell ref="N5:N7"/>
    <mergeCell ref="O5:O7"/>
    <mergeCell ref="P5:P7"/>
    <mergeCell ref="Q5:Q7"/>
    <mergeCell ref="I24:J24"/>
    <mergeCell ref="B26:J26"/>
    <mergeCell ref="K26:M26"/>
    <mergeCell ref="O26:P26"/>
    <mergeCell ref="B27:J27"/>
    <mergeCell ref="K27:M27"/>
    <mergeCell ref="O27:P27"/>
    <mergeCell ref="B28:J28"/>
    <mergeCell ref="K28:M28"/>
    <mergeCell ref="O28:P28"/>
    <mergeCell ref="B29:J29"/>
    <mergeCell ref="K29:M29"/>
    <mergeCell ref="O29:P29"/>
    <mergeCell ref="B30:J30"/>
    <mergeCell ref="K30:M30"/>
    <mergeCell ref="O30:P30"/>
    <mergeCell ref="B31:J31"/>
    <mergeCell ref="K31:M31"/>
    <mergeCell ref="O31:P31"/>
    <mergeCell ref="B32:J32"/>
    <mergeCell ref="K32:M32"/>
    <mergeCell ref="O32:P32"/>
    <mergeCell ref="B33:J33"/>
    <mergeCell ref="K33:M33"/>
    <mergeCell ref="B34:J34"/>
    <mergeCell ref="K34:M34"/>
    <mergeCell ref="C37:D37"/>
  </mergeCells>
  <conditionalFormatting sqref="E8:E1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20:O2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0:M21 E20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9:P1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L1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57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43"/>
    <col collapsed="false" customWidth="true" hidden="false" outlineLevel="0" max="2" min="2" style="0" width="11.29"/>
    <col collapsed="false" customWidth="true" hidden="false" outlineLevel="0" max="3" min="3" style="0" width="17.15"/>
    <col collapsed="false" customWidth="false" hidden="false" outlineLevel="0" max="9" min="9" style="45" width="9.14"/>
    <col collapsed="false" customWidth="true" hidden="false" outlineLevel="0" max="11" min="10" style="45" width="12.71"/>
    <col collapsed="false" customWidth="true" hidden="false" outlineLevel="0" max="13" min="13" style="0" width="10.14"/>
    <col collapsed="false" customWidth="true" hidden="false" outlineLevel="0" max="15" min="15" style="0" width="8.86"/>
    <col collapsed="false" customWidth="true" hidden="false" outlineLevel="0" max="16" min="16" style="0" width="17.57"/>
    <col collapsed="false" customWidth="true" hidden="false" outlineLevel="0" max="17" min="17" style="0" width="5.14"/>
    <col collapsed="false" customWidth="true" hidden="false" outlineLevel="0" max="18" min="18" style="0" width="3.71"/>
    <col collapsed="false" customWidth="true" hidden="false" outlineLevel="0" max="19" min="19" style="0" width="8.57"/>
  </cols>
  <sheetData>
    <row r="1" customFormat="false" ht="19.7" hidden="false" customHeight="false" outlineLevel="0" collapsed="false">
      <c r="C1" s="216" t="s">
        <v>0</v>
      </c>
      <c r="D1" s="216"/>
      <c r="E1" s="216"/>
      <c r="F1" s="216"/>
      <c r="G1" s="216"/>
      <c r="H1" s="2" t="n">
        <f aca="false">set!B1</f>
        <v>2</v>
      </c>
      <c r="I1" s="266"/>
      <c r="J1" s="266"/>
      <c r="K1" s="266"/>
      <c r="L1" s="3"/>
    </row>
    <row r="2" customFormat="false" ht="15" hidden="false" customHeight="false" outlineLevel="0" collapsed="false">
      <c r="G2" s="72" t="s">
        <v>1</v>
      </c>
      <c r="M2" s="146" t="n">
        <f aca="false">set!B4</f>
        <v>45608</v>
      </c>
      <c r="N2" s="72"/>
      <c r="O2" s="72"/>
      <c r="Q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ИУК5-31М факультета ИУК МГТУ им. Н.Э. Баумана"</f>
        <v>Успеваемость студентов за 1 семестр 24/25 учебного года по группе ИУК5-31М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 t="s">
        <v>7</v>
      </c>
      <c r="I5" s="11"/>
      <c r="J5" s="11"/>
      <c r="K5" s="11"/>
      <c r="L5" s="11"/>
      <c r="M5" s="392" t="s">
        <v>8</v>
      </c>
      <c r="N5" s="392" t="s">
        <v>9</v>
      </c>
      <c r="O5" s="392" t="s">
        <v>10</v>
      </c>
      <c r="P5" s="14" t="s">
        <v>11</v>
      </c>
      <c r="Q5" s="600" t="s">
        <v>1575</v>
      </c>
      <c r="R5" s="418"/>
    </row>
    <row r="6" customFormat="false" ht="132.75" hidden="false" customHeight="true" outlineLevel="0" collapsed="false">
      <c r="A6" s="8"/>
      <c r="B6" s="8"/>
      <c r="C6" s="8"/>
      <c r="D6" s="9"/>
      <c r="E6" s="339" t="s">
        <v>504</v>
      </c>
      <c r="F6" s="340" t="s">
        <v>2610</v>
      </c>
      <c r="G6" s="341" t="s">
        <v>1106</v>
      </c>
      <c r="H6" s="339" t="s">
        <v>2611</v>
      </c>
      <c r="I6" s="405" t="s">
        <v>2044</v>
      </c>
      <c r="J6" s="405" t="s">
        <v>2045</v>
      </c>
      <c r="K6" s="405" t="s">
        <v>2046</v>
      </c>
      <c r="L6" s="342" t="s">
        <v>1110</v>
      </c>
      <c r="M6" s="392"/>
      <c r="N6" s="392"/>
      <c r="O6" s="392"/>
      <c r="P6" s="14"/>
      <c r="Q6" s="600"/>
      <c r="R6" s="418"/>
    </row>
    <row r="7" customFormat="false" ht="17.9" hidden="false" customHeight="false" outlineLevel="0" collapsed="false">
      <c r="A7" s="8"/>
      <c r="B7" s="8"/>
      <c r="C7" s="8"/>
      <c r="D7" s="9"/>
      <c r="E7" s="365" t="s">
        <v>509</v>
      </c>
      <c r="F7" s="366" t="s">
        <v>2612</v>
      </c>
      <c r="G7" s="367" t="s">
        <v>299</v>
      </c>
      <c r="H7" s="365" t="s">
        <v>1004</v>
      </c>
      <c r="I7" s="445" t="s">
        <v>742</v>
      </c>
      <c r="J7" s="445" t="s">
        <v>2585</v>
      </c>
      <c r="K7" s="445" t="s">
        <v>1004</v>
      </c>
      <c r="L7" s="406" t="s">
        <v>2612</v>
      </c>
      <c r="M7" s="392"/>
      <c r="N7" s="392"/>
      <c r="O7" s="392"/>
      <c r="P7" s="14"/>
      <c r="Q7" s="600"/>
      <c r="R7" s="418"/>
    </row>
    <row r="8" customFormat="false" ht="15" hidden="false" customHeight="true" outlineLevel="0" collapsed="false">
      <c r="A8" s="25" t="n">
        <v>1</v>
      </c>
      <c r="B8" s="37" t="s">
        <v>2613</v>
      </c>
      <c r="C8" s="37" t="s">
        <v>2614</v>
      </c>
      <c r="D8" s="787"/>
      <c r="E8" s="788"/>
      <c r="F8" s="789"/>
      <c r="G8" s="790"/>
      <c r="H8" s="788"/>
      <c r="I8" s="789"/>
      <c r="J8" s="789"/>
      <c r="K8" s="789"/>
      <c r="L8" s="790"/>
      <c r="M8" s="394" t="str">
        <f aca="false">IFERROR(AVERAGE(E8:L8),"")</f>
        <v/>
      </c>
      <c r="N8" s="84" t="str">
        <f aca="false">IF(E8&lt;&gt;"",IF(COUNTIF(E8:L8,"&lt;3"),"Не успевает","Успевает"),"")</f>
        <v/>
      </c>
      <c r="O8" s="241" t="str">
        <f aca="false">IF(D8&lt;&gt;"",(30*(set!B$5)-D8)/(30*(set!B$5))*100,"")</f>
        <v/>
      </c>
      <c r="P8" s="77" t="str">
        <f aca="false" t="array" ref="P8:P8">IF(E8&lt;&gt;"",IF(M8&lt;1.85,"Выговор",IF(M8=1.85,"Выговор",IF(AND(M8&gt;1.85,M8&lt;3),"Предупреждение",IF(AND(M8&gt;3,M8&lt;4.65),"Нормально",IF(AND(M8&gt;4.65,M8&lt;5.1,E8:L8&gt;=4),"Благодарность","Нормально"))))),"")</f>
        <v/>
      </c>
      <c r="Q8" s="36" t="n">
        <f aca="false">COUNTIF(E8:L8,2)+COUNTIF(E8:L8,1)+COUNTIF(E8:L8,0)</f>
        <v>0</v>
      </c>
      <c r="R8" s="418"/>
    </row>
    <row r="9" customFormat="false" ht="15" hidden="false" customHeight="true" outlineLevel="0" collapsed="false">
      <c r="A9" s="37" t="n">
        <v>2</v>
      </c>
      <c r="B9" s="37" t="s">
        <v>2615</v>
      </c>
      <c r="C9" s="37" t="s">
        <v>2616</v>
      </c>
      <c r="D9" s="787"/>
      <c r="E9" s="788"/>
      <c r="F9" s="789"/>
      <c r="G9" s="790"/>
      <c r="H9" s="788"/>
      <c r="I9" s="789"/>
      <c r="J9" s="789"/>
      <c r="K9" s="789"/>
      <c r="L9" s="790"/>
      <c r="M9" s="394" t="str">
        <f aca="false">IFERROR(AVERAGE(E9:L9),"")</f>
        <v/>
      </c>
      <c r="N9" s="84" t="str">
        <f aca="false">IF(E9&lt;&gt;"",IF(COUNTIF(E9:L9,"&lt;3"),"Не успевает","Успевает"),"")</f>
        <v/>
      </c>
      <c r="O9" s="241" t="str">
        <f aca="false">IF(D9&lt;&gt;"",(30*(set!B$5)-D9)/(30*(set!B$5))*100,"")</f>
        <v/>
      </c>
      <c r="P9" s="77" t="str">
        <f aca="false" t="array" ref="P9:P9">IF(E9&lt;&gt;"",IF(M9&lt;1.85,"Выговор",IF(M9=1.85,"Выговор",IF(AND(M9&gt;1.85,M9&lt;3),"Предупреждение",IF(AND(M9&gt;3,M9&lt;4.65),"Нормально",IF(AND(M9&gt;4.65,M9&lt;5.1,E9:L9&gt;=4),"Благодарность","Нормально"))))),"")</f>
        <v/>
      </c>
      <c r="Q9" s="36" t="n">
        <f aca="false">COUNTIF(E9:L9,2)+COUNTIF(E9:L9,1)+COUNTIF(E9:L9,0)</f>
        <v>0</v>
      </c>
      <c r="R9" s="418"/>
    </row>
    <row r="10" customFormat="false" ht="15" hidden="false" customHeight="true" outlineLevel="0" collapsed="false">
      <c r="A10" s="37" t="n">
        <v>3</v>
      </c>
      <c r="B10" s="37" t="s">
        <v>2617</v>
      </c>
      <c r="C10" s="37" t="s">
        <v>2618</v>
      </c>
      <c r="D10" s="787"/>
      <c r="E10" s="788"/>
      <c r="F10" s="789"/>
      <c r="G10" s="790"/>
      <c r="H10" s="788"/>
      <c r="I10" s="789"/>
      <c r="J10" s="789"/>
      <c r="K10" s="789"/>
      <c r="L10" s="790"/>
      <c r="M10" s="394" t="str">
        <f aca="false">IFERROR(AVERAGE(E10:L10),"")</f>
        <v/>
      </c>
      <c r="N10" s="84" t="str">
        <f aca="false">IF(E10&lt;&gt;"",IF(COUNTIF(E10:L10,"&lt;3"),"Не успевает","Успевает"),"")</f>
        <v/>
      </c>
      <c r="O10" s="241" t="str">
        <f aca="false">IF(D10&lt;&gt;"",(30*(set!B$5)-D10)/(30*(set!B$5))*100,"")</f>
        <v/>
      </c>
      <c r="P10" s="77" t="str">
        <f aca="false" t="array" ref="P10:P10">IF(E10&lt;&gt;"",IF(M10&lt;1.85,"Выговор",IF(M10=1.85,"Выговор",IF(AND(M10&gt;1.85,M10&lt;3),"Предупреждение",IF(AND(M10&gt;3,M10&lt;4.65),"Нормально",IF(AND(M10&gt;4.65,M10&lt;5.1,E10:L10&gt;=4),"Благодарность","Нормально"))))),"")</f>
        <v/>
      </c>
      <c r="Q10" s="36" t="n">
        <f aca="false">COUNTIF(E10:L10,2)+COUNTIF(E10:L10,1)+COUNTIF(E10:L10,0)</f>
        <v>0</v>
      </c>
      <c r="R10" s="418"/>
    </row>
    <row r="11" customFormat="false" ht="15" hidden="false" customHeight="true" outlineLevel="0" collapsed="false">
      <c r="A11" s="37" t="n">
        <v>4</v>
      </c>
      <c r="B11" s="37" t="s">
        <v>2619</v>
      </c>
      <c r="C11" s="37" t="s">
        <v>2620</v>
      </c>
      <c r="D11" s="787"/>
      <c r="E11" s="788"/>
      <c r="F11" s="789"/>
      <c r="G11" s="790"/>
      <c r="H11" s="788"/>
      <c r="I11" s="789"/>
      <c r="J11" s="789"/>
      <c r="K11" s="789"/>
      <c r="L11" s="790"/>
      <c r="M11" s="394" t="str">
        <f aca="false">IFERROR(AVERAGE(E11:L11),"")</f>
        <v/>
      </c>
      <c r="N11" s="84" t="str">
        <f aca="false">IF(E11&lt;&gt;"",IF(COUNTIF(E11:L11,"&lt;3"),"Не успевает","Успевает"),"")</f>
        <v/>
      </c>
      <c r="O11" s="241" t="str">
        <f aca="false">IF(D11&lt;&gt;"",(30*(set!B$5)-D11)/(30*(set!B$5))*100,"")</f>
        <v/>
      </c>
      <c r="P11" s="77" t="str">
        <f aca="false" t="array" ref="P11:P11">IF(E11&lt;&gt;"",IF(M11&lt;1.85,"Выговор",IF(M11=1.85,"Выговор",IF(AND(M11&gt;1.85,M11&lt;3),"Предупреждение",IF(AND(M11&gt;3,M11&lt;4.65),"Нормально",IF(AND(M11&gt;4.65,M11&lt;5.1,E11:L11&gt;=4),"Благодарность","Нормально"))))),"")</f>
        <v/>
      </c>
      <c r="Q11" s="36" t="n">
        <f aca="false">COUNTIF(E11:L11,2)+COUNTIF(E11:L11,1)+COUNTIF(E11:L11,0)</f>
        <v>0</v>
      </c>
      <c r="R11" s="418"/>
    </row>
    <row r="12" customFormat="false" ht="15" hidden="false" customHeight="true" outlineLevel="0" collapsed="false">
      <c r="A12" s="37" t="n">
        <v>5</v>
      </c>
      <c r="B12" s="37" t="s">
        <v>2621</v>
      </c>
      <c r="C12" s="37" t="s">
        <v>2622</v>
      </c>
      <c r="D12" s="787"/>
      <c r="E12" s="788"/>
      <c r="F12" s="789"/>
      <c r="G12" s="790"/>
      <c r="H12" s="788"/>
      <c r="I12" s="789"/>
      <c r="J12" s="789"/>
      <c r="K12" s="789"/>
      <c r="L12" s="790"/>
      <c r="M12" s="394" t="str">
        <f aca="false">IFERROR(AVERAGE(E12:L12),"")</f>
        <v/>
      </c>
      <c r="N12" s="84" t="str">
        <f aca="false">IF(E12&lt;&gt;"",IF(COUNTIF(E12:L12,"&lt;3"),"Не успевает","Успевает"),"")</f>
        <v/>
      </c>
      <c r="O12" s="241" t="str">
        <f aca="false">IF(D12&lt;&gt;"",(30*(set!B$5)-D12)/(30*(set!B$5))*100,"")</f>
        <v/>
      </c>
      <c r="P12" s="77" t="str">
        <f aca="false" t="array" ref="P12:P12">IF(E12&lt;&gt;"",IF(M12&lt;1.85,"Выговор",IF(M12=1.85,"Выговор",IF(AND(M12&gt;1.85,M12&lt;3),"Предупреждение",IF(AND(M12&gt;3,M12&lt;4.65),"Нормально",IF(AND(M12&gt;4.65,M12&lt;5.1,E12:L12&gt;=4),"Благодарность","Нормально"))))),"")</f>
        <v/>
      </c>
      <c r="Q12" s="36" t="n">
        <f aca="false">COUNTIF(E12:L12,2)+COUNTIF(E12:L12,1)+COUNTIF(E12:L12,0)</f>
        <v>0</v>
      </c>
      <c r="R12" s="418"/>
    </row>
    <row r="13" customFormat="false" ht="15" hidden="false" customHeight="true" outlineLevel="0" collapsed="false">
      <c r="A13" s="37" t="n">
        <v>6</v>
      </c>
      <c r="B13" s="37" t="s">
        <v>2623</v>
      </c>
      <c r="C13" s="37" t="s">
        <v>2624</v>
      </c>
      <c r="D13" s="787"/>
      <c r="E13" s="788"/>
      <c r="F13" s="789"/>
      <c r="G13" s="790"/>
      <c r="H13" s="788"/>
      <c r="I13" s="789"/>
      <c r="J13" s="789"/>
      <c r="K13" s="789"/>
      <c r="L13" s="790"/>
      <c r="M13" s="394" t="str">
        <f aca="false">IFERROR(AVERAGE(E13:L13),"")</f>
        <v/>
      </c>
      <c r="N13" s="84" t="str">
        <f aca="false">IF(E13&lt;&gt;"",IF(COUNTIF(E13:L13,"&lt;3"),"Не успевает","Успевает"),"")</f>
        <v/>
      </c>
      <c r="O13" s="241" t="str">
        <f aca="false">IF(D13&lt;&gt;"",(30*(set!B$5)-D13)/(30*(set!B$5))*100,"")</f>
        <v/>
      </c>
      <c r="P13" s="77" t="str">
        <f aca="false" t="array" ref="P13:P13">IF(E13&lt;&gt;"",IF(M13&lt;1.85,"Выговор",IF(M13=1.85,"Выговор",IF(AND(M13&gt;1.85,M13&lt;3),"Предупреждение",IF(AND(M13&gt;3,M13&lt;4.65),"Нормально",IF(AND(M13&gt;4.65,M13&lt;5.1,E13:L13&gt;=4),"Благодарность","Нормально"))))),"")</f>
        <v/>
      </c>
      <c r="Q13" s="36" t="n">
        <f aca="false">COUNTIF(E13:L13,2)+COUNTIF(E13:L13,1)+COUNTIF(E13:L13,0)</f>
        <v>0</v>
      </c>
      <c r="R13" s="418"/>
    </row>
    <row r="14" customFormat="false" ht="15" hidden="false" customHeight="true" outlineLevel="0" collapsed="false">
      <c r="A14" s="37" t="n">
        <v>7</v>
      </c>
      <c r="B14" s="37" t="s">
        <v>2625</v>
      </c>
      <c r="C14" s="37" t="s">
        <v>2626</v>
      </c>
      <c r="D14" s="787"/>
      <c r="E14" s="788"/>
      <c r="F14" s="789"/>
      <c r="G14" s="790"/>
      <c r="H14" s="788"/>
      <c r="I14" s="789"/>
      <c r="J14" s="789"/>
      <c r="K14" s="789"/>
      <c r="L14" s="790"/>
      <c r="M14" s="394" t="str">
        <f aca="false">IFERROR(AVERAGE(E14:L14),"")</f>
        <v/>
      </c>
      <c r="N14" s="84" t="str">
        <f aca="false">IF(E14&lt;&gt;"",IF(COUNTIF(E14:L14,"&lt;3"),"Не успевает","Успевает"),"")</f>
        <v/>
      </c>
      <c r="O14" s="241" t="str">
        <f aca="false">IF(D14&lt;&gt;"",(30*(set!B$5)-D14)/(30*(set!B$5))*100,"")</f>
        <v/>
      </c>
      <c r="P14" s="77" t="str">
        <f aca="false" t="array" ref="P14:P14">IF(E14&lt;&gt;"",IF(M14&lt;1.85,"Выговор",IF(M14=1.85,"Выговор",IF(AND(M14&gt;1.85,M14&lt;3),"Предупреждение",IF(AND(M14&gt;3,M14&lt;4.65),"Нормально",IF(AND(M14&gt;4.65,M14&lt;5.1,E14:L14&gt;=4),"Благодарность","Нормально"))))),"")</f>
        <v/>
      </c>
      <c r="Q14" s="36" t="n">
        <f aca="false">COUNTIF(E14:L14,2)+COUNTIF(E14:L14,1)+COUNTIF(E14:L14,0)</f>
        <v>0</v>
      </c>
      <c r="R14" s="418"/>
    </row>
    <row r="15" s="45" customFormat="true" ht="15" hidden="false" customHeight="true" outlineLevel="0" collapsed="false">
      <c r="A15" s="37" t="n">
        <v>8</v>
      </c>
      <c r="B15" s="37" t="s">
        <v>2627</v>
      </c>
      <c r="C15" s="37" t="s">
        <v>2628</v>
      </c>
      <c r="D15" s="787"/>
      <c r="E15" s="791"/>
      <c r="F15" s="792"/>
      <c r="G15" s="793"/>
      <c r="H15" s="791"/>
      <c r="I15" s="792"/>
      <c r="J15" s="792"/>
      <c r="K15" s="792"/>
      <c r="L15" s="793"/>
      <c r="M15" s="394" t="str">
        <f aca="false">IFERROR(AVERAGE(E15:L15),"")</f>
        <v/>
      </c>
      <c r="N15" s="84" t="str">
        <f aca="false">IF(E15&lt;&gt;"",IF(COUNTIF(E15:L15,"&lt;3"),"Не успевает","Успевает"),"")</f>
        <v/>
      </c>
      <c r="O15" s="241" t="str">
        <f aca="false">IF(D15&lt;&gt;"",(30*(set!B$5)-D15)/(30*(set!B$5))*100,"")</f>
        <v/>
      </c>
      <c r="P15" s="77" t="str">
        <f aca="false" t="array" ref="P15:P15">IF(E15&lt;&gt;"",IF(M15&lt;1.85,"Выговор",IF(M15=1.85,"Выговор",IF(AND(M15&gt;1.85,M15&lt;3),"Предупреждение",IF(AND(M15&gt;3,M15&lt;4.65),"Нормально",IF(AND(M15&gt;4.65,M15&lt;5.1,E15:L15&gt;=4),"Благодарность","Нормально"))))),"")</f>
        <v/>
      </c>
      <c r="Q15" s="36" t="n">
        <f aca="false">COUNTIF(E15:L15,2)+COUNTIF(E15:L15,1)+COUNTIF(E15:L15,0)</f>
        <v>0</v>
      </c>
      <c r="R15" s="418"/>
    </row>
    <row r="16" s="45" customFormat="true" ht="15" hidden="false" customHeight="true" outlineLevel="0" collapsed="false">
      <c r="A16" s="37" t="n">
        <v>9</v>
      </c>
      <c r="B16" s="37" t="s">
        <v>2629</v>
      </c>
      <c r="C16" s="37" t="s">
        <v>2630</v>
      </c>
      <c r="D16" s="787"/>
      <c r="E16" s="788"/>
      <c r="F16" s="789"/>
      <c r="G16" s="790"/>
      <c r="H16" s="788"/>
      <c r="I16" s="789"/>
      <c r="J16" s="789"/>
      <c r="K16" s="789"/>
      <c r="L16" s="790"/>
      <c r="M16" s="394" t="str">
        <f aca="false">IFERROR(AVERAGE(E16:L16),"")</f>
        <v/>
      </c>
      <c r="N16" s="84" t="str">
        <f aca="false">IF(E16&lt;&gt;"",IF(COUNTIF(E16:L16,"&lt;3"),"Не успевает","Успевает"),"")</f>
        <v/>
      </c>
      <c r="O16" s="241" t="str">
        <f aca="false">IF(D16&lt;&gt;"",(30*(set!B$5)-D16)/(30*(set!B$5))*100,"")</f>
        <v/>
      </c>
      <c r="P16" s="77" t="str">
        <f aca="false" t="array" ref="P16:P16">IF(E16&lt;&gt;"",IF(M16&lt;1.85,"Выговор",IF(M16=1.85,"Выговор",IF(AND(M16&gt;1.85,M16&lt;3),"Предупреждение",IF(AND(M16&gt;3,M16&lt;4.65),"Нормально",IF(AND(M16&gt;4.65,M16&lt;5.1,E16:L16&gt;=4),"Благодарность","Нормально"))))),"")</f>
        <v/>
      </c>
      <c r="Q16" s="36" t="n">
        <f aca="false">COUNTIF(E16:L16,2)+COUNTIF(E16:L16,1)+COUNTIF(E16:L16,0)</f>
        <v>0</v>
      </c>
      <c r="R16" s="418"/>
    </row>
    <row r="17" s="45" customFormat="true" ht="15" hidden="false" customHeight="true" outlineLevel="0" collapsed="false">
      <c r="A17" s="37" t="n">
        <v>10</v>
      </c>
      <c r="B17" s="37" t="s">
        <v>2631</v>
      </c>
      <c r="C17" s="37" t="s">
        <v>2632</v>
      </c>
      <c r="D17" s="787"/>
      <c r="E17" s="788"/>
      <c r="F17" s="789"/>
      <c r="G17" s="790"/>
      <c r="H17" s="788"/>
      <c r="I17" s="789"/>
      <c r="J17" s="789"/>
      <c r="K17" s="789"/>
      <c r="L17" s="790"/>
      <c r="M17" s="394" t="str">
        <f aca="false">IFERROR(AVERAGE(E17:L17),"")</f>
        <v/>
      </c>
      <c r="N17" s="84" t="str">
        <f aca="false">IF(E17&lt;&gt;"",IF(COUNTIF(E17:L17,"&lt;3"),"Не успевает","Успевает"),"")</f>
        <v/>
      </c>
      <c r="O17" s="241" t="str">
        <f aca="false">IF(D17&lt;&gt;"",(30*(set!B$5)-D17)/(30*(set!B$5))*100,"")</f>
        <v/>
      </c>
      <c r="P17" s="77" t="str">
        <f aca="false" t="array" ref="P17:P17">IF(E17&lt;&gt;"",IF(M17&lt;1.85,"Выговор",IF(M17=1.85,"Выговор",IF(AND(M17&gt;1.85,M17&lt;3),"Предупреждение",IF(AND(M17&gt;3,M17&lt;4.65),"Нормально",IF(AND(M17&gt;4.65,M17&lt;5.1,E17:L17&gt;=4),"Благодарность","Нормально"))))),"")</f>
        <v/>
      </c>
      <c r="Q17" s="36" t="n">
        <f aca="false">COUNTIF(E17:L17,2)+COUNTIF(E17:L17,1)+COUNTIF(E17:L17,0)</f>
        <v>0</v>
      </c>
      <c r="R17" s="418"/>
    </row>
    <row r="18" s="45" customFormat="true" ht="15" hidden="false" customHeight="true" outlineLevel="0" collapsed="false">
      <c r="A18" s="37" t="n">
        <v>11</v>
      </c>
      <c r="B18" s="37" t="s">
        <v>2633</v>
      </c>
      <c r="C18" s="37" t="s">
        <v>2634</v>
      </c>
      <c r="D18" s="787"/>
      <c r="E18" s="788"/>
      <c r="F18" s="789"/>
      <c r="G18" s="790"/>
      <c r="H18" s="788"/>
      <c r="I18" s="789"/>
      <c r="J18" s="789"/>
      <c r="K18" s="789"/>
      <c r="L18" s="790"/>
      <c r="M18" s="394" t="str">
        <f aca="false">IFERROR(AVERAGE(E18:L18),"")</f>
        <v/>
      </c>
      <c r="N18" s="84" t="str">
        <f aca="false">IF(E18&lt;&gt;"",IF(COUNTIF(E18:L18,"&lt;3"),"Не успевает","Успевает"),"")</f>
        <v/>
      </c>
      <c r="O18" s="241" t="str">
        <f aca="false">IF(D18&lt;&gt;"",(30*(set!B$5)-D18)/(30*(set!B$5))*100,"")</f>
        <v/>
      </c>
      <c r="P18" s="77" t="str">
        <f aca="false" t="array" ref="P18:P18">IF(E18&lt;&gt;"",IF(M18&lt;1.85,"Выговор",IF(M18=1.85,"Выговор",IF(AND(M18&gt;1.85,M18&lt;3),"Предупреждение",IF(AND(M18&gt;3,M18&lt;4.65),"Нормально",IF(AND(M18&gt;4.65,M18&lt;5.1,E18:L18&gt;=4),"Благодарность","Нормально"))))),"")</f>
        <v/>
      </c>
      <c r="Q18" s="36" t="n">
        <f aca="false">COUNTIF(E18:L18,2)+COUNTIF(E18:L18,1)+COUNTIF(E18:L18,0)</f>
        <v>0</v>
      </c>
      <c r="R18" s="418"/>
    </row>
    <row r="19" s="45" customFormat="true" ht="15" hidden="false" customHeight="true" outlineLevel="0" collapsed="false">
      <c r="A19" s="37" t="n">
        <v>12</v>
      </c>
      <c r="B19" s="37" t="s">
        <v>2635</v>
      </c>
      <c r="C19" s="37" t="s">
        <v>2636</v>
      </c>
      <c r="D19" s="787"/>
      <c r="E19" s="788"/>
      <c r="F19" s="789"/>
      <c r="G19" s="790"/>
      <c r="H19" s="788"/>
      <c r="I19" s="789"/>
      <c r="J19" s="789"/>
      <c r="K19" s="789"/>
      <c r="L19" s="790"/>
      <c r="M19" s="394" t="str">
        <f aca="false">IFERROR(AVERAGE(E19:L19),"")</f>
        <v/>
      </c>
      <c r="N19" s="84" t="str">
        <f aca="false">IF(E19&lt;&gt;"",IF(COUNTIF(E19:L19,"&lt;3"),"Не успевает","Успевает"),"")</f>
        <v/>
      </c>
      <c r="O19" s="241" t="str">
        <f aca="false">IF(D19&lt;&gt;"",(30*(set!B$5)-D19)/(30*(set!B$5))*100,"")</f>
        <v/>
      </c>
      <c r="P19" s="77" t="str">
        <f aca="false" t="array" ref="P19:P19">IF(E19&lt;&gt;"",IF(M19&lt;1.85,"Выговор",IF(M19=1.85,"Выговор",IF(AND(M19&gt;1.85,M19&lt;3),"Предупреждение",IF(AND(M19&gt;3,M19&lt;4.65),"Нормально",IF(AND(M19&gt;4.65,M19&lt;5.1,E19:L19&gt;=4),"Благодарность","Нормально"))))),"")</f>
        <v/>
      </c>
      <c r="Q19" s="36" t="n">
        <f aca="false">COUNTIF(E19:L19,2)+COUNTIF(E19:L19,1)+COUNTIF(E19:L19,0)</f>
        <v>0</v>
      </c>
      <c r="R19" s="418"/>
    </row>
    <row r="20" s="45" customFormat="true" ht="15" hidden="false" customHeight="true" outlineLevel="0" collapsed="false">
      <c r="A20" s="37" t="n">
        <v>13</v>
      </c>
      <c r="B20" s="37" t="s">
        <v>2637</v>
      </c>
      <c r="C20" s="37" t="s">
        <v>2638</v>
      </c>
      <c r="D20" s="787"/>
      <c r="E20" s="788"/>
      <c r="F20" s="789"/>
      <c r="G20" s="790"/>
      <c r="H20" s="788"/>
      <c r="I20" s="789"/>
      <c r="J20" s="789"/>
      <c r="K20" s="789"/>
      <c r="L20" s="790"/>
      <c r="M20" s="394" t="str">
        <f aca="false">IFERROR(AVERAGE(E20:L20),"")</f>
        <v/>
      </c>
      <c r="N20" s="84" t="str">
        <f aca="false">IF(E20&lt;&gt;"",IF(COUNTIF(E20:L20,"&lt;3"),"Не успевает","Успевает"),"")</f>
        <v/>
      </c>
      <c r="O20" s="241" t="str">
        <f aca="false">IF(D20&lt;&gt;"",(30*(set!B$5)-D20)/(30*(set!B$5))*100,"")</f>
        <v/>
      </c>
      <c r="P20" s="77" t="str">
        <f aca="false" t="array" ref="P20:P20">IF(E20&lt;&gt;"",IF(M20&lt;1.85,"Выговор",IF(M20=1.85,"Выговор",IF(AND(M20&gt;1.85,M20&lt;3),"Предупреждение",IF(AND(M20&gt;3,M20&lt;4.65),"Нормально",IF(AND(M20&gt;4.65,M20&lt;5.1,E20:L20&gt;=4),"Благодарность","Нормально"))))),"")</f>
        <v/>
      </c>
      <c r="Q20" s="36" t="n">
        <f aca="false">COUNTIF(E20:L20,2)+COUNTIF(E20:L20,1)+COUNTIF(E20:L20,0)</f>
        <v>0</v>
      </c>
      <c r="R20" s="418"/>
    </row>
    <row r="21" customFormat="false" ht="15" hidden="false" customHeight="true" outlineLevel="0" collapsed="false">
      <c r="A21" s="37" t="n">
        <v>14</v>
      </c>
      <c r="B21" s="37" t="s">
        <v>2639</v>
      </c>
      <c r="C21" s="37" t="s">
        <v>2640</v>
      </c>
      <c r="D21" s="787"/>
      <c r="E21" s="788"/>
      <c r="F21" s="789"/>
      <c r="G21" s="790"/>
      <c r="H21" s="788"/>
      <c r="I21" s="789"/>
      <c r="J21" s="789"/>
      <c r="K21" s="789"/>
      <c r="L21" s="790"/>
      <c r="M21" s="585" t="str">
        <f aca="false">IFERROR(AVERAGE(E21:L21),"")</f>
        <v/>
      </c>
      <c r="N21" s="84" t="str">
        <f aca="false">IF(E21&lt;&gt;"",IF(COUNTIF(E21:L21,"&lt;3"),"Не успевает","Успевает"),"")</f>
        <v/>
      </c>
      <c r="O21" s="241" t="str">
        <f aca="false">IF(D21&lt;&gt;"",(30*(set!B$5)-D21)/(30*(set!B$5))*100,"")</f>
        <v/>
      </c>
      <c r="P21" s="85" t="str">
        <f aca="false" t="array" ref="P21:P21">IF(E21&lt;&gt;"",IF(M21&lt;1.85,"Выговор",IF(M21=1.85,"Выговор",IF(AND(M21&gt;1.85,M21&lt;3),"Предупреждение",IF(AND(M21&gt;3,M21&lt;4.65),"Нормально",IF(AND(M21&gt;4.65,M21&lt;5.1,E21:L21&gt;=4),"Благодарность","Нормально"))))),"")</f>
        <v/>
      </c>
      <c r="Q21" s="118" t="n">
        <f aca="false">COUNTIF(E21:L21,2)+COUNTIF(E21:L21,1)+COUNTIF(E21:L21,0)</f>
        <v>0</v>
      </c>
      <c r="R21" s="418"/>
    </row>
    <row r="22" customFormat="false" ht="15" hidden="false" customHeight="true" outlineLevel="0" collapsed="false">
      <c r="A22" s="0" t="s">
        <v>77</v>
      </c>
      <c r="D22" s="794"/>
      <c r="E22" s="229" t="e">
        <f aca="false">AVERAGE(E7:E21)</f>
        <v>#DIV/0!</v>
      </c>
      <c r="F22" s="229" t="e">
        <f aca="false">AVERAGE(F7:F21)</f>
        <v>#DIV/0!</v>
      </c>
      <c r="G22" s="229" t="e">
        <f aca="false">AVERAGE(G7:G21)</f>
        <v>#DIV/0!</v>
      </c>
      <c r="H22" s="229" t="e">
        <f aca="false">AVERAGE(H7:H21)</f>
        <v>#DIV/0!</v>
      </c>
      <c r="I22" s="229" t="e">
        <f aca="false">AVERAGE(I7:I21)</f>
        <v>#DIV/0!</v>
      </c>
      <c r="J22" s="229" t="e">
        <f aca="false">AVERAGE(J7:J21)</f>
        <v>#DIV/0!</v>
      </c>
      <c r="K22" s="229" t="e">
        <f aca="false">AVERAGE(K7:K21)</f>
        <v>#DIV/0!</v>
      </c>
      <c r="L22" s="229" t="e">
        <f aca="false">AVERAGE(L7:L21)</f>
        <v>#DIV/0!</v>
      </c>
      <c r="M22" s="617"/>
      <c r="N22" s="48"/>
      <c r="O22" s="49"/>
      <c r="Q22" s="423"/>
    </row>
    <row r="23" customFormat="false" ht="15" hidden="false" customHeight="true" outlineLevel="0" collapsed="false">
      <c r="A23" s="0" t="s">
        <v>78</v>
      </c>
      <c r="D23" s="794"/>
      <c r="E23" s="49" t="e">
        <f aca="false">(COUNTIF(E8:E21,5)+COUNTIF(E8:E21,4)+COUNTIF(E8:E21,3))/$T$29*100</f>
        <v>#DIV/0!</v>
      </c>
      <c r="F23" s="49" t="e">
        <f aca="false">(COUNTIF(F8:F21,5)+COUNTIF(F8:F21,4)+COUNTIF(F8:F21,3))/$T$29*100</f>
        <v>#DIV/0!</v>
      </c>
      <c r="G23" s="49" t="e">
        <f aca="false">(COUNTIF(G8:G21,5)+COUNTIF(G8:G21,4)+COUNTIF(G8:G21,3))/$T$29*100</f>
        <v>#DIV/0!</v>
      </c>
      <c r="H23" s="49" t="e">
        <f aca="false">(COUNTIF(H8:H21,5)+COUNTIF(H8:H21,4)+COUNTIF(H8:H21,3))/$T$29*100</f>
        <v>#DIV/0!</v>
      </c>
      <c r="I23" s="49" t="e">
        <f aca="false">(COUNTIF(I8:I21,5)+COUNTIF(I8:I21,4)+COUNTIF(I8:I21,3))/$T$29*100</f>
        <v>#DIV/0!</v>
      </c>
      <c r="J23" s="49" t="e">
        <f aca="false">(COUNTIF(J8:J21,5)+COUNTIF(J8:J21,4)+COUNTIF(J8:J21,3))/$T$29*100</f>
        <v>#DIV/0!</v>
      </c>
      <c r="K23" s="49" t="e">
        <f aca="false">(COUNTIF(K8:K21,5)+COUNTIF(K8:K21,4)+COUNTIF(K8:K21,3))/$T$29*100</f>
        <v>#DIV/0!</v>
      </c>
      <c r="L23" s="49" t="e">
        <f aca="false">(COUNTIF(L8:L21,5)+COUNTIF(L8:L21,4)+COUNTIF(L8:L21,3))/$T$29*100</f>
        <v>#DIV/0!</v>
      </c>
      <c r="M23" s="48"/>
      <c r="N23" s="48"/>
      <c r="O23" s="47"/>
      <c r="P23" s="48"/>
      <c r="Q23" s="49"/>
      <c r="R23" s="242"/>
      <c r="S23" s="242"/>
    </row>
    <row r="24" customFormat="false" ht="15" hidden="false" customHeight="true" outlineLevel="0" collapsed="false">
      <c r="D24" s="794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7"/>
      <c r="P24" s="48"/>
      <c r="Q24" s="49"/>
      <c r="R24" s="242"/>
      <c r="S24" s="242"/>
    </row>
    <row r="25" customFormat="false" ht="15" hidden="false" customHeight="true" outlineLevel="0" collapsed="false">
      <c r="D25" s="46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</row>
    <row r="26" customFormat="false" ht="15" hidden="false" customHeight="true" outlineLevel="0" collapsed="false">
      <c r="M26" s="48"/>
      <c r="N26" s="48"/>
      <c r="O26" s="48"/>
      <c r="P26" s="48"/>
      <c r="Q26" s="48"/>
    </row>
    <row r="27" customFormat="false" ht="15" hidden="false" customHeight="true" outlineLevel="0" collapsed="false">
      <c r="B27" s="50"/>
      <c r="C27" s="50" t="s">
        <v>8</v>
      </c>
      <c r="D27" s="51" t="str">
        <f aca="false">IFERROR(AVERAGE(M8:M21),"")</f>
        <v/>
      </c>
      <c r="E27" s="52" t="s">
        <v>9</v>
      </c>
      <c r="F27" s="52"/>
      <c r="G27" s="53" t="str">
        <f aca="false">IFERROR(COUNTIF(N8:N21,"Успевает")/T29*100,"")</f>
        <v/>
      </c>
      <c r="H27" s="319" t="s">
        <v>79</v>
      </c>
      <c r="I27" s="319"/>
      <c r="J27" s="795" t="str">
        <f aca="false">IFERROR(AVERAGE(O8:O21),"")</f>
        <v/>
      </c>
      <c r="K27" s="795"/>
      <c r="L27" s="521"/>
      <c r="M27" s="55"/>
      <c r="N27" s="158"/>
    </row>
    <row r="28" customFormat="false" ht="15" hidden="false" customHeight="true" outlineLevel="0" collapsed="false">
      <c r="B28" s="50"/>
      <c r="C28" s="50"/>
      <c r="D28" s="50"/>
      <c r="E28" s="56"/>
      <c r="F28" s="56"/>
      <c r="G28" s="56"/>
      <c r="H28" s="56"/>
      <c r="I28" s="56"/>
      <c r="J28" s="56"/>
      <c r="K28" s="56"/>
      <c r="L28" s="56"/>
      <c r="M28" s="56"/>
      <c r="N28" s="56"/>
    </row>
    <row r="29" customFormat="false" ht="15" hidden="false" customHeight="true" outlineLevel="0" collapsed="false">
      <c r="A29" s="50"/>
      <c r="B29" s="261" t="s">
        <v>81</v>
      </c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 t="s">
        <v>82</v>
      </c>
      <c r="N29" s="261"/>
      <c r="O29" s="261"/>
      <c r="Q29" s="57" t="s">
        <v>80</v>
      </c>
      <c r="R29" s="57"/>
      <c r="S29" s="57"/>
      <c r="T29" s="58" t="n">
        <f aca="false">SUM(T30,T31)</f>
        <v>0</v>
      </c>
    </row>
    <row r="30" customFormat="false" ht="15" hidden="false" customHeight="true" outlineLevel="0" collapsed="false">
      <c r="A30" s="50"/>
      <c r="B30" s="141" t="str">
        <f aca="false">$E$6</f>
        <v> Основы системного анализа</v>
      </c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212"/>
      <c r="N30" s="212"/>
      <c r="O30" s="212"/>
      <c r="Q30" s="57" t="s">
        <v>83</v>
      </c>
      <c r="R30" s="57"/>
      <c r="S30" s="57"/>
      <c r="T30" s="58" t="n">
        <f aca="false">COUNTIF(N8:N21,"Успевает")</f>
        <v>0</v>
      </c>
    </row>
    <row r="31" customFormat="false" ht="15" hidden="false" customHeight="true" outlineLevel="0" collapsed="false">
      <c r="A31" s="50"/>
      <c r="B31" s="141" t="str">
        <f aca="false">$F$6</f>
        <v> Устранение сбоев, ошибок и отказов сетевых устройств и операционных систем</v>
      </c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212"/>
      <c r="N31" s="212"/>
      <c r="O31" s="212"/>
      <c r="Q31" s="98" t="s">
        <v>84</v>
      </c>
      <c r="R31" s="98"/>
      <c r="S31" s="98"/>
      <c r="T31" s="58" t="n">
        <f aca="false">COUNTIF(N8:N21,"Не успевает")</f>
        <v>0</v>
      </c>
    </row>
    <row r="32" customFormat="false" ht="15" hidden="false" customHeight="true" outlineLevel="0" collapsed="false">
      <c r="A32" s="50"/>
      <c r="B32" s="141" t="str">
        <f aca="false">$G$6</f>
        <v> Эргономический анализ человеко-машинных интерфейсов</v>
      </c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212"/>
      <c r="N32" s="212"/>
      <c r="O32" s="212"/>
      <c r="Q32" s="98" t="s">
        <v>85</v>
      </c>
      <c r="R32" s="98"/>
      <c r="S32" s="98"/>
      <c r="T32" s="58" t="n">
        <f aca="false">COUNTIF(P8:P21,"Благодарность")</f>
        <v>0</v>
      </c>
    </row>
    <row r="33" customFormat="false" ht="15" hidden="false" customHeight="true" outlineLevel="0" collapsed="false">
      <c r="A33" s="50"/>
      <c r="B33" s="141" t="str">
        <f aca="false">$H$6</f>
        <v>Наукоемкие технологии в разработке систем обработки информации (к.п.)</v>
      </c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212"/>
      <c r="N33" s="212"/>
      <c r="O33" s="212"/>
      <c r="Q33" s="98" t="s">
        <v>86</v>
      </c>
      <c r="R33" s="98"/>
      <c r="S33" s="98"/>
      <c r="T33" s="58" t="n">
        <f aca="false">COUNTIF(P8:P21,"Нормально")</f>
        <v>0</v>
      </c>
    </row>
    <row r="34" customFormat="false" ht="15" hidden="false" customHeight="true" outlineLevel="0" collapsed="false">
      <c r="A34" s="50"/>
      <c r="B34" s="141" t="str">
        <f aca="false">$I$6</f>
        <v> Параллельные процессы в информационных
системах</v>
      </c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212"/>
      <c r="N34" s="212"/>
      <c r="O34" s="212"/>
      <c r="Q34" s="98" t="s">
        <v>87</v>
      </c>
      <c r="R34" s="98"/>
      <c r="S34" s="98"/>
      <c r="T34" s="58" t="n">
        <f aca="false">COUNTIF(P8:P21,"Предупреждение")</f>
        <v>0</v>
      </c>
    </row>
    <row r="35" customFormat="false" ht="15" hidden="false" customHeight="true" outlineLevel="0" collapsed="false">
      <c r="A35" s="50"/>
      <c r="B35" s="141" t="str">
        <f aca="false">$J$6</f>
        <v>Педагогическая практика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212"/>
      <c r="N35" s="212"/>
      <c r="O35" s="212"/>
      <c r="Q35" s="98" t="s">
        <v>88</v>
      </c>
      <c r="R35" s="98"/>
      <c r="S35" s="98"/>
      <c r="T35" s="58" t="n">
        <f aca="false">COUNTIF(P8:P21,"Выговор")</f>
        <v>0</v>
      </c>
    </row>
    <row r="36" customFormat="false" ht="15" hidden="false" customHeight="true" outlineLevel="0" collapsed="false">
      <c r="A36" s="50"/>
      <c r="B36" s="141" t="str">
        <f aca="false">$K$6</f>
        <v> Перспективные технологии разработки программных средств</v>
      </c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212"/>
      <c r="N36" s="212"/>
      <c r="O36" s="212"/>
      <c r="Q36" s="336" t="s">
        <v>1575</v>
      </c>
      <c r="R36" s="336"/>
      <c r="S36" s="336"/>
      <c r="T36" s="143" t="n">
        <f aca="false">SUM(Q8:Q21)</f>
        <v>0</v>
      </c>
    </row>
    <row r="37" s="45" customFormat="true" ht="15" hidden="false" customHeight="true" outlineLevel="0" collapsed="false">
      <c r="A37" s="50"/>
      <c r="B37" s="141" t="str">
        <f aca="false">$L$6</f>
        <v>Проектно-технологическая практика</v>
      </c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212"/>
      <c r="N37" s="212"/>
      <c r="O37" s="212"/>
    </row>
    <row r="38" s="45" customFormat="true" ht="15" hidden="false" customHeight="true" outlineLevel="0" collapsed="false">
      <c r="A38" s="50"/>
      <c r="B38" s="139"/>
      <c r="C38" s="139"/>
      <c r="D38" s="139"/>
      <c r="E38" s="139"/>
      <c r="F38" s="139"/>
      <c r="G38" s="139"/>
      <c r="H38" s="139"/>
      <c r="I38" s="139"/>
      <c r="J38" s="139"/>
      <c r="K38" s="139"/>
      <c r="L38" s="139"/>
      <c r="M38" s="139"/>
      <c r="N38" s="139"/>
      <c r="O38" s="139"/>
    </row>
    <row r="39" s="45" customFormat="true" ht="15" hidden="false" customHeight="true" outlineLevel="0" collapsed="false">
      <c r="A39" s="50"/>
      <c r="B39" s="139"/>
      <c r="C39" s="139"/>
      <c r="D39" s="139"/>
      <c r="E39" s="139"/>
      <c r="F39" s="139"/>
      <c r="G39" s="139"/>
      <c r="H39" s="139"/>
      <c r="I39" s="139"/>
      <c r="J39" s="139"/>
      <c r="K39" s="139"/>
      <c r="L39" s="139"/>
      <c r="M39" s="139"/>
      <c r="N39" s="139"/>
      <c r="O39" s="139"/>
    </row>
    <row r="40" customFormat="false" ht="12.75" hidden="false" customHeight="true" outlineLevel="0" collapsed="false">
      <c r="A40" s="50"/>
      <c r="B40" s="73" t="s">
        <v>89</v>
      </c>
      <c r="C40" s="449" t="s">
        <v>2641</v>
      </c>
      <c r="D40" s="449"/>
      <c r="E40" s="67"/>
      <c r="F40" s="52" t="s">
        <v>407</v>
      </c>
      <c r="G40" s="300" t="s">
        <v>2609</v>
      </c>
      <c r="H40" s="52"/>
      <c r="I40" s="52"/>
      <c r="J40" s="52"/>
      <c r="K40" s="52"/>
      <c r="L40" s="52"/>
      <c r="M40" s="50"/>
      <c r="N40" s="139"/>
      <c r="O40" s="139"/>
      <c r="P40" s="67"/>
      <c r="Q40" s="48"/>
    </row>
    <row r="41" customFormat="false" ht="15" hidden="false" customHeight="true" outlineLevel="0" collapsed="false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139"/>
      <c r="O41" s="139"/>
      <c r="P41" s="67"/>
      <c r="Q41" s="48"/>
    </row>
    <row r="42" customFormat="false" ht="15" hidden="false" customHeight="true" outlineLevel="0" collapsed="false">
      <c r="A42" s="50"/>
      <c r="B42" s="50" t="s">
        <v>93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67"/>
    </row>
    <row r="43" customFormat="false" ht="15" hidden="false" customHeight="true" outlineLevel="0" collapsed="false">
      <c r="A43" s="50"/>
      <c r="B43" s="50" t="s">
        <v>94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48"/>
    </row>
    <row r="44" customFormat="false" ht="15" hidden="false" customHeight="true" outlineLevel="0" collapsed="false">
      <c r="A44" s="50"/>
      <c r="B44" s="50" t="s">
        <v>95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48"/>
    </row>
    <row r="45" customFormat="false" ht="15" hidden="false" customHeight="true" outlineLevel="0" collapsed="false">
      <c r="A45" s="50"/>
      <c r="B45" s="50" t="s">
        <v>96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48"/>
    </row>
    <row r="46" customFormat="false" ht="15" hidden="false" customHeight="true" outlineLevel="0" collapsed="false">
      <c r="A46" s="50"/>
      <c r="B46" s="50" t="s">
        <v>97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48"/>
    </row>
    <row r="47" customFormat="false" ht="15" hidden="false" customHeight="true" outlineLevel="0" collapsed="false">
      <c r="A47" s="50"/>
      <c r="B47" s="50" t="s">
        <v>98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48"/>
    </row>
    <row r="48" customFormat="false" ht="15" hidden="false" customHeight="true" outlineLevel="0" collapsed="false">
      <c r="A48" s="50"/>
      <c r="B48" s="50" t="s">
        <v>99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48"/>
    </row>
    <row r="49" customFormat="false" ht="15" hidden="false" customHeight="true" outlineLevel="0" collapsed="false">
      <c r="A49" s="50"/>
      <c r="N49" s="48"/>
    </row>
    <row r="50" customFormat="false" ht="15" hidden="false" customHeight="true" outlineLevel="0" collapsed="false">
      <c r="A50" s="50"/>
      <c r="N50" s="48"/>
    </row>
    <row r="51" customFormat="false" ht="15" hidden="false" customHeight="true" outlineLevel="0" collapsed="false">
      <c r="A51" s="50"/>
      <c r="N51" s="48"/>
    </row>
    <row r="52" customFormat="false" ht="15" hidden="false" customHeight="true" outlineLevel="0" collapsed="false">
      <c r="A52" s="50"/>
      <c r="N52" s="48"/>
    </row>
    <row r="53" customFormat="false" ht="15" hidden="false" customHeight="true" outlineLevel="0" collapsed="false"/>
    <row r="54" customFormat="false" ht="15" hidden="false" customHeight="true" outlineLevel="0" collapsed="false"/>
    <row r="55" customFormat="false" ht="15" hidden="false" customHeight="true" outlineLevel="0" collapsed="false"/>
    <row r="56" customFormat="false" ht="15" hidden="false" customHeight="true" outlineLevel="0" collapsed="false"/>
    <row r="57" customFormat="false" ht="15" hidden="false" customHeight="true" outlineLevel="0" collapsed="false"/>
  </sheetData>
  <mergeCells count="41">
    <mergeCell ref="C1:G1"/>
    <mergeCell ref="A3:N3"/>
    <mergeCell ref="A5:A7"/>
    <mergeCell ref="B5:B7"/>
    <mergeCell ref="C5:C7"/>
    <mergeCell ref="D5:D7"/>
    <mergeCell ref="E5:G5"/>
    <mergeCell ref="H5:L5"/>
    <mergeCell ref="M5:M7"/>
    <mergeCell ref="N5:N7"/>
    <mergeCell ref="O5:O7"/>
    <mergeCell ref="P5:P7"/>
    <mergeCell ref="Q5:Q7"/>
    <mergeCell ref="H27:I27"/>
    <mergeCell ref="B29:L29"/>
    <mergeCell ref="M29:O29"/>
    <mergeCell ref="Q29:S29"/>
    <mergeCell ref="B30:L30"/>
    <mergeCell ref="M30:O30"/>
    <mergeCell ref="Q30:S30"/>
    <mergeCell ref="B31:L31"/>
    <mergeCell ref="M31:O31"/>
    <mergeCell ref="Q31:S31"/>
    <mergeCell ref="B32:L32"/>
    <mergeCell ref="M32:O32"/>
    <mergeCell ref="Q32:S32"/>
    <mergeCell ref="B33:L33"/>
    <mergeCell ref="M33:O33"/>
    <mergeCell ref="Q33:S33"/>
    <mergeCell ref="B34:L34"/>
    <mergeCell ref="M34:O34"/>
    <mergeCell ref="Q34:S34"/>
    <mergeCell ref="B35:L35"/>
    <mergeCell ref="M35:O35"/>
    <mergeCell ref="Q35:S35"/>
    <mergeCell ref="B36:L36"/>
    <mergeCell ref="M36:O36"/>
    <mergeCell ref="Q36:S36"/>
    <mergeCell ref="B37:L37"/>
    <mergeCell ref="M37:O37"/>
    <mergeCell ref="C40:D40"/>
  </mergeCells>
  <conditionalFormatting sqref="I15:K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6:K2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1:K21 I8:K14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H15 L1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H20 L16:L2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3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23:O23 E24:O2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2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5:N25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L23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:L22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H21 E8:H14 L21 L8:L14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21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9"/>
  <sheetViews>
    <sheetView showFormulas="false" showGridLines="true" showRowColHeaders="true" showZeros="true" rightToLeft="false" tabSelected="false" showOutlineSymbols="true" defaultGridColor="true" view="normal" topLeftCell="A5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71"/>
    <col collapsed="false" customWidth="true" hidden="false" outlineLevel="0" max="3" min="3" style="0" width="17.71"/>
    <col collapsed="false" customWidth="true" hidden="false" outlineLevel="0" max="14" min="14" style="0" width="11.43"/>
    <col collapsed="false" customWidth="true" hidden="false" outlineLevel="0" max="16" min="16" style="0" width="10.85"/>
    <col collapsed="false" customWidth="true" hidden="false" outlineLevel="0" max="17" min="17" style="0" width="11.85"/>
    <col collapsed="false" customWidth="true" hidden="false" outlineLevel="0" max="18" min="18" style="0" width="18.14"/>
    <col collapsed="false" customWidth="true" hidden="false" outlineLevel="0" max="19" min="19" style="0" width="5.29"/>
    <col collapsed="false" customWidth="true" hidden="false" outlineLevel="0" max="20" min="20" style="0" width="4.57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J2" s="5" t="s">
        <v>1</v>
      </c>
      <c r="K2" s="5"/>
      <c r="L2" s="5"/>
      <c r="M2" s="5"/>
      <c r="N2" s="6" t="n">
        <f aca="false">set!B4</f>
        <v>45608</v>
      </c>
      <c r="O2" s="364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ИУК6-11 факультета ИУК МГТУ им. Н.Э. Баумана"</f>
        <v>Успеваемость студентов за 1 семестр 24/25 учебного года по группе ИУК6-11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1"/>
      <c r="O5" s="796" t="s">
        <v>8</v>
      </c>
      <c r="P5" s="797" t="s">
        <v>9</v>
      </c>
      <c r="Q5" s="797" t="s">
        <v>10</v>
      </c>
      <c r="R5" s="201" t="s">
        <v>11</v>
      </c>
      <c r="S5" s="798" t="s">
        <v>2642</v>
      </c>
    </row>
    <row r="6" customFormat="false" ht="93" hidden="false" customHeight="true" outlineLevel="0" collapsed="false">
      <c r="A6" s="8"/>
      <c r="B6" s="8"/>
      <c r="C6" s="8"/>
      <c r="D6" s="9"/>
      <c r="E6" s="339" t="s">
        <v>542</v>
      </c>
      <c r="F6" s="340" t="s">
        <v>544</v>
      </c>
      <c r="G6" s="340" t="s">
        <v>546</v>
      </c>
      <c r="H6" s="602" t="s">
        <v>2643</v>
      </c>
      <c r="I6" s="340" t="s">
        <v>543</v>
      </c>
      <c r="J6" s="340" t="s">
        <v>18</v>
      </c>
      <c r="K6" s="340" t="s">
        <v>2644</v>
      </c>
      <c r="L6" s="340" t="s">
        <v>2645</v>
      </c>
      <c r="M6" s="340" t="s">
        <v>679</v>
      </c>
      <c r="N6" s="602" t="s">
        <v>147</v>
      </c>
      <c r="O6" s="796"/>
      <c r="P6" s="796"/>
      <c r="Q6" s="796"/>
      <c r="R6" s="201"/>
      <c r="S6" s="798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24</v>
      </c>
      <c r="G7" s="344" t="s">
        <v>2646</v>
      </c>
      <c r="H7" s="496" t="s">
        <v>2647</v>
      </c>
      <c r="I7" s="344" t="s">
        <v>26</v>
      </c>
      <c r="J7" s="407" t="s">
        <v>27</v>
      </c>
      <c r="K7" s="344" t="s">
        <v>549</v>
      </c>
      <c r="L7" s="344" t="s">
        <v>2648</v>
      </c>
      <c r="M7" s="344" t="s">
        <v>2649</v>
      </c>
      <c r="N7" s="496" t="s">
        <v>30</v>
      </c>
      <c r="O7" s="796"/>
      <c r="P7" s="796"/>
      <c r="Q7" s="796"/>
      <c r="R7" s="201"/>
      <c r="S7" s="798"/>
    </row>
    <row r="8" customFormat="false" ht="15" hidden="false" customHeight="false" outlineLevel="0" collapsed="false">
      <c r="A8" s="245" t="n">
        <v>1</v>
      </c>
      <c r="B8" s="25" t="s">
        <v>2650</v>
      </c>
      <c r="C8" s="25" t="s">
        <v>2651</v>
      </c>
      <c r="D8" s="799"/>
      <c r="E8" s="800"/>
      <c r="F8" s="801"/>
      <c r="G8" s="801"/>
      <c r="H8" s="802"/>
      <c r="I8" s="800"/>
      <c r="J8" s="801"/>
      <c r="K8" s="801"/>
      <c r="L8" s="801"/>
      <c r="M8" s="801"/>
      <c r="N8" s="802"/>
      <c r="O8" s="154" t="str">
        <f aca="false">IFERROR(AVERAGE(E8:N8),"")</f>
        <v/>
      </c>
      <c r="P8" s="117" t="str">
        <f aca="false">IF(E8&lt;&gt;"",IF(COUNTIF(E8:N8,"&lt;3"),"Не успевает","Успевает"),"")</f>
        <v/>
      </c>
      <c r="Q8" s="250" t="str">
        <f aca="false">IF(D8&lt;&gt;"",(30*(set!B$5)-D8)/(30*(set!B$5))*100,"")</f>
        <v/>
      </c>
      <c r="R8" s="85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118" t="n">
        <f aca="false">COUNTIF(E8:N8,2)+COUNTIF(E8:N8,1)+COUNTIF(E8:N8,0)</f>
        <v>0</v>
      </c>
    </row>
    <row r="9" customFormat="false" ht="15" hidden="false" customHeight="false" outlineLevel="0" collapsed="false">
      <c r="A9" s="85" t="n">
        <v>2</v>
      </c>
      <c r="B9" s="37" t="s">
        <v>2652</v>
      </c>
      <c r="C9" s="37" t="s">
        <v>2653</v>
      </c>
      <c r="D9" s="803"/>
      <c r="E9" s="804"/>
      <c r="F9" s="805"/>
      <c r="G9" s="805"/>
      <c r="H9" s="806"/>
      <c r="I9" s="804"/>
      <c r="J9" s="805"/>
      <c r="K9" s="805"/>
      <c r="L9" s="805"/>
      <c r="M9" s="805"/>
      <c r="N9" s="806"/>
      <c r="O9" s="154" t="str">
        <f aca="false">IFERROR(AVERAGE(E9:N9),"")</f>
        <v/>
      </c>
      <c r="P9" s="117" t="str">
        <f aca="false">IF(E9&lt;&gt;"",IF(COUNTIF(E9:N9,"&lt;3"),"Не успевает","Успевает"),"")</f>
        <v/>
      </c>
      <c r="Q9" s="250" t="str">
        <f aca="false">IF(D9&lt;&gt;"",(30*(set!B$5)-D9)/(30*(set!B$5))*100,"")</f>
        <v/>
      </c>
      <c r="R9" s="85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false" outlineLevel="0" collapsed="false">
      <c r="A10" s="251" t="n">
        <v>3</v>
      </c>
      <c r="B10" s="37" t="s">
        <v>2654</v>
      </c>
      <c r="C10" s="37" t="s">
        <v>2655</v>
      </c>
      <c r="D10" s="807"/>
      <c r="E10" s="804"/>
      <c r="F10" s="805"/>
      <c r="G10" s="805"/>
      <c r="H10" s="808"/>
      <c r="I10" s="804"/>
      <c r="J10" s="805"/>
      <c r="K10" s="805"/>
      <c r="L10" s="805"/>
      <c r="M10" s="805"/>
      <c r="N10" s="806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7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customFormat="false" ht="15" hidden="false" customHeight="false" outlineLevel="0" collapsed="false">
      <c r="A11" s="85" t="n">
        <v>4</v>
      </c>
      <c r="B11" s="37" t="s">
        <v>2656</v>
      </c>
      <c r="C11" s="37" t="s">
        <v>2657</v>
      </c>
      <c r="D11" s="807"/>
      <c r="E11" s="804"/>
      <c r="F11" s="805"/>
      <c r="G11" s="805"/>
      <c r="H11" s="808"/>
      <c r="I11" s="804"/>
      <c r="J11" s="805"/>
      <c r="K11" s="805"/>
      <c r="L11" s="805"/>
      <c r="M11" s="805"/>
      <c r="N11" s="806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7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customFormat="false" ht="15" hidden="false" customHeight="false" outlineLevel="0" collapsed="false">
      <c r="A12" s="251" t="n">
        <v>5</v>
      </c>
      <c r="B12" s="37" t="s">
        <v>2658</v>
      </c>
      <c r="C12" s="37" t="s">
        <v>2659</v>
      </c>
      <c r="D12" s="807"/>
      <c r="E12" s="804"/>
      <c r="F12" s="805"/>
      <c r="G12" s="805"/>
      <c r="H12" s="808"/>
      <c r="I12" s="804"/>
      <c r="J12" s="805"/>
      <c r="K12" s="805"/>
      <c r="L12" s="805"/>
      <c r="M12" s="805"/>
      <c r="N12" s="806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7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</row>
    <row r="13" customFormat="false" ht="15" hidden="false" customHeight="false" outlineLevel="0" collapsed="false">
      <c r="A13" s="85" t="n">
        <v>6</v>
      </c>
      <c r="B13" s="37" t="s">
        <v>2660</v>
      </c>
      <c r="C13" s="37" t="s">
        <v>2661</v>
      </c>
      <c r="D13" s="807"/>
      <c r="E13" s="804"/>
      <c r="F13" s="805"/>
      <c r="G13" s="805"/>
      <c r="H13" s="808"/>
      <c r="I13" s="804"/>
      <c r="J13" s="805"/>
      <c r="K13" s="805"/>
      <c r="L13" s="805"/>
      <c r="M13" s="805"/>
      <c r="N13" s="806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241" t="str">
        <f aca="false">IF(D13&lt;&gt;"",(30*(set!B$5)-D13)/(30*(set!B$5))*100,"")</f>
        <v/>
      </c>
      <c r="R13" s="7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customFormat="false" ht="15" hidden="false" customHeight="false" outlineLevel="0" collapsed="false">
      <c r="A14" s="251" t="n">
        <v>7</v>
      </c>
      <c r="B14" s="37" t="s">
        <v>2662</v>
      </c>
      <c r="C14" s="37" t="s">
        <v>2663</v>
      </c>
      <c r="D14" s="807"/>
      <c r="E14" s="804"/>
      <c r="F14" s="805"/>
      <c r="G14" s="805"/>
      <c r="H14" s="808"/>
      <c r="I14" s="804"/>
      <c r="J14" s="805"/>
      <c r="K14" s="805"/>
      <c r="L14" s="805"/>
      <c r="M14" s="805"/>
      <c r="N14" s="806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241" t="str">
        <f aca="false">IF(D14&lt;&gt;"",(30*(set!B$5)-D14)/(30*(set!B$5))*100,"")</f>
        <v/>
      </c>
      <c r="R14" s="77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</row>
    <row r="15" customFormat="false" ht="15" hidden="false" customHeight="false" outlineLevel="0" collapsed="false">
      <c r="A15" s="85" t="n">
        <v>8</v>
      </c>
      <c r="B15" s="37" t="s">
        <v>2664</v>
      </c>
      <c r="C15" s="37" t="s">
        <v>2665</v>
      </c>
      <c r="D15" s="807"/>
      <c r="E15" s="804"/>
      <c r="F15" s="805"/>
      <c r="G15" s="805"/>
      <c r="H15" s="808"/>
      <c r="I15" s="804"/>
      <c r="J15" s="805"/>
      <c r="K15" s="805"/>
      <c r="L15" s="805"/>
      <c r="M15" s="805"/>
      <c r="N15" s="806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241" t="str">
        <f aca="false">IF(D15&lt;&gt;"",(30*(set!B$5)-D15)/(30*(set!B$5))*100,"")</f>
        <v/>
      </c>
      <c r="R15" s="77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</row>
    <row r="16" customFormat="false" ht="15" hidden="false" customHeight="false" outlineLevel="0" collapsed="false">
      <c r="A16" s="251" t="n">
        <v>9</v>
      </c>
      <c r="B16" s="37" t="s">
        <v>2666</v>
      </c>
      <c r="C16" s="37" t="s">
        <v>2667</v>
      </c>
      <c r="D16" s="807"/>
      <c r="E16" s="804"/>
      <c r="F16" s="805"/>
      <c r="G16" s="805"/>
      <c r="H16" s="808"/>
      <c r="I16" s="804"/>
      <c r="J16" s="805"/>
      <c r="K16" s="805"/>
      <c r="L16" s="805"/>
      <c r="M16" s="805"/>
      <c r="N16" s="806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241" t="str">
        <f aca="false">IF(D16&lt;&gt;"",(30*(set!B$5)-D16)/(30*(set!B$5))*100,"")</f>
        <v/>
      </c>
      <c r="R16" s="77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</row>
    <row r="17" customFormat="false" ht="15" hidden="false" customHeight="false" outlineLevel="0" collapsed="false">
      <c r="A17" s="85" t="n">
        <v>10</v>
      </c>
      <c r="B17" s="37" t="s">
        <v>2668</v>
      </c>
      <c r="C17" s="37" t="s">
        <v>2669</v>
      </c>
      <c r="D17" s="807"/>
      <c r="E17" s="804"/>
      <c r="F17" s="805"/>
      <c r="G17" s="805"/>
      <c r="H17" s="808"/>
      <c r="I17" s="804"/>
      <c r="J17" s="805"/>
      <c r="K17" s="805"/>
      <c r="L17" s="805"/>
      <c r="M17" s="805"/>
      <c r="N17" s="806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241" t="str">
        <f aca="false">IF(D17&lt;&gt;"",(30*(set!B$5)-D17)/(30*(set!B$5))*100,"")</f>
        <v/>
      </c>
      <c r="R17" s="77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</row>
    <row r="18" customFormat="false" ht="15" hidden="false" customHeight="false" outlineLevel="0" collapsed="false">
      <c r="A18" s="251" t="n">
        <v>11</v>
      </c>
      <c r="B18" s="37" t="s">
        <v>2670</v>
      </c>
      <c r="C18" s="37" t="s">
        <v>2671</v>
      </c>
      <c r="D18" s="807"/>
      <c r="E18" s="804"/>
      <c r="F18" s="805"/>
      <c r="G18" s="805"/>
      <c r="H18" s="808"/>
      <c r="I18" s="804"/>
      <c r="J18" s="805"/>
      <c r="K18" s="805"/>
      <c r="L18" s="805"/>
      <c r="M18" s="805"/>
      <c r="N18" s="806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241" t="str">
        <f aca="false">IF(D18&lt;&gt;"",(30*(set!B$5)-D18)/(30*(set!B$5))*100,"")</f>
        <v/>
      </c>
      <c r="R18" s="77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</row>
    <row r="19" customFormat="false" ht="15" hidden="false" customHeight="false" outlineLevel="0" collapsed="false">
      <c r="A19" s="85" t="n">
        <v>12</v>
      </c>
      <c r="B19" s="37" t="s">
        <v>2672</v>
      </c>
      <c r="C19" s="37" t="s">
        <v>2673</v>
      </c>
      <c r="D19" s="807"/>
      <c r="E19" s="804"/>
      <c r="F19" s="805"/>
      <c r="G19" s="805"/>
      <c r="H19" s="808"/>
      <c r="I19" s="804"/>
      <c r="J19" s="805"/>
      <c r="K19" s="805"/>
      <c r="L19" s="805"/>
      <c r="M19" s="805"/>
      <c r="N19" s="806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241" t="str">
        <f aca="false">IF(D19&lt;&gt;"",(30*(set!B$5)-D19)/(30*(set!B$5))*100,"")</f>
        <v/>
      </c>
      <c r="R19" s="77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</row>
    <row r="20" customFormat="false" ht="15" hidden="false" customHeight="false" outlineLevel="0" collapsed="false">
      <c r="A20" s="251" t="n">
        <v>13</v>
      </c>
      <c r="B20" s="37" t="s">
        <v>2674</v>
      </c>
      <c r="C20" s="37" t="s">
        <v>2675</v>
      </c>
      <c r="D20" s="807"/>
      <c r="E20" s="804"/>
      <c r="F20" s="805"/>
      <c r="G20" s="805"/>
      <c r="H20" s="808"/>
      <c r="I20" s="804"/>
      <c r="J20" s="805"/>
      <c r="K20" s="805"/>
      <c r="L20" s="805"/>
      <c r="M20" s="805"/>
      <c r="N20" s="806"/>
      <c r="O20" s="33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241" t="str">
        <f aca="false">IF(D20&lt;&gt;"",(30*(set!B$5)-D20)/(30*(set!B$5))*100,"")</f>
        <v/>
      </c>
      <c r="R20" s="77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118" t="n">
        <f aca="false">COUNTIF(E20:N20,2)+COUNTIF(E20:N20,1)+COUNTIF(E20:N20,0)</f>
        <v>0</v>
      </c>
    </row>
    <row r="21" customFormat="false" ht="15" hidden="false" customHeight="false" outlineLevel="0" collapsed="false">
      <c r="A21" s="85" t="n">
        <v>14</v>
      </c>
      <c r="B21" s="37" t="s">
        <v>2676</v>
      </c>
      <c r="C21" s="37" t="s">
        <v>2677</v>
      </c>
      <c r="D21" s="807"/>
      <c r="E21" s="804"/>
      <c r="F21" s="805"/>
      <c r="G21" s="805"/>
      <c r="H21" s="808"/>
      <c r="I21" s="804"/>
      <c r="J21" s="805"/>
      <c r="K21" s="805"/>
      <c r="L21" s="805"/>
      <c r="M21" s="805"/>
      <c r="N21" s="806"/>
      <c r="O21" s="33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241" t="str">
        <f aca="false">IF(D21&lt;&gt;"",(30*(set!B$5)-D21)/(30*(set!B$5))*100,"")</f>
        <v/>
      </c>
      <c r="R21" s="77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118" t="n">
        <f aca="false">COUNTIF(E21:N21,2)+COUNTIF(E21:N21,1)+COUNTIF(E21:N21,0)</f>
        <v>0</v>
      </c>
    </row>
    <row r="22" customFormat="false" ht="15" hidden="false" customHeight="false" outlineLevel="0" collapsed="false">
      <c r="A22" s="251" t="n">
        <v>15</v>
      </c>
      <c r="B22" s="37" t="s">
        <v>2678</v>
      </c>
      <c r="C22" s="37" t="s">
        <v>2679</v>
      </c>
      <c r="D22" s="807"/>
      <c r="E22" s="804"/>
      <c r="F22" s="805"/>
      <c r="G22" s="805"/>
      <c r="H22" s="808"/>
      <c r="I22" s="804"/>
      <c r="J22" s="805"/>
      <c r="K22" s="805"/>
      <c r="L22" s="805"/>
      <c r="M22" s="805"/>
      <c r="N22" s="806"/>
      <c r="O22" s="33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241" t="str">
        <f aca="false">IF(D22&lt;&gt;"",(30*(set!B$5)-D22)/(30*(set!B$5))*100,"")</f>
        <v/>
      </c>
      <c r="R22" s="77" t="str">
        <f aca="false" t="array" ref="R22:R22">IF(E22&lt;&gt;"",IF(O22&lt;1.85,"Выговор",IF(O22=1.85,"Выговор",IF(AND(O22&gt;1.85,O22&lt;3),"Предупреждение",IF(AND(O22&gt;3,O22&lt;4.65),"Нормально",IF(AND(O22&gt;4.65,O22&lt;5.1,E22:N22&gt;=4),"Благодарность","Нормально"))))),"")</f>
        <v/>
      </c>
      <c r="S22" s="118" t="n">
        <f aca="false">COUNTIF(E22:N22,2)+COUNTIF(E22:N22,1)+COUNTIF(E22:N22,0)</f>
        <v>0</v>
      </c>
    </row>
    <row r="23" customFormat="false" ht="15" hidden="false" customHeight="false" outlineLevel="0" collapsed="false">
      <c r="A23" s="85" t="n">
        <v>16</v>
      </c>
      <c r="B23" s="37" t="s">
        <v>2680</v>
      </c>
      <c r="C23" s="37" t="s">
        <v>2681</v>
      </c>
      <c r="D23" s="807"/>
      <c r="E23" s="804"/>
      <c r="F23" s="805"/>
      <c r="G23" s="805"/>
      <c r="H23" s="808"/>
      <c r="I23" s="804"/>
      <c r="J23" s="805"/>
      <c r="K23" s="805"/>
      <c r="L23" s="805"/>
      <c r="M23" s="805"/>
      <c r="N23" s="806"/>
      <c r="O23" s="33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241" t="str">
        <f aca="false">IF(D23&lt;&gt;"",(30*(set!B$5)-D23)/(30*(set!B$5))*100,"")</f>
        <v/>
      </c>
      <c r="R23" s="77" t="str">
        <f aca="false" t="array" ref="R23:R23">IF(E23&lt;&gt;"",IF(O23&lt;1.85,"Выговор",IF(O23=1.85,"Выговор",IF(AND(O23&gt;1.85,O23&lt;3),"Предупреждение",IF(AND(O23&gt;3,O23&lt;4.65),"Нормально",IF(AND(O23&gt;4.65,O23&lt;5.1,E23:N23&gt;=4),"Благодарность","Нормально"))))),"")</f>
        <v/>
      </c>
      <c r="S23" s="118" t="n">
        <f aca="false">COUNTIF(E23:N23,2)+COUNTIF(E23:N23,1)+COUNTIF(E23:N23,0)</f>
        <v>0</v>
      </c>
    </row>
    <row r="24" customFormat="false" ht="15" hidden="false" customHeight="false" outlineLevel="0" collapsed="false">
      <c r="A24" s="251" t="n">
        <v>17</v>
      </c>
      <c r="B24" s="37" t="s">
        <v>2682</v>
      </c>
      <c r="C24" s="37" t="s">
        <v>2683</v>
      </c>
      <c r="D24" s="807"/>
      <c r="E24" s="804"/>
      <c r="F24" s="805"/>
      <c r="G24" s="805"/>
      <c r="H24" s="808"/>
      <c r="I24" s="804"/>
      <c r="J24" s="805"/>
      <c r="K24" s="805"/>
      <c r="L24" s="805"/>
      <c r="M24" s="805"/>
      <c r="N24" s="806"/>
      <c r="O24" s="33" t="str">
        <f aca="false">IFERROR(AVERAGE(E24:N24),"")</f>
        <v/>
      </c>
      <c r="P24" s="84" t="str">
        <f aca="false">IF(E24&lt;&gt;"",IF(COUNTIF(E24:N24,"&lt;3"),"Не успевает","Успевает"),"")</f>
        <v/>
      </c>
      <c r="Q24" s="241" t="str">
        <f aca="false">IF(D24&lt;&gt;"",(30*(set!B$5)-D24)/(30*(set!B$5))*100,"")</f>
        <v/>
      </c>
      <c r="R24" s="77" t="str">
        <f aca="false" t="array" ref="R24:R24">IF(E24&lt;&gt;"",IF(O24&lt;1.85,"Выговор",IF(O24=1.85,"Выговор",IF(AND(O24&gt;1.85,O24&lt;3),"Предупреждение",IF(AND(O24&gt;3,O24&lt;4.65),"Нормально",IF(AND(O24&gt;4.65,O24&lt;5.1,E24:N24&gt;=4),"Благодарность","Нормально"))))),"")</f>
        <v/>
      </c>
      <c r="S24" s="118" t="n">
        <f aca="false">COUNTIF(E24:N24,2)+COUNTIF(E24:N24,1)+COUNTIF(E24:N24,0)</f>
        <v>0</v>
      </c>
    </row>
    <row r="25" customFormat="false" ht="15" hidden="false" customHeight="false" outlineLevel="0" collapsed="false">
      <c r="A25" s="85" t="n">
        <v>18</v>
      </c>
      <c r="B25" s="37" t="s">
        <v>2684</v>
      </c>
      <c r="C25" s="37" t="s">
        <v>2685</v>
      </c>
      <c r="D25" s="807"/>
      <c r="E25" s="804"/>
      <c r="F25" s="805"/>
      <c r="G25" s="805"/>
      <c r="H25" s="808"/>
      <c r="I25" s="804"/>
      <c r="J25" s="805"/>
      <c r="K25" s="805"/>
      <c r="L25" s="805"/>
      <c r="M25" s="805"/>
      <c r="N25" s="806"/>
      <c r="O25" s="33" t="str">
        <f aca="false">IFERROR(AVERAGE(E25:N25),"")</f>
        <v/>
      </c>
      <c r="P25" s="84" t="str">
        <f aca="false">IF(E25&lt;&gt;"",IF(COUNTIF(E25:N25,"&lt;3"),"Не успевает","Успевает"),"")</f>
        <v/>
      </c>
      <c r="Q25" s="241" t="str">
        <f aca="false">IF(D25&lt;&gt;"",(30*(set!B$5)-D25)/(30*(set!B$5))*100,"")</f>
        <v/>
      </c>
      <c r="R25" s="77" t="str">
        <f aca="false" t="array" ref="R25:R25">IF(E25&lt;&gt;"",IF(O25&lt;1.85,"Выговор",IF(O25=1.85,"Выговор",IF(AND(O25&gt;1.85,O25&lt;3),"Предупреждение",IF(AND(O25&gt;3,O25&lt;4.65),"Нормально",IF(AND(O25&gt;4.65,O25&lt;5.1,E25:N25&gt;=4),"Благодарность","Нормально"))))),"")</f>
        <v/>
      </c>
      <c r="S25" s="118" t="n">
        <f aca="false">COUNTIF(E25:N25,2)+COUNTIF(E25:N25,1)+COUNTIF(E25:N25,0)</f>
        <v>0</v>
      </c>
    </row>
    <row r="26" customFormat="false" ht="15" hidden="false" customHeight="false" outlineLevel="0" collapsed="false">
      <c r="A26" s="251" t="n">
        <v>19</v>
      </c>
      <c r="B26" s="37" t="s">
        <v>2686</v>
      </c>
      <c r="C26" s="37" t="s">
        <v>2687</v>
      </c>
      <c r="D26" s="807"/>
      <c r="E26" s="804"/>
      <c r="F26" s="805"/>
      <c r="G26" s="805"/>
      <c r="H26" s="808"/>
      <c r="I26" s="804"/>
      <c r="J26" s="805"/>
      <c r="K26" s="805"/>
      <c r="L26" s="805"/>
      <c r="M26" s="805"/>
      <c r="N26" s="806"/>
      <c r="O26" s="33" t="str">
        <f aca="false">IFERROR(AVERAGE(E26:N26),"")</f>
        <v/>
      </c>
      <c r="P26" s="84" t="str">
        <f aca="false">IF(E26&lt;&gt;"",IF(COUNTIF(E26:N26,"&lt;3"),"Не успевает","Успевает"),"")</f>
        <v/>
      </c>
      <c r="Q26" s="241" t="str">
        <f aca="false">IF(D26&lt;&gt;"",(30*(set!B$5)-D26)/(30*(set!B$5))*100,"")</f>
        <v/>
      </c>
      <c r="R26" s="77" t="str">
        <f aca="false" t="array" ref="R26:R26">IF(E26&lt;&gt;"",IF(O26&lt;1.85,"Выговор",IF(O26=1.85,"Выговор",IF(AND(O26&gt;1.85,O26&lt;3),"Предупреждение",IF(AND(O26&gt;3,O26&lt;4.65),"Нормально",IF(AND(O26&gt;4.65,O26&lt;5.1,E26:N26&gt;=4),"Благодарность","Нормально"))))),"")</f>
        <v/>
      </c>
      <c r="S26" s="118" t="n">
        <f aca="false">COUNTIF(E26:N26,2)+COUNTIF(E26:N26,1)+COUNTIF(E26:N26,0)</f>
        <v>0</v>
      </c>
    </row>
    <row r="27" customFormat="false" ht="15" hidden="false" customHeight="false" outlineLevel="0" collapsed="false">
      <c r="A27" s="85" t="n">
        <v>20</v>
      </c>
      <c r="B27" s="37" t="s">
        <v>2688</v>
      </c>
      <c r="C27" s="37" t="s">
        <v>2689</v>
      </c>
      <c r="D27" s="807"/>
      <c r="E27" s="804"/>
      <c r="F27" s="805"/>
      <c r="G27" s="805"/>
      <c r="H27" s="808"/>
      <c r="I27" s="804"/>
      <c r="J27" s="805"/>
      <c r="K27" s="805"/>
      <c r="L27" s="805"/>
      <c r="M27" s="805"/>
      <c r="N27" s="806"/>
      <c r="O27" s="33" t="str">
        <f aca="false">IFERROR(AVERAGE(E27:N27),"")</f>
        <v/>
      </c>
      <c r="P27" s="84" t="str">
        <f aca="false">IF(E27&lt;&gt;"",IF(COUNTIF(E27:N27,"&lt;3"),"Не успевает","Успевает"),"")</f>
        <v/>
      </c>
      <c r="Q27" s="241" t="str">
        <f aca="false">IF(D27&lt;&gt;"",(30*(set!B$5)-D27)/(30*(set!B$5))*100,"")</f>
        <v/>
      </c>
      <c r="R27" s="77" t="str">
        <f aca="false" t="array" ref="R27:R27">IF(E27&lt;&gt;"",IF(O27&lt;1.85,"Выговор",IF(O27=1.85,"Выговор",IF(AND(O27&gt;1.85,O27&lt;3),"Предупреждение",IF(AND(O27&gt;3,O27&lt;4.65),"Нормально",IF(AND(O27&gt;4.65,O27&lt;5.1,E27:N27&gt;=4),"Благодарность","Нормально"))))),"")</f>
        <v/>
      </c>
      <c r="S27" s="118" t="n">
        <f aca="false">COUNTIF(E27:N27,2)+COUNTIF(E27:N27,1)+COUNTIF(E27:N27,0)</f>
        <v>0</v>
      </c>
    </row>
    <row r="28" customFormat="false" ht="15" hidden="false" customHeight="false" outlineLevel="0" collapsed="false">
      <c r="A28" s="251" t="n">
        <v>21</v>
      </c>
      <c r="B28" s="37" t="s">
        <v>2690</v>
      </c>
      <c r="C28" s="37" t="s">
        <v>2691</v>
      </c>
      <c r="D28" s="807"/>
      <c r="E28" s="804"/>
      <c r="F28" s="805"/>
      <c r="G28" s="805"/>
      <c r="H28" s="808"/>
      <c r="I28" s="804"/>
      <c r="J28" s="805"/>
      <c r="K28" s="805"/>
      <c r="L28" s="805"/>
      <c r="M28" s="805"/>
      <c r="N28" s="806"/>
      <c r="O28" s="33" t="str">
        <f aca="false">IFERROR(AVERAGE(E28:N28),"")</f>
        <v/>
      </c>
      <c r="P28" s="84" t="str">
        <f aca="false">IF(E28&lt;&gt;"",IF(COUNTIF(E28:N28,"&lt;3"),"Не успевает","Успевает"),"")</f>
        <v/>
      </c>
      <c r="Q28" s="241" t="str">
        <f aca="false">IF(D28&lt;&gt;"",(30*(set!B$5)-D28)/(30*(set!B$5))*100,"")</f>
        <v/>
      </c>
      <c r="R28" s="77" t="str">
        <f aca="false" t="array" ref="R28:R28">IF(E28&lt;&gt;"",IF(O28&lt;1.85,"Выговор",IF(O28=1.85,"Выговор",IF(AND(O28&gt;1.85,O28&lt;3),"Предупреждение",IF(AND(O28&gt;3,O28&lt;4.65),"Нормально",IF(AND(O28&gt;4.65,O28&lt;5.1,E28:N28&gt;=4),"Благодарность","Нормально"))))),"")</f>
        <v/>
      </c>
      <c r="S28" s="118" t="n">
        <f aca="false">COUNTIF(E28:N28,2)+COUNTIF(E28:N28,1)+COUNTIF(E28:N28,0)</f>
        <v>0</v>
      </c>
    </row>
    <row r="29" customFormat="false" ht="17.25" hidden="false" customHeight="true" outlineLevel="0" collapsed="false">
      <c r="A29" s="85" t="n">
        <v>22</v>
      </c>
      <c r="B29" s="37" t="s">
        <v>2692</v>
      </c>
      <c r="C29" s="37" t="s">
        <v>2693</v>
      </c>
      <c r="D29" s="807"/>
      <c r="E29" s="804"/>
      <c r="F29" s="805"/>
      <c r="G29" s="805"/>
      <c r="H29" s="808"/>
      <c r="I29" s="804"/>
      <c r="J29" s="805"/>
      <c r="K29" s="805"/>
      <c r="L29" s="805"/>
      <c r="M29" s="805"/>
      <c r="N29" s="806"/>
      <c r="O29" s="33" t="str">
        <f aca="false">IFERROR(AVERAGE(E29:N29),"")</f>
        <v/>
      </c>
      <c r="P29" s="84" t="str">
        <f aca="false">IF(E29&lt;&gt;"",IF(COUNTIF(E29:N29,"&lt;3"),"Не успевает","Успевает"),"")</f>
        <v/>
      </c>
      <c r="Q29" s="241" t="str">
        <f aca="false">IF(D29&lt;&gt;"",(30*(set!B$5)-D29)/(30*(set!B$5))*100,"")</f>
        <v/>
      </c>
      <c r="R29" s="77" t="str">
        <f aca="false" t="array" ref="R29:R29">IF(E29&lt;&gt;"",IF(O29&lt;1.85,"Выговор",IF(O29=1.85,"Выговор",IF(AND(O29&gt;1.85,O29&lt;3),"Предупреждение",IF(AND(O29&gt;3,O29&lt;4.65),"Нормально",IF(AND(O29&gt;4.65,O29&lt;5.1,E29:N29&gt;=4),"Благодарность","Нормально"))))),"")</f>
        <v/>
      </c>
      <c r="S29" s="118" t="n">
        <f aca="false">COUNTIF(E29:N29,2)+COUNTIF(E29:N29,1)+COUNTIF(E29:N29,0)</f>
        <v>0</v>
      </c>
    </row>
    <row r="30" s="45" customFormat="true" ht="17.25" hidden="false" customHeight="true" outlineLevel="0" collapsed="false">
      <c r="A30" s="85" t="n">
        <v>23</v>
      </c>
      <c r="B30" s="37" t="s">
        <v>2694</v>
      </c>
      <c r="C30" s="37" t="s">
        <v>2695</v>
      </c>
      <c r="D30" s="807"/>
      <c r="E30" s="804"/>
      <c r="F30" s="805"/>
      <c r="G30" s="805"/>
      <c r="H30" s="808"/>
      <c r="I30" s="804"/>
      <c r="J30" s="805"/>
      <c r="K30" s="805"/>
      <c r="L30" s="805"/>
      <c r="M30" s="805"/>
      <c r="N30" s="806"/>
      <c r="O30" s="33" t="str">
        <f aca="false">IFERROR(AVERAGE(E30:N30),"")</f>
        <v/>
      </c>
      <c r="P30" s="84" t="str">
        <f aca="false">IF(E30&lt;&gt;"",IF(COUNTIF(E30:N30,"&lt;3"),"Не успевает","Успевает"),"")</f>
        <v/>
      </c>
      <c r="Q30" s="241" t="str">
        <f aca="false">IF(D30&lt;&gt;"",(30*(set!B$5)-D30)/(30*(set!B$5))*100,"")</f>
        <v/>
      </c>
      <c r="R30" s="77" t="str">
        <f aca="false" t="array" ref="R30:R30">IF(E30&lt;&gt;"",IF(O30&lt;1.85,"Выговор",IF(O30=1.85,"Выговор",IF(AND(O30&gt;1.85,O30&lt;3),"Предупреждение",IF(AND(O30&gt;3,O30&lt;4.65),"Нормально",IF(AND(O30&gt;4.65,O30&lt;5.1,E30:N30&gt;=4),"Благодарность","Нормально"))))),"")</f>
        <v/>
      </c>
      <c r="S30" s="118" t="n">
        <f aca="false">COUNTIF(E30:N30,2)+COUNTIF(E30:N30,1)+COUNTIF(E30:N30,0)</f>
        <v>0</v>
      </c>
    </row>
    <row r="31" s="45" customFormat="true" ht="17.25" hidden="false" customHeight="true" outlineLevel="0" collapsed="false">
      <c r="A31" s="85" t="n">
        <v>24</v>
      </c>
      <c r="B31" s="37" t="s">
        <v>2696</v>
      </c>
      <c r="C31" s="37" t="s">
        <v>2697</v>
      </c>
      <c r="D31" s="807"/>
      <c r="E31" s="804"/>
      <c r="F31" s="805"/>
      <c r="G31" s="805"/>
      <c r="H31" s="808"/>
      <c r="I31" s="804"/>
      <c r="J31" s="805"/>
      <c r="K31" s="805"/>
      <c r="L31" s="805"/>
      <c r="M31" s="805"/>
      <c r="N31" s="806"/>
      <c r="O31" s="33" t="str">
        <f aca="false">IFERROR(AVERAGE(E31:N31),"")</f>
        <v/>
      </c>
      <c r="P31" s="84" t="str">
        <f aca="false">IF(E31&lt;&gt;"",IF(COUNTIF(E31:N31,"&lt;3"),"Не успевает","Успевает"),"")</f>
        <v/>
      </c>
      <c r="Q31" s="241" t="str">
        <f aca="false">IF(D31&lt;&gt;"",(30*(set!B$5)-D31)/(30*(set!B$5))*100,"")</f>
        <v/>
      </c>
      <c r="R31" s="77" t="str">
        <f aca="false" t="array" ref="R31:R31">IF(E31&lt;&gt;"",IF(O31&lt;1.85,"Выговор",IF(O31=1.85,"Выговор",IF(AND(O31&gt;1.85,O31&lt;3),"Предупреждение",IF(AND(O31&gt;3,O31&lt;4.65),"Нормально",IF(AND(O31&gt;4.65,O31&lt;5.1,E31:N31&gt;=4),"Благодарность","Нормально"))))),"")</f>
        <v/>
      </c>
      <c r="S31" s="118" t="n">
        <f aca="false">COUNTIF(E31:N31,2)+COUNTIF(E31:N31,1)+COUNTIF(E31:N31,0)</f>
        <v>0</v>
      </c>
    </row>
    <row r="32" s="45" customFormat="true" ht="17.25" hidden="false" customHeight="true" outlineLevel="0" collapsed="false">
      <c r="A32" s="85" t="n">
        <v>25</v>
      </c>
      <c r="B32" s="37" t="s">
        <v>2698</v>
      </c>
      <c r="C32" s="37" t="s">
        <v>2699</v>
      </c>
      <c r="D32" s="807"/>
      <c r="E32" s="804"/>
      <c r="F32" s="805"/>
      <c r="G32" s="805"/>
      <c r="H32" s="808"/>
      <c r="I32" s="804"/>
      <c r="J32" s="805"/>
      <c r="K32" s="805"/>
      <c r="L32" s="805"/>
      <c r="M32" s="805"/>
      <c r="N32" s="806"/>
      <c r="O32" s="33" t="str">
        <f aca="false">IFERROR(AVERAGE(E32:N32),"")</f>
        <v/>
      </c>
      <c r="P32" s="84" t="str">
        <f aca="false">IF(E32&lt;&gt;"",IF(COUNTIF(E32:N32,"&lt;3"),"Не успевает","Успевает"),"")</f>
        <v/>
      </c>
      <c r="Q32" s="241" t="str">
        <f aca="false">IF(D32&lt;&gt;"",(30*(set!B$5)-D32)/(30*(set!B$5))*100,"")</f>
        <v/>
      </c>
      <c r="R32" s="77" t="str">
        <f aca="false" t="array" ref="R32:R32">IF(E32&lt;&gt;"",IF(O32&lt;1.85,"Выговор",IF(O32=1.85,"Выговор",IF(AND(O32&gt;1.85,O32&lt;3),"Предупреждение",IF(AND(O32&gt;3,O32&lt;4.65),"Нормально",IF(AND(O32&gt;4.65,O32&lt;5.1,E32:N32&gt;=4),"Благодарность","Нормально"))))),"")</f>
        <v/>
      </c>
      <c r="S32" s="118" t="n">
        <f aca="false">COUNTIF(E32:N32,2)+COUNTIF(E32:N32,1)+COUNTIF(E32:N32,0)</f>
        <v>0</v>
      </c>
    </row>
    <row r="33" s="45" customFormat="true" ht="17.25" hidden="false" customHeight="true" outlineLevel="0" collapsed="false">
      <c r="A33" s="85" t="n">
        <v>26</v>
      </c>
      <c r="B33" s="37" t="s">
        <v>2700</v>
      </c>
      <c r="C33" s="37" t="s">
        <v>2701</v>
      </c>
      <c r="D33" s="807"/>
      <c r="E33" s="804"/>
      <c r="F33" s="805"/>
      <c r="G33" s="805"/>
      <c r="H33" s="808"/>
      <c r="I33" s="804"/>
      <c r="J33" s="805"/>
      <c r="K33" s="805"/>
      <c r="L33" s="805"/>
      <c r="M33" s="805"/>
      <c r="N33" s="806"/>
      <c r="O33" s="33" t="str">
        <f aca="false">IFERROR(AVERAGE(E33:N33),"")</f>
        <v/>
      </c>
      <c r="P33" s="84" t="str">
        <f aca="false">IF(E33&lt;&gt;"",IF(COUNTIF(E33:N33,"&lt;3"),"Не успевает","Успевает"),"")</f>
        <v/>
      </c>
      <c r="Q33" s="241" t="str">
        <f aca="false">IF(D33&lt;&gt;"",(30*(set!B$5)-D33)/(30*(set!B$5))*100,"")</f>
        <v/>
      </c>
      <c r="R33" s="77" t="str">
        <f aca="false" t="array" ref="R33:R33">IF(E33&lt;&gt;"",IF(O33&lt;1.85,"Выговор",IF(O33=1.85,"Выговор",IF(AND(O33&gt;1.85,O33&lt;3),"Предупреждение",IF(AND(O33&gt;3,O33&lt;4.65),"Нормально",IF(AND(O33&gt;4.65,O33&lt;5.1,E33:N33&gt;=4),"Благодарность","Нормально"))))),"")</f>
        <v/>
      </c>
      <c r="S33" s="118" t="n">
        <f aca="false">COUNTIF(E33:N33,2)+COUNTIF(E33:N33,1)+COUNTIF(E33:N33,0)</f>
        <v>0</v>
      </c>
    </row>
    <row r="34" s="45" customFormat="true" ht="17.25" hidden="false" customHeight="true" outlineLevel="0" collapsed="false">
      <c r="A34" s="85" t="n">
        <v>27</v>
      </c>
      <c r="B34" s="37" t="s">
        <v>2702</v>
      </c>
      <c r="C34" s="37" t="s">
        <v>2703</v>
      </c>
      <c r="D34" s="807"/>
      <c r="E34" s="804"/>
      <c r="F34" s="805"/>
      <c r="G34" s="805"/>
      <c r="H34" s="808"/>
      <c r="I34" s="804"/>
      <c r="J34" s="805"/>
      <c r="K34" s="805"/>
      <c r="L34" s="805"/>
      <c r="M34" s="805"/>
      <c r="N34" s="806"/>
      <c r="O34" s="33" t="str">
        <f aca="false">IFERROR(AVERAGE(E34:N34),"")</f>
        <v/>
      </c>
      <c r="P34" s="84" t="str">
        <f aca="false">IF(E34&lt;&gt;"",IF(COUNTIF(E34:N34,"&lt;3"),"Не успевает","Успевает"),"")</f>
        <v/>
      </c>
      <c r="Q34" s="241" t="str">
        <f aca="false">IF(D34&lt;&gt;"",(30*(set!B$5)-D34)/(30*(set!B$5))*100,"")</f>
        <v/>
      </c>
      <c r="R34" s="77" t="str">
        <f aca="false" t="array" ref="R34:R34">IF(E34&lt;&gt;"",IF(O34&lt;1.85,"Выговор",IF(O34=1.85,"Выговор",IF(AND(O34&gt;1.85,O34&lt;3),"Предупреждение",IF(AND(O34&gt;3,O34&lt;4.65),"Нормально",IF(AND(O34&gt;4.65,O34&lt;5.1,E34:N34&gt;=4),"Благодарность","Нормально"))))),"")</f>
        <v/>
      </c>
      <c r="S34" s="118" t="n">
        <f aca="false">COUNTIF(E34:N34,2)+COUNTIF(E34:N34,1)+COUNTIF(E34:N34,0)</f>
        <v>0</v>
      </c>
    </row>
    <row r="35" s="45" customFormat="true" ht="17.25" hidden="false" customHeight="true" outlineLevel="0" collapsed="false">
      <c r="A35" s="85" t="n">
        <v>28</v>
      </c>
      <c r="B35" s="37" t="s">
        <v>2704</v>
      </c>
      <c r="C35" s="37" t="s">
        <v>2705</v>
      </c>
      <c r="D35" s="807"/>
      <c r="E35" s="804"/>
      <c r="F35" s="805"/>
      <c r="G35" s="805"/>
      <c r="H35" s="808"/>
      <c r="I35" s="804"/>
      <c r="J35" s="805"/>
      <c r="K35" s="805"/>
      <c r="L35" s="805"/>
      <c r="M35" s="805"/>
      <c r="N35" s="806"/>
      <c r="O35" s="33" t="str">
        <f aca="false">IFERROR(AVERAGE(E35:N35),"")</f>
        <v/>
      </c>
      <c r="P35" s="84" t="str">
        <f aca="false">IF(E35&lt;&gt;"",IF(COUNTIF(E35:N35,"&lt;3"),"Не успевает","Успевает"),"")</f>
        <v/>
      </c>
      <c r="Q35" s="241" t="str">
        <f aca="false">IF(D35&lt;&gt;"",(30*(set!B$5)-D35)/(30*(set!B$5))*100,"")</f>
        <v/>
      </c>
      <c r="R35" s="77" t="str">
        <f aca="false" t="array" ref="R35:R35">IF(E35&lt;&gt;"",IF(O35&lt;1.85,"Выговор",IF(O35=1.85,"Выговор",IF(AND(O35&gt;1.85,O35&lt;3),"Предупреждение",IF(AND(O35&gt;3,O35&lt;4.65),"Нормально",IF(AND(O35&gt;4.65,O35&lt;5.1,E35:N35&gt;=4),"Благодарность","Нормально"))))),"")</f>
        <v/>
      </c>
      <c r="S35" s="118" t="n">
        <f aca="false">COUNTIF(E35:N35,2)+COUNTIF(E35:N35,1)+COUNTIF(E35:N35,0)</f>
        <v>0</v>
      </c>
    </row>
    <row r="36" s="45" customFormat="true" ht="17.25" hidden="false" customHeight="true" outlineLevel="0" collapsed="false">
      <c r="A36" s="85" t="n">
        <v>29</v>
      </c>
      <c r="B36" s="37" t="s">
        <v>2706</v>
      </c>
      <c r="C36" s="37" t="s">
        <v>2707</v>
      </c>
      <c r="D36" s="807"/>
      <c r="E36" s="804"/>
      <c r="F36" s="805"/>
      <c r="G36" s="805"/>
      <c r="H36" s="808"/>
      <c r="I36" s="804"/>
      <c r="J36" s="805"/>
      <c r="K36" s="805"/>
      <c r="L36" s="805"/>
      <c r="M36" s="805"/>
      <c r="N36" s="806"/>
      <c r="O36" s="33" t="str">
        <f aca="false">IFERROR(AVERAGE(E36:N36),"")</f>
        <v/>
      </c>
      <c r="P36" s="84" t="str">
        <f aca="false">IF(E36&lt;&gt;"",IF(COUNTIF(E36:N36,"&lt;3"),"Не успевает","Успевает"),"")</f>
        <v/>
      </c>
      <c r="Q36" s="241" t="str">
        <f aca="false">IF(D36&lt;&gt;"",(30*(set!B$5)-D36)/(30*(set!B$5))*100,"")</f>
        <v/>
      </c>
      <c r="R36" s="77" t="str">
        <f aca="false" t="array" ref="R36:R36">IF(E36&lt;&gt;"",IF(O36&lt;1.85,"Выговор",IF(O36=1.85,"Выговор",IF(AND(O36&gt;1.85,O36&lt;3),"Предупреждение",IF(AND(O36&gt;3,O36&lt;4.65),"Нормально",IF(AND(O36&gt;4.65,O36&lt;5.1,E36:N36&gt;=4),"Благодарность","Нормально"))))),"")</f>
        <v/>
      </c>
      <c r="S36" s="118" t="n">
        <f aca="false">COUNTIF(E36:N36,2)+COUNTIF(E36:N36,1)+COUNTIF(E36:N36,0)</f>
        <v>0</v>
      </c>
    </row>
    <row r="37" s="45" customFormat="true" ht="17.25" hidden="false" customHeight="true" outlineLevel="0" collapsed="false">
      <c r="A37" s="85" t="n">
        <v>30</v>
      </c>
      <c r="B37" s="37" t="s">
        <v>2708</v>
      </c>
      <c r="C37" s="37" t="s">
        <v>2709</v>
      </c>
      <c r="D37" s="807"/>
      <c r="E37" s="804"/>
      <c r="F37" s="805"/>
      <c r="G37" s="805"/>
      <c r="H37" s="808"/>
      <c r="I37" s="804"/>
      <c r="J37" s="805"/>
      <c r="K37" s="805"/>
      <c r="L37" s="805"/>
      <c r="M37" s="805"/>
      <c r="N37" s="806"/>
      <c r="O37" s="33" t="str">
        <f aca="false">IFERROR(AVERAGE(E37:N37),"")</f>
        <v/>
      </c>
      <c r="P37" s="84" t="str">
        <f aca="false">IF(E37&lt;&gt;"",IF(COUNTIF(E37:N37,"&lt;3"),"Не успевает","Успевает"),"")</f>
        <v/>
      </c>
      <c r="Q37" s="241" t="str">
        <f aca="false">IF(D37&lt;&gt;"",(30*(set!B$5)-D37)/(30*(set!B$5))*100,"")</f>
        <v/>
      </c>
      <c r="R37" s="77" t="str">
        <f aca="false" t="array" ref="R37:R37">IF(E37&lt;&gt;"",IF(O37&lt;1.85,"Выговор",IF(O37=1.85,"Выговор",IF(AND(O37&gt;1.85,O37&lt;3),"Предупреждение",IF(AND(O37&gt;3,O37&lt;4.65),"Нормально",IF(AND(O37&gt;4.65,O37&lt;5.1,E37:N37&gt;=4),"Благодарность","Нормально"))))),"")</f>
        <v/>
      </c>
      <c r="S37" s="118" t="n">
        <f aca="false">COUNTIF(E37:N37,2)+COUNTIF(E37:N37,1)+COUNTIF(E37:N37,0)</f>
        <v>0</v>
      </c>
    </row>
    <row r="38" s="45" customFormat="true" ht="17.25" hidden="false" customHeight="true" outlineLevel="0" collapsed="false">
      <c r="A38" s="85" t="n">
        <v>31</v>
      </c>
      <c r="B38" s="37" t="s">
        <v>2710</v>
      </c>
      <c r="C38" s="37" t="s">
        <v>2711</v>
      </c>
      <c r="D38" s="807"/>
      <c r="E38" s="804"/>
      <c r="F38" s="805"/>
      <c r="G38" s="805"/>
      <c r="H38" s="808"/>
      <c r="I38" s="804"/>
      <c r="J38" s="805"/>
      <c r="K38" s="805"/>
      <c r="L38" s="805"/>
      <c r="M38" s="805"/>
      <c r="N38" s="806"/>
      <c r="O38" s="33" t="str">
        <f aca="false">IFERROR(AVERAGE(E38:N38),"")</f>
        <v/>
      </c>
      <c r="P38" s="84" t="str">
        <f aca="false">IF(E38&lt;&gt;"",IF(COUNTIF(E38:N38,"&lt;3"),"Не успевает","Успевает"),"")</f>
        <v/>
      </c>
      <c r="Q38" s="241" t="str">
        <f aca="false">IF(D38&lt;&gt;"",(30*(set!B$5)-D38)/(30*(set!B$5))*100,"")</f>
        <v/>
      </c>
      <c r="R38" s="77" t="str">
        <f aca="false" t="array" ref="R38:R38">IF(E38&lt;&gt;"",IF(O38&lt;1.85,"Выговор",IF(O38=1.85,"Выговор",IF(AND(O38&gt;1.85,O38&lt;3),"Предупреждение",IF(AND(O38&gt;3,O38&lt;4.65),"Нормально",IF(AND(O38&gt;4.65,O38&lt;5.1,E38:N38&gt;=4),"Благодарность","Нормально"))))),"")</f>
        <v/>
      </c>
      <c r="S38" s="118" t="n">
        <f aca="false">COUNTIF(E38:N38,2)+COUNTIF(E38:N38,1)+COUNTIF(E38:N38,0)</f>
        <v>0</v>
      </c>
    </row>
    <row r="39" s="45" customFormat="true" ht="17.25" hidden="false" customHeight="true" outlineLevel="0" collapsed="false">
      <c r="A39" s="85" t="n">
        <v>32</v>
      </c>
      <c r="B39" s="37" t="s">
        <v>2712</v>
      </c>
      <c r="C39" s="37" t="s">
        <v>2713</v>
      </c>
      <c r="D39" s="807"/>
      <c r="E39" s="804"/>
      <c r="F39" s="805"/>
      <c r="G39" s="805"/>
      <c r="H39" s="808"/>
      <c r="I39" s="804"/>
      <c r="J39" s="805"/>
      <c r="K39" s="805"/>
      <c r="L39" s="805"/>
      <c r="M39" s="805"/>
      <c r="N39" s="806"/>
      <c r="O39" s="33" t="str">
        <f aca="false">IFERROR(AVERAGE(E39:N39),"")</f>
        <v/>
      </c>
      <c r="P39" s="84" t="str">
        <f aca="false">IF(E39&lt;&gt;"",IF(COUNTIF(E39:N39,"&lt;3"),"Не успевает","Успевает"),"")</f>
        <v/>
      </c>
      <c r="Q39" s="241" t="str">
        <f aca="false">IF(D39&lt;&gt;"",(30*(set!B$5)-D39)/(30*(set!B$5))*100,"")</f>
        <v/>
      </c>
      <c r="R39" s="77" t="str">
        <f aca="false" t="array" ref="R39:R39">IF(E39&lt;&gt;"",IF(O39&lt;1.85,"Выговор",IF(O39=1.85,"Выговор",IF(AND(O39&gt;1.85,O39&lt;3),"Предупреждение",IF(AND(O39&gt;3,O39&lt;4.65),"Нормально",IF(AND(O39&gt;4.65,O39&lt;5.1,E39:N39&gt;=4),"Благодарность","Нормально"))))),"")</f>
        <v/>
      </c>
      <c r="S39" s="118" t="n">
        <f aca="false">COUNTIF(E39:N39,2)+COUNTIF(E39:N39,1)+COUNTIF(E39:N39,0)</f>
        <v>0</v>
      </c>
    </row>
    <row r="40" s="45" customFormat="true" ht="17.25" hidden="false" customHeight="true" outlineLevel="0" collapsed="false">
      <c r="A40" s="85" t="n">
        <v>33</v>
      </c>
      <c r="B40" s="37" t="s">
        <v>2714</v>
      </c>
      <c r="C40" s="37" t="s">
        <v>2715</v>
      </c>
      <c r="D40" s="807"/>
      <c r="E40" s="804"/>
      <c r="F40" s="805"/>
      <c r="G40" s="805"/>
      <c r="H40" s="808"/>
      <c r="I40" s="804"/>
      <c r="J40" s="805"/>
      <c r="K40" s="805"/>
      <c r="L40" s="805"/>
      <c r="M40" s="805"/>
      <c r="N40" s="806"/>
      <c r="O40" s="33" t="str">
        <f aca="false">IFERROR(AVERAGE(E40:N40),"")</f>
        <v/>
      </c>
      <c r="P40" s="84" t="str">
        <f aca="false">IF(E40&lt;&gt;"",IF(COUNTIF(E40:N40,"&lt;3"),"Не успевает","Успевает"),"")</f>
        <v/>
      </c>
      <c r="Q40" s="241" t="str">
        <f aca="false">IF(D40&lt;&gt;"",(30*(set!B$5)-D40)/(30*(set!B$5))*100,"")</f>
        <v/>
      </c>
      <c r="R40" s="77" t="str">
        <f aca="false" t="array" ref="R40:R40">IF(E40&lt;&gt;"",IF(O40&lt;1.85,"Выговор",IF(O40=1.85,"Выговор",IF(AND(O40&gt;1.85,O40&lt;3),"Предупреждение",IF(AND(O40&gt;3,O40&lt;4.65),"Нормально",IF(AND(O40&gt;4.65,O40&lt;5.1,E40:N40&gt;=4),"Благодарность","Нормально"))))),"")</f>
        <v/>
      </c>
      <c r="S40" s="118" t="n">
        <f aca="false">COUNTIF(E40:N40,2)+COUNTIF(E40:N40,1)+COUNTIF(E40:N40,0)</f>
        <v>0</v>
      </c>
    </row>
    <row r="41" s="45" customFormat="true" ht="17.25" hidden="false" customHeight="true" outlineLevel="0" collapsed="false">
      <c r="A41" s="85" t="n">
        <v>34</v>
      </c>
      <c r="B41" s="37" t="s">
        <v>2716</v>
      </c>
      <c r="C41" s="37" t="s">
        <v>2717</v>
      </c>
      <c r="D41" s="807"/>
      <c r="E41" s="804"/>
      <c r="F41" s="805"/>
      <c r="G41" s="805"/>
      <c r="H41" s="808"/>
      <c r="I41" s="804"/>
      <c r="J41" s="805"/>
      <c r="K41" s="805"/>
      <c r="L41" s="805"/>
      <c r="M41" s="805"/>
      <c r="N41" s="806"/>
      <c r="O41" s="33" t="str">
        <f aca="false">IFERROR(AVERAGE(E41:N41),"")</f>
        <v/>
      </c>
      <c r="P41" s="84" t="str">
        <f aca="false">IF(E41&lt;&gt;"",IF(COUNTIF(E41:N41,"&lt;3"),"Не успевает","Успевает"),"")</f>
        <v/>
      </c>
      <c r="Q41" s="241" t="str">
        <f aca="false">IF(D41&lt;&gt;"",(30*(set!B$5)-D41)/(30*(set!B$5))*100,"")</f>
        <v/>
      </c>
      <c r="R41" s="77" t="str">
        <f aca="false" t="array" ref="R41:R41">IF(E41&lt;&gt;"",IF(O41&lt;1.85,"Выговор",IF(O41=1.85,"Выговор",IF(AND(O41&gt;1.85,O41&lt;3),"Предупреждение",IF(AND(O41&gt;3,O41&lt;4.65),"Нормально",IF(AND(O41&gt;4.65,O41&lt;5.1,E41:N41&gt;=4),"Благодарность","Нормально"))))),"")</f>
        <v/>
      </c>
      <c r="S41" s="118" t="n">
        <f aca="false">COUNTIF(E41:N41,2)+COUNTIF(E41:N41,1)+COUNTIF(E41:N41,0)</f>
        <v>0</v>
      </c>
    </row>
    <row r="42" customFormat="false" ht="15.75" hidden="false" customHeight="true" outlineLevel="0" collapsed="false">
      <c r="A42" s="251" t="n">
        <v>35</v>
      </c>
      <c r="B42" s="37" t="s">
        <v>2718</v>
      </c>
      <c r="C42" s="37" t="s">
        <v>2719</v>
      </c>
      <c r="D42" s="807"/>
      <c r="E42" s="804"/>
      <c r="F42" s="805"/>
      <c r="G42" s="805"/>
      <c r="H42" s="808"/>
      <c r="I42" s="804"/>
      <c r="J42" s="805"/>
      <c r="K42" s="805"/>
      <c r="L42" s="805"/>
      <c r="M42" s="805"/>
      <c r="N42" s="806"/>
      <c r="O42" s="33" t="str">
        <f aca="false">IFERROR(AVERAGE(E42:N42),"")</f>
        <v/>
      </c>
      <c r="P42" s="84" t="str">
        <f aca="false">IF(E42&lt;&gt;"",IF(COUNTIF(E42:N42,"&lt;3"),"Не успевает","Успевает"),"")</f>
        <v/>
      </c>
      <c r="Q42" s="241" t="str">
        <f aca="false">IF(D42&lt;&gt;"",(30*(set!B$5)-D42)/(30*(set!B$5))*100,"")</f>
        <v/>
      </c>
      <c r="R42" s="77" t="str">
        <f aca="false" t="array" ref="R42:R42">IF(E42&lt;&gt;"",IF(O42&lt;1.85,"Выговор",IF(O42=1.85,"Выговор",IF(AND(O42&gt;1.85,O42&lt;3),"Предупреждение",IF(AND(O42&gt;3,O42&lt;4.65),"Нормально",IF(AND(O42&gt;4.65,O42&lt;5.1,E42:N42&gt;=4),"Благодарность","Нормально"))))),"")</f>
        <v/>
      </c>
      <c r="S42" s="118" t="n">
        <f aca="false">COUNTIF(E42:N42,2)+COUNTIF(E42:N42,1)+COUNTIF(E42:N42,0)</f>
        <v>0</v>
      </c>
    </row>
    <row r="43" customFormat="false" ht="15.75" hidden="false" customHeight="true" outlineLevel="0" collapsed="false">
      <c r="A43" s="466" t="s">
        <v>77</v>
      </c>
      <c r="B43" s="466"/>
      <c r="C43" s="466"/>
      <c r="E43" s="229" t="e">
        <f aca="false">AVERAGE(E9:E42)</f>
        <v>#DIV/0!</v>
      </c>
      <c r="F43" s="229" t="e">
        <f aca="false">AVERAGE(F9:F42)</f>
        <v>#DIV/0!</v>
      </c>
      <c r="G43" s="229" t="e">
        <f aca="false">AVERAGE(G9:G42)</f>
        <v>#DIV/0!</v>
      </c>
      <c r="H43" s="229" t="e">
        <f aca="false">AVERAGE(H9:H42)</f>
        <v>#DIV/0!</v>
      </c>
      <c r="I43" s="229" t="e">
        <f aca="false">AVERAGE(I9:I42)</f>
        <v>#DIV/0!</v>
      </c>
      <c r="J43" s="229" t="e">
        <f aca="false">AVERAGE(J9:J42)</f>
        <v>#DIV/0!</v>
      </c>
      <c r="K43" s="229" t="e">
        <f aca="false">AVERAGE(K9:K42)</f>
        <v>#DIV/0!</v>
      </c>
      <c r="L43" s="229" t="e">
        <f aca="false">AVERAGE(L9:L42)</f>
        <v>#DIV/0!</v>
      </c>
      <c r="M43" s="229" t="e">
        <f aca="false">AVERAGE(M9:M42)</f>
        <v>#DIV/0!</v>
      </c>
      <c r="N43" s="229" t="e">
        <f aca="false">AVERAGE(N9:N42)</f>
        <v>#DIV/0!</v>
      </c>
      <c r="O43" s="48"/>
      <c r="P43" s="49"/>
    </row>
    <row r="44" customFormat="false" ht="15.75" hidden="false" customHeight="true" outlineLevel="0" collapsed="false">
      <c r="A44" s="0" t="s">
        <v>78</v>
      </c>
      <c r="E44" s="448" t="e">
        <f aca="false">(COUNTIF(E9:E42,5)+COUNTIF(E9:E42,4)+COUNTIF(E9:E42,3))/$Q$49*100</f>
        <v>#DIV/0!</v>
      </c>
      <c r="F44" s="448" t="e">
        <f aca="false">(COUNTIF(F9:F42,5)+COUNTIF(F9:F42,4)+COUNTIF(F9:F42,3))/$Q$49*100</f>
        <v>#DIV/0!</v>
      </c>
      <c r="G44" s="448" t="e">
        <f aca="false">(COUNTIF(G9:G42,5)+COUNTIF(G9:G42,4)+COUNTIF(G9:G42,3))/$Q$49*100</f>
        <v>#DIV/0!</v>
      </c>
      <c r="H44" s="448" t="e">
        <f aca="false">(COUNTIF(H9:H42,5)+COUNTIF(H9:H42,4)+COUNTIF(H9:H42,3))/$Q$49*100</f>
        <v>#DIV/0!</v>
      </c>
      <c r="I44" s="448" t="e">
        <f aca="false">(COUNTIF(I9:I42,5)+COUNTIF(I9:I42,4)+COUNTIF(I9:I42,3))/$Q$49*100</f>
        <v>#DIV/0!</v>
      </c>
      <c r="J44" s="448" t="e">
        <f aca="false">(COUNTIF(J9:J42,5)+COUNTIF(J9:J42,4)+COUNTIF(J9:J42,3))/$Q$49*100</f>
        <v>#DIV/0!</v>
      </c>
      <c r="K44" s="448" t="e">
        <f aca="false">(COUNTIF(K9:K42,5)+COUNTIF(K9:K42,4)+COUNTIF(K9:K42,3))/$Q$49*100</f>
        <v>#DIV/0!</v>
      </c>
      <c r="L44" s="448" t="e">
        <f aca="false">(COUNTIF(L9:L42,5)+COUNTIF(L9:L42,4)+COUNTIF(L9:L42,3))/$Q$49*100</f>
        <v>#DIV/0!</v>
      </c>
      <c r="M44" s="448" t="e">
        <f aca="false">(COUNTIF(M9:M42,5)+COUNTIF(M9:M42,4)+COUNTIF(M9:M42,3))/$Q$49*100</f>
        <v>#DIV/0!</v>
      </c>
      <c r="N44" s="448" t="e">
        <f aca="false">(COUNTIF(N9:N42,5)+COUNTIF(N9:N42,4)+COUNTIF(N9:N42,3))/$Q$49*100</f>
        <v>#DIV/0!</v>
      </c>
      <c r="O44" s="48"/>
      <c r="P44" s="47"/>
      <c r="Q44" s="48"/>
      <c r="R44" s="49"/>
    </row>
    <row r="45" customFormat="false" ht="15.75" hidden="false" customHeight="true" outlineLevel="0" collapsed="false">
      <c r="F45" s="794"/>
      <c r="G45" s="48"/>
      <c r="H45" s="48"/>
      <c r="I45" s="48"/>
      <c r="J45" s="48"/>
      <c r="K45" s="48"/>
      <c r="L45" s="48"/>
      <c r="M45" s="48"/>
      <c r="N45" s="48"/>
      <c r="O45" s="48"/>
      <c r="P45" s="47"/>
      <c r="Q45" s="48"/>
      <c r="R45" s="49"/>
    </row>
    <row r="46" customFormat="false" ht="15.75" hidden="false" customHeight="true" outlineLevel="0" collapsed="false"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customFormat="false" ht="15.75" hidden="false" customHeight="true" outlineLevel="0" collapsed="false">
      <c r="D47" s="50" t="s">
        <v>8</v>
      </c>
      <c r="F47" s="51" t="str">
        <f aca="false">IFERROR(AVERAGE(O9:O42),"")</f>
        <v/>
      </c>
      <c r="G47" s="52" t="s">
        <v>9</v>
      </c>
      <c r="I47" s="53" t="str">
        <f aca="false">IFERROR(COUNTIF(P9:P42,"Успевает")/Q49*100,"")</f>
        <v/>
      </c>
      <c r="J47" s="319" t="s">
        <v>79</v>
      </c>
      <c r="K47" s="319"/>
      <c r="L47" s="55" t="str">
        <f aca="false">IFERROR(AVERAGE(Q9:Q42),"")</f>
        <v/>
      </c>
      <c r="M47" s="52"/>
    </row>
    <row r="48" customFormat="false" ht="15.75" hidden="false" customHeight="true" outlineLevel="0" collapsed="false">
      <c r="D48" s="50"/>
      <c r="E48" s="50"/>
      <c r="F48" s="50"/>
      <c r="G48" s="56"/>
      <c r="H48" s="56"/>
      <c r="I48" s="56"/>
      <c r="J48" s="56"/>
      <c r="K48" s="56"/>
      <c r="L48" s="56"/>
      <c r="M48" s="56"/>
    </row>
    <row r="49" customFormat="false" ht="15.75" hidden="false" customHeight="true" outlineLevel="0" collapsed="false">
      <c r="B49" s="61" t="s">
        <v>81</v>
      </c>
      <c r="C49" s="61"/>
      <c r="D49" s="61"/>
      <c r="E49" s="61"/>
      <c r="F49" s="61"/>
      <c r="G49" s="61"/>
      <c r="H49" s="61"/>
      <c r="I49" s="61"/>
      <c r="J49" s="61"/>
      <c r="K49" s="425" t="s">
        <v>82</v>
      </c>
      <c r="L49" s="425"/>
      <c r="M49" s="425"/>
      <c r="O49" s="57" t="s">
        <v>80</v>
      </c>
      <c r="P49" s="57"/>
      <c r="Q49" s="58" t="n">
        <f aca="false">SUM(Q50,Q51)</f>
        <v>0</v>
      </c>
    </row>
    <row r="50" customFormat="false" ht="15.75" hidden="false" customHeight="true" outlineLevel="0" collapsed="false">
      <c r="B50" s="65" t="str">
        <f aca="false">$E$6</f>
        <v> Аналитическая геометрия и линейная алгебра</v>
      </c>
      <c r="C50" s="65"/>
      <c r="D50" s="65"/>
      <c r="E50" s="65"/>
      <c r="F50" s="65"/>
      <c r="G50" s="65"/>
      <c r="H50" s="65"/>
      <c r="I50" s="65"/>
      <c r="J50" s="65"/>
      <c r="K50" s="66"/>
      <c r="L50" s="66"/>
      <c r="M50" s="66"/>
      <c r="O50" s="57" t="s">
        <v>83</v>
      </c>
      <c r="P50" s="57"/>
      <c r="Q50" s="58" t="n">
        <f aca="false">COUNTIF(P9:P42,"Успевает")</f>
        <v>0</v>
      </c>
    </row>
    <row r="51" customFormat="false" ht="15.75" hidden="false" customHeight="true" outlineLevel="0" collapsed="false">
      <c r="B51" s="65" t="str">
        <f aca="false">$F$6</f>
        <v> Математический анализ</v>
      </c>
      <c r="C51" s="65"/>
      <c r="D51" s="65"/>
      <c r="E51" s="65"/>
      <c r="F51" s="65"/>
      <c r="G51" s="65"/>
      <c r="H51" s="65"/>
      <c r="I51" s="65"/>
      <c r="J51" s="65"/>
      <c r="K51" s="66"/>
      <c r="L51" s="66"/>
      <c r="M51" s="66"/>
      <c r="O51" s="98" t="s">
        <v>84</v>
      </c>
      <c r="P51" s="98"/>
      <c r="Q51" s="58" t="n">
        <f aca="false">COUNTIF(P9:P42,"Не успевает")</f>
        <v>0</v>
      </c>
    </row>
    <row r="52" customFormat="false" ht="15.75" hidden="false" customHeight="true" outlineLevel="0" collapsed="false">
      <c r="B52" s="65" t="str">
        <f aca="false">$G$6</f>
        <v> Теоретическая информатика</v>
      </c>
      <c r="C52" s="65"/>
      <c r="D52" s="65"/>
      <c r="E52" s="65"/>
      <c r="F52" s="65"/>
      <c r="G52" s="65"/>
      <c r="H52" s="65"/>
      <c r="I52" s="65"/>
      <c r="J52" s="65"/>
      <c r="K52" s="66"/>
      <c r="L52" s="66"/>
      <c r="M52" s="66"/>
      <c r="O52" s="98" t="s">
        <v>85</v>
      </c>
      <c r="P52" s="98"/>
      <c r="Q52" s="58" t="n">
        <f aca="false">COUNTIF(R9:R42,"Благодарность")</f>
        <v>0</v>
      </c>
    </row>
    <row r="53" customFormat="false" ht="15.75" hidden="false" customHeight="true" outlineLevel="0" collapsed="false">
      <c r="B53" s="65" t="str">
        <f aca="false">$H$6</f>
        <v> Языки программирования</v>
      </c>
      <c r="C53" s="65"/>
      <c r="D53" s="65"/>
      <c r="E53" s="65"/>
      <c r="F53" s="65"/>
      <c r="G53" s="65"/>
      <c r="H53" s="65"/>
      <c r="I53" s="65"/>
      <c r="J53" s="65"/>
      <c r="K53" s="66"/>
      <c r="L53" s="66"/>
      <c r="M53" s="66"/>
      <c r="O53" s="98" t="s">
        <v>86</v>
      </c>
      <c r="P53" s="98"/>
      <c r="Q53" s="58" t="n">
        <f aca="false">COUNTIF(R9:R42,"Нормально")</f>
        <v>0</v>
      </c>
    </row>
    <row r="54" customFormat="false" ht="15.75" hidden="false" customHeight="true" outlineLevel="0" collapsed="false">
      <c r="B54" s="65" t="str">
        <f aca="false">$I$6</f>
        <v> Инженерная графика</v>
      </c>
      <c r="C54" s="65"/>
      <c r="D54" s="65"/>
      <c r="E54" s="65"/>
      <c r="F54" s="65"/>
      <c r="G54" s="65"/>
      <c r="H54" s="65"/>
      <c r="I54" s="65"/>
      <c r="J54" s="65"/>
      <c r="K54" s="66"/>
      <c r="L54" s="66"/>
      <c r="M54" s="66"/>
      <c r="O54" s="98" t="s">
        <v>87</v>
      </c>
      <c r="P54" s="98"/>
      <c r="Q54" s="58" t="n">
        <f aca="false">COUNTIF(R9:R42,"Предупреждение")</f>
        <v>0</v>
      </c>
    </row>
    <row r="55" customFormat="false" ht="15.75" hidden="false" customHeight="true" outlineLevel="0" collapsed="false">
      <c r="B55" s="65" t="str">
        <f aca="false">$J$6</f>
        <v>Иностранный язык</v>
      </c>
      <c r="C55" s="65"/>
      <c r="D55" s="65"/>
      <c r="E55" s="65"/>
      <c r="F55" s="65"/>
      <c r="G55" s="65"/>
      <c r="H55" s="65"/>
      <c r="I55" s="65"/>
      <c r="J55" s="65"/>
      <c r="K55" s="66"/>
      <c r="L55" s="66"/>
      <c r="M55" s="66"/>
      <c r="N55" s="64"/>
      <c r="O55" s="98" t="s">
        <v>88</v>
      </c>
      <c r="P55" s="98"/>
      <c r="Q55" s="58" t="n">
        <f aca="false">COUNTIF(R9:R42,"Выговор")</f>
        <v>0</v>
      </c>
    </row>
    <row r="56" customFormat="false" ht="15.75" hidden="false" customHeight="true" outlineLevel="0" collapsed="false">
      <c r="B56" s="65" t="str">
        <f aca="false">$K$6</f>
        <v> Математические основы информатики</v>
      </c>
      <c r="C56" s="65"/>
      <c r="D56" s="65"/>
      <c r="E56" s="65"/>
      <c r="F56" s="65"/>
      <c r="G56" s="65"/>
      <c r="H56" s="65"/>
      <c r="I56" s="65"/>
      <c r="J56" s="65"/>
      <c r="K56" s="66"/>
      <c r="L56" s="66"/>
      <c r="M56" s="66"/>
      <c r="N56" s="99"/>
      <c r="O56" s="70" t="s">
        <v>1575</v>
      </c>
      <c r="P56" s="70"/>
      <c r="Q56" s="143" t="n">
        <f aca="false">SUM(S9:S42)</f>
        <v>0</v>
      </c>
    </row>
    <row r="57" customFormat="false" ht="15.75" hidden="false" customHeight="true" outlineLevel="0" collapsed="false">
      <c r="B57" s="65" t="str">
        <f aca="false">$L$6</f>
        <v> Программирование</v>
      </c>
      <c r="C57" s="65"/>
      <c r="D57" s="65"/>
      <c r="E57" s="65"/>
      <c r="F57" s="65"/>
      <c r="G57" s="65"/>
      <c r="H57" s="65"/>
      <c r="I57" s="65"/>
      <c r="J57" s="65"/>
      <c r="K57" s="66"/>
      <c r="L57" s="66"/>
      <c r="M57" s="66"/>
      <c r="N57" s="72"/>
      <c r="O57" s="72"/>
      <c r="P57" s="48"/>
    </row>
    <row r="58" customFormat="false" ht="15.75" hidden="false" customHeight="true" outlineLevel="0" collapsed="false">
      <c r="B58" s="65" t="str">
        <f aca="false">$M$6</f>
        <v> Учебно-технологический практикум</v>
      </c>
      <c r="C58" s="65"/>
      <c r="D58" s="65"/>
      <c r="E58" s="65"/>
      <c r="F58" s="65"/>
      <c r="G58" s="65"/>
      <c r="H58" s="65"/>
      <c r="I58" s="65"/>
      <c r="J58" s="65"/>
      <c r="K58" s="66"/>
      <c r="L58" s="66"/>
      <c r="M58" s="66"/>
      <c r="N58" s="67"/>
      <c r="O58" s="67"/>
      <c r="P58" s="48"/>
    </row>
    <row r="59" customFormat="false" ht="15.75" hidden="false" customHeight="true" outlineLevel="0" collapsed="false">
      <c r="B59" s="65" t="str">
        <f aca="false">$N$6</f>
        <v>Физическая культура и спорт</v>
      </c>
      <c r="C59" s="65"/>
      <c r="D59" s="65"/>
      <c r="E59" s="65"/>
      <c r="F59" s="65"/>
      <c r="G59" s="65"/>
      <c r="H59" s="65"/>
      <c r="I59" s="65"/>
      <c r="J59" s="65"/>
      <c r="K59" s="66"/>
      <c r="L59" s="66"/>
      <c r="M59" s="66"/>
      <c r="N59" s="50"/>
      <c r="O59" s="48"/>
      <c r="P59" s="48"/>
    </row>
    <row r="60" customFormat="false" ht="15.75" hidden="false" customHeight="true" outlineLevel="0" collapsed="false"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48"/>
      <c r="P60" s="48"/>
    </row>
    <row r="61" customFormat="false" ht="15.75" hidden="false" customHeight="true" outlineLevel="0" collapsed="false">
      <c r="B61" s="500" t="s">
        <v>1378</v>
      </c>
      <c r="C61" s="50" t="s">
        <v>2720</v>
      </c>
      <c r="D61" s="50"/>
      <c r="E61" s="73"/>
      <c r="F61" s="52" t="s">
        <v>369</v>
      </c>
      <c r="G61" s="300" t="s">
        <v>2721</v>
      </c>
      <c r="H61" s="67"/>
      <c r="I61" s="52"/>
      <c r="J61" s="52"/>
      <c r="K61" s="52"/>
      <c r="L61" s="52"/>
      <c r="M61" s="52"/>
      <c r="N61" s="50"/>
      <c r="O61" s="48"/>
      <c r="P61" s="48"/>
    </row>
    <row r="62" customFormat="false" ht="15.75" hidden="false" customHeight="true" outlineLevel="0" collapsed="false"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48"/>
      <c r="P62" s="48"/>
    </row>
    <row r="63" customFormat="false" ht="15.75" hidden="false" customHeight="true" outlineLevel="0" collapsed="false">
      <c r="C63" s="50"/>
      <c r="D63" s="50"/>
      <c r="E63" s="50" t="s">
        <v>93</v>
      </c>
      <c r="F63" s="50"/>
      <c r="G63" s="50"/>
      <c r="H63" s="50"/>
      <c r="I63" s="50"/>
      <c r="J63" s="50"/>
      <c r="K63" s="50"/>
      <c r="L63" s="50"/>
      <c r="M63" s="50"/>
      <c r="N63" s="50"/>
      <c r="O63" s="48"/>
      <c r="P63" s="48"/>
    </row>
    <row r="64" customFormat="false" ht="15.75" hidden="false" customHeight="true" outlineLevel="0" collapsed="false">
      <c r="C64" s="50"/>
      <c r="D64" s="50"/>
      <c r="E64" s="50" t="s">
        <v>94</v>
      </c>
      <c r="F64" s="50"/>
      <c r="G64" s="50"/>
      <c r="H64" s="50"/>
      <c r="I64" s="50"/>
      <c r="J64" s="50"/>
      <c r="K64" s="50"/>
      <c r="L64" s="50"/>
      <c r="M64" s="50"/>
      <c r="N64" s="50"/>
      <c r="O64" s="48"/>
      <c r="P64" s="48"/>
    </row>
    <row r="65" customFormat="false" ht="15.75" hidden="false" customHeight="true" outlineLevel="0" collapsed="false">
      <c r="C65" s="50"/>
      <c r="D65" s="50"/>
      <c r="E65" s="50" t="s">
        <v>95</v>
      </c>
      <c r="F65" s="50"/>
      <c r="G65" s="50"/>
      <c r="H65" s="50"/>
      <c r="I65" s="50"/>
      <c r="J65" s="50"/>
      <c r="K65" s="50"/>
      <c r="L65" s="50"/>
      <c r="M65" s="50"/>
      <c r="N65" s="50"/>
      <c r="O65" s="48"/>
      <c r="P65" s="48"/>
    </row>
    <row r="66" customFormat="false" ht="15.75" hidden="false" customHeight="true" outlineLevel="0" collapsed="false">
      <c r="C66" s="50"/>
      <c r="D66" s="50"/>
      <c r="E66" s="50" t="s">
        <v>96</v>
      </c>
      <c r="F66" s="50"/>
      <c r="G66" s="50"/>
      <c r="H66" s="50"/>
      <c r="I66" s="50"/>
      <c r="J66" s="50"/>
      <c r="K66" s="50"/>
      <c r="L66" s="50"/>
      <c r="M66" s="50"/>
      <c r="N66" s="50"/>
      <c r="O66" s="48"/>
      <c r="P66" s="48"/>
    </row>
    <row r="67" customFormat="false" ht="15" hidden="false" customHeight="true" outlineLevel="0" collapsed="false">
      <c r="C67" s="50"/>
      <c r="D67" s="50"/>
      <c r="E67" s="50" t="s">
        <v>97</v>
      </c>
      <c r="F67" s="50"/>
      <c r="G67" s="50"/>
      <c r="H67" s="50"/>
      <c r="I67" s="50"/>
      <c r="J67" s="50"/>
      <c r="K67" s="50"/>
      <c r="L67" s="50"/>
      <c r="M67" s="50"/>
      <c r="N67" s="50"/>
    </row>
    <row r="68" customFormat="false" ht="15" hidden="false" customHeight="true" outlineLevel="0" collapsed="false">
      <c r="C68" s="50"/>
      <c r="D68" s="50"/>
      <c r="E68" s="50" t="s">
        <v>98</v>
      </c>
      <c r="F68" s="50"/>
      <c r="G68" s="50"/>
      <c r="H68" s="50"/>
      <c r="I68" s="50"/>
      <c r="J68" s="50"/>
      <c r="K68" s="50"/>
      <c r="L68" s="50"/>
      <c r="M68" s="50"/>
      <c r="N68" s="50"/>
    </row>
    <row r="69" customFormat="false" ht="15" hidden="false" customHeight="false" outlineLevel="0" collapsed="false">
      <c r="D69" s="50"/>
      <c r="E69" s="50" t="s">
        <v>99</v>
      </c>
      <c r="F69" s="50"/>
      <c r="G69" s="50"/>
      <c r="H69" s="50"/>
      <c r="I69" s="50"/>
      <c r="J69" s="50"/>
      <c r="K69" s="50"/>
      <c r="L69" s="50"/>
      <c r="M69" s="50"/>
    </row>
  </sheetData>
  <mergeCells count="46">
    <mergeCell ref="E1:H1"/>
    <mergeCell ref="J2:M2"/>
    <mergeCell ref="A3:N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A43:C43"/>
    <mergeCell ref="J47:K47"/>
    <mergeCell ref="B49:J49"/>
    <mergeCell ref="K49:M49"/>
    <mergeCell ref="O49:P49"/>
    <mergeCell ref="B50:J50"/>
    <mergeCell ref="K50:M50"/>
    <mergeCell ref="O50:P50"/>
    <mergeCell ref="B51:J51"/>
    <mergeCell ref="K51:M51"/>
    <mergeCell ref="O51:P51"/>
    <mergeCell ref="B52:J52"/>
    <mergeCell ref="K52:M52"/>
    <mergeCell ref="O52:P52"/>
    <mergeCell ref="B53:J53"/>
    <mergeCell ref="K53:M53"/>
    <mergeCell ref="O53:P53"/>
    <mergeCell ref="B54:J54"/>
    <mergeCell ref="K54:M54"/>
    <mergeCell ref="O54:P54"/>
    <mergeCell ref="B55:J55"/>
    <mergeCell ref="K55:M55"/>
    <mergeCell ref="O55:P55"/>
    <mergeCell ref="B56:J56"/>
    <mergeCell ref="K56:M56"/>
    <mergeCell ref="O56:P56"/>
    <mergeCell ref="B57:J57"/>
    <mergeCell ref="K57:M57"/>
    <mergeCell ref="B58:J58"/>
    <mergeCell ref="K58:M58"/>
    <mergeCell ref="B59:J59"/>
    <mergeCell ref="K59:M59"/>
  </mergeCells>
  <conditionalFormatting sqref="E8:N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44:P44 G45:P45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43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E42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9:N42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10:O42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43:N43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1"/>
  <sheetViews>
    <sheetView showFormulas="false" showGridLines="true" showRowColHeaders="true" showZeros="true" rightToLeft="false" tabSelected="false" showOutlineSymbols="true" defaultGridColor="true" view="normal" topLeftCell="A5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71"/>
    <col collapsed="false" customWidth="true" hidden="false" outlineLevel="0" max="3" min="3" style="0" width="17.71"/>
    <col collapsed="false" customWidth="true" hidden="false" outlineLevel="0" max="14" min="14" style="0" width="11.43"/>
    <col collapsed="false" customWidth="true" hidden="false" outlineLevel="0" max="16" min="16" style="0" width="10.85"/>
    <col collapsed="false" customWidth="true" hidden="false" outlineLevel="0" max="17" min="17" style="0" width="11.85"/>
    <col collapsed="false" customWidth="true" hidden="false" outlineLevel="0" max="18" min="18" style="0" width="16.43"/>
    <col collapsed="false" customWidth="true" hidden="false" outlineLevel="0" max="19" min="19" style="0" width="5.29"/>
    <col collapsed="false" customWidth="true" hidden="false" outlineLevel="0" max="20" min="20" style="0" width="4.57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J2" s="5" t="s">
        <v>1</v>
      </c>
      <c r="K2" s="5"/>
      <c r="L2" s="5"/>
      <c r="M2" s="5"/>
      <c r="N2" s="6" t="n">
        <f aca="false">set!B4</f>
        <v>45608</v>
      </c>
      <c r="O2" s="364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ИУК6-13 факультета ИУК МГТУ им. Н.Э. Баумана"</f>
        <v>Успеваемость студентов за 1 семестр 24/25 учебного года по группе ИУК6-13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404" t="s">
        <v>7</v>
      </c>
      <c r="J5" s="404"/>
      <c r="K5" s="404"/>
      <c r="L5" s="404"/>
      <c r="M5" s="404"/>
      <c r="N5" s="404"/>
      <c r="O5" s="797" t="s">
        <v>8</v>
      </c>
      <c r="P5" s="797" t="s">
        <v>9</v>
      </c>
      <c r="Q5" s="797" t="s">
        <v>10</v>
      </c>
      <c r="R5" s="201" t="s">
        <v>11</v>
      </c>
      <c r="S5" s="809" t="s">
        <v>2642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542</v>
      </c>
      <c r="F6" s="340" t="s">
        <v>544</v>
      </c>
      <c r="G6" s="340" t="s">
        <v>2073</v>
      </c>
      <c r="H6" s="342" t="s">
        <v>546</v>
      </c>
      <c r="I6" s="405" t="s">
        <v>543</v>
      </c>
      <c r="J6" s="340" t="s">
        <v>18</v>
      </c>
      <c r="K6" s="340" t="s">
        <v>2644</v>
      </c>
      <c r="L6" s="340" t="s">
        <v>2722</v>
      </c>
      <c r="M6" s="340" t="s">
        <v>679</v>
      </c>
      <c r="N6" s="602" t="s">
        <v>147</v>
      </c>
      <c r="O6" s="797"/>
      <c r="P6" s="797"/>
      <c r="Q6" s="797"/>
      <c r="R6" s="201"/>
      <c r="S6" s="809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24</v>
      </c>
      <c r="G7" s="344" t="s">
        <v>2723</v>
      </c>
      <c r="H7" s="346" t="s">
        <v>2646</v>
      </c>
      <c r="I7" s="407" t="s">
        <v>26</v>
      </c>
      <c r="J7" s="407" t="s">
        <v>27</v>
      </c>
      <c r="K7" s="344" t="s">
        <v>549</v>
      </c>
      <c r="L7" s="344" t="s">
        <v>2648</v>
      </c>
      <c r="M7" s="344" t="s">
        <v>2649</v>
      </c>
      <c r="N7" s="496" t="s">
        <v>30</v>
      </c>
      <c r="O7" s="797"/>
      <c r="P7" s="797"/>
      <c r="Q7" s="797"/>
      <c r="R7" s="201"/>
      <c r="S7" s="809"/>
    </row>
    <row r="8" customFormat="false" ht="15" hidden="false" customHeight="false" outlineLevel="0" collapsed="false">
      <c r="A8" s="543" t="n">
        <v>1</v>
      </c>
      <c r="B8" s="25" t="s">
        <v>2724</v>
      </c>
      <c r="C8" s="25" t="s">
        <v>2725</v>
      </c>
      <c r="D8" s="202"/>
      <c r="E8" s="810"/>
      <c r="F8" s="811"/>
      <c r="G8" s="811"/>
      <c r="H8" s="812"/>
      <c r="I8" s="810"/>
      <c r="J8" s="811"/>
      <c r="K8" s="811"/>
      <c r="L8" s="811"/>
      <c r="M8" s="811"/>
      <c r="N8" s="812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241" t="str">
        <f aca="false">IF(D8&lt;&gt;"",(30*(set!B$5)-D8)/(30*(set!B$5))*100,"")</f>
        <v/>
      </c>
      <c r="R8" s="77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36" t="n">
        <f aca="false">COUNTIF(E8:N8,2)+COUNTIF(E8:N8,1)+COUNTIF(E8:N8,0)</f>
        <v>0</v>
      </c>
    </row>
    <row r="9" customFormat="false" ht="15" hidden="false" customHeight="false" outlineLevel="0" collapsed="false">
      <c r="A9" s="85" t="n">
        <v>2</v>
      </c>
      <c r="B9" s="37" t="s">
        <v>2726</v>
      </c>
      <c r="C9" s="37" t="s">
        <v>2727</v>
      </c>
      <c r="D9" s="160"/>
      <c r="E9" s="804"/>
      <c r="F9" s="805"/>
      <c r="G9" s="805"/>
      <c r="H9" s="806"/>
      <c r="I9" s="804"/>
      <c r="J9" s="805"/>
      <c r="K9" s="805"/>
      <c r="L9" s="805"/>
      <c r="M9" s="805"/>
      <c r="N9" s="806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241" t="str">
        <f aca="false">IF(D9&lt;&gt;"",(30*(set!B$5)-D9)/(30*(set!B$5))*100,"")</f>
        <v/>
      </c>
      <c r="R9" s="7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false" outlineLevel="0" collapsed="false">
      <c r="A10" s="37" t="n">
        <v>3</v>
      </c>
      <c r="B10" s="37" t="s">
        <v>2728</v>
      </c>
      <c r="C10" s="37" t="s">
        <v>2729</v>
      </c>
      <c r="D10" s="160"/>
      <c r="E10" s="804"/>
      <c r="F10" s="805"/>
      <c r="G10" s="805"/>
      <c r="H10" s="806"/>
      <c r="I10" s="804"/>
      <c r="J10" s="805"/>
      <c r="K10" s="805"/>
      <c r="L10" s="805"/>
      <c r="M10" s="805"/>
      <c r="N10" s="806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7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customFormat="false" ht="15" hidden="false" customHeight="false" outlineLevel="0" collapsed="false">
      <c r="A11" s="85" t="n">
        <v>4</v>
      </c>
      <c r="B11" s="37" t="s">
        <v>2730</v>
      </c>
      <c r="C11" s="37" t="s">
        <v>2731</v>
      </c>
      <c r="D11" s="160"/>
      <c r="E11" s="804"/>
      <c r="F11" s="805"/>
      <c r="G11" s="805"/>
      <c r="H11" s="806"/>
      <c r="I11" s="804"/>
      <c r="J11" s="805"/>
      <c r="K11" s="805"/>
      <c r="L11" s="805"/>
      <c r="M11" s="805"/>
      <c r="N11" s="806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7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customFormat="false" ht="15" hidden="false" customHeight="false" outlineLevel="0" collapsed="false">
      <c r="A12" s="37" t="n">
        <v>5</v>
      </c>
      <c r="B12" s="37" t="s">
        <v>2732</v>
      </c>
      <c r="C12" s="37" t="s">
        <v>2733</v>
      </c>
      <c r="D12" s="160"/>
      <c r="E12" s="804"/>
      <c r="F12" s="805"/>
      <c r="G12" s="805"/>
      <c r="H12" s="806"/>
      <c r="I12" s="804"/>
      <c r="J12" s="805"/>
      <c r="K12" s="805"/>
      <c r="L12" s="805"/>
      <c r="M12" s="805"/>
      <c r="N12" s="806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7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</row>
    <row r="13" customFormat="false" ht="15" hidden="false" customHeight="false" outlineLevel="0" collapsed="false">
      <c r="A13" s="85" t="n">
        <v>6</v>
      </c>
      <c r="B13" s="37" t="s">
        <v>2734</v>
      </c>
      <c r="C13" s="37" t="s">
        <v>2735</v>
      </c>
      <c r="D13" s="160"/>
      <c r="E13" s="804"/>
      <c r="F13" s="805"/>
      <c r="G13" s="805"/>
      <c r="H13" s="806"/>
      <c r="I13" s="804"/>
      <c r="J13" s="805"/>
      <c r="K13" s="805"/>
      <c r="L13" s="805"/>
      <c r="M13" s="805"/>
      <c r="N13" s="806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241" t="str">
        <f aca="false">IF(D13&lt;&gt;"",(30*(set!B$5)-D13)/(30*(set!B$5))*100,"")</f>
        <v/>
      </c>
      <c r="R13" s="7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customFormat="false" ht="15" hidden="false" customHeight="false" outlineLevel="0" collapsed="false">
      <c r="A14" s="37" t="n">
        <v>7</v>
      </c>
      <c r="B14" s="37" t="s">
        <v>2736</v>
      </c>
      <c r="C14" s="37" t="s">
        <v>2737</v>
      </c>
      <c r="D14" s="160"/>
      <c r="E14" s="804"/>
      <c r="F14" s="805"/>
      <c r="G14" s="805"/>
      <c r="H14" s="806"/>
      <c r="I14" s="804"/>
      <c r="J14" s="805"/>
      <c r="K14" s="805"/>
      <c r="L14" s="805"/>
      <c r="M14" s="805"/>
      <c r="N14" s="806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241" t="str">
        <f aca="false">IF(D14&lt;&gt;"",(30*(set!B$5)-D14)/(30*(set!B$5))*100,"")</f>
        <v/>
      </c>
      <c r="R14" s="77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</row>
    <row r="15" customFormat="false" ht="15" hidden="false" customHeight="false" outlineLevel="0" collapsed="false">
      <c r="A15" s="85" t="n">
        <v>8</v>
      </c>
      <c r="B15" s="37" t="s">
        <v>2738</v>
      </c>
      <c r="C15" s="37" t="s">
        <v>2148</v>
      </c>
      <c r="D15" s="160"/>
      <c r="E15" s="804"/>
      <c r="F15" s="805"/>
      <c r="G15" s="805"/>
      <c r="H15" s="806"/>
      <c r="I15" s="804"/>
      <c r="J15" s="805"/>
      <c r="K15" s="805"/>
      <c r="L15" s="805"/>
      <c r="M15" s="805"/>
      <c r="N15" s="806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241" t="str">
        <f aca="false">IF(D15&lt;&gt;"",(30*(set!B$5)-D15)/(30*(set!B$5))*100,"")</f>
        <v/>
      </c>
      <c r="R15" s="77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</row>
    <row r="16" customFormat="false" ht="15" hidden="false" customHeight="false" outlineLevel="0" collapsed="false">
      <c r="A16" s="37" t="n">
        <v>9</v>
      </c>
      <c r="B16" s="37" t="s">
        <v>2739</v>
      </c>
      <c r="C16" s="37" t="s">
        <v>2740</v>
      </c>
      <c r="D16" s="160"/>
      <c r="E16" s="804"/>
      <c r="F16" s="805"/>
      <c r="G16" s="805"/>
      <c r="H16" s="806"/>
      <c r="I16" s="804"/>
      <c r="J16" s="805"/>
      <c r="K16" s="805"/>
      <c r="L16" s="805"/>
      <c r="M16" s="805"/>
      <c r="N16" s="806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241" t="str">
        <f aca="false">IF(D16&lt;&gt;"",(30*(set!B$5)-D16)/(30*(set!B$5))*100,"")</f>
        <v/>
      </c>
      <c r="R16" s="77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</row>
    <row r="17" customFormat="false" ht="15" hidden="false" customHeight="false" outlineLevel="0" collapsed="false">
      <c r="A17" s="85" t="n">
        <v>10</v>
      </c>
      <c r="B17" s="37" t="s">
        <v>2741</v>
      </c>
      <c r="C17" s="37" t="s">
        <v>2742</v>
      </c>
      <c r="D17" s="160"/>
      <c r="E17" s="804"/>
      <c r="F17" s="805"/>
      <c r="G17" s="805"/>
      <c r="H17" s="806"/>
      <c r="I17" s="804"/>
      <c r="J17" s="805"/>
      <c r="K17" s="805"/>
      <c r="L17" s="805"/>
      <c r="M17" s="805"/>
      <c r="N17" s="806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241" t="str">
        <f aca="false">IF(D17&lt;&gt;"",(30*(set!B$5)-D17)/(30*(set!B$5))*100,"")</f>
        <v/>
      </c>
      <c r="R17" s="77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</row>
    <row r="18" customFormat="false" ht="15" hidden="false" customHeight="false" outlineLevel="0" collapsed="false">
      <c r="A18" s="37" t="n">
        <v>11</v>
      </c>
      <c r="B18" s="37" t="s">
        <v>2743</v>
      </c>
      <c r="C18" s="37" t="s">
        <v>2744</v>
      </c>
      <c r="D18" s="160"/>
      <c r="E18" s="804"/>
      <c r="F18" s="805"/>
      <c r="G18" s="805"/>
      <c r="H18" s="806"/>
      <c r="I18" s="804"/>
      <c r="J18" s="805"/>
      <c r="K18" s="805"/>
      <c r="L18" s="805"/>
      <c r="M18" s="805"/>
      <c r="N18" s="806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241" t="str">
        <f aca="false">IF(D18&lt;&gt;"",(30*(set!B$5)-D18)/(30*(set!B$5))*100,"")</f>
        <v/>
      </c>
      <c r="R18" s="77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</row>
    <row r="19" customFormat="false" ht="15" hidden="false" customHeight="false" outlineLevel="0" collapsed="false">
      <c r="A19" s="85" t="n">
        <v>12</v>
      </c>
      <c r="B19" s="37" t="s">
        <v>2745</v>
      </c>
      <c r="C19" s="37" t="s">
        <v>2746</v>
      </c>
      <c r="D19" s="160"/>
      <c r="E19" s="804"/>
      <c r="F19" s="805"/>
      <c r="G19" s="805"/>
      <c r="H19" s="806"/>
      <c r="I19" s="804"/>
      <c r="J19" s="805"/>
      <c r="K19" s="805"/>
      <c r="L19" s="805"/>
      <c r="M19" s="805"/>
      <c r="N19" s="806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241" t="str">
        <f aca="false">IF(D19&lt;&gt;"",(30*(set!B$5)-D19)/(30*(set!B$5))*100,"")</f>
        <v/>
      </c>
      <c r="R19" s="77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</row>
    <row r="20" customFormat="false" ht="15" hidden="false" customHeight="false" outlineLevel="0" collapsed="false">
      <c r="A20" s="37" t="n">
        <v>13</v>
      </c>
      <c r="B20" s="37" t="s">
        <v>2747</v>
      </c>
      <c r="C20" s="37" t="s">
        <v>2748</v>
      </c>
      <c r="D20" s="160"/>
      <c r="E20" s="804"/>
      <c r="F20" s="805"/>
      <c r="G20" s="805"/>
      <c r="H20" s="806"/>
      <c r="I20" s="804"/>
      <c r="J20" s="805"/>
      <c r="K20" s="805"/>
      <c r="L20" s="805"/>
      <c r="M20" s="805"/>
      <c r="N20" s="806"/>
      <c r="O20" s="33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241" t="str">
        <f aca="false">IF(D20&lt;&gt;"",(30*(set!B$5)-D20)/(30*(set!B$5))*100,"")</f>
        <v/>
      </c>
      <c r="R20" s="77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118" t="n">
        <f aca="false">COUNTIF(E20:N20,2)+COUNTIF(E20:N20,1)+COUNTIF(E20:N20,0)</f>
        <v>0</v>
      </c>
    </row>
    <row r="21" customFormat="false" ht="15" hidden="false" customHeight="false" outlineLevel="0" collapsed="false">
      <c r="A21" s="85" t="n">
        <v>14</v>
      </c>
      <c r="B21" s="37" t="s">
        <v>2749</v>
      </c>
      <c r="C21" s="37" t="s">
        <v>2750</v>
      </c>
      <c r="D21" s="160"/>
      <c r="E21" s="804"/>
      <c r="F21" s="805"/>
      <c r="G21" s="805"/>
      <c r="H21" s="806"/>
      <c r="I21" s="804"/>
      <c r="J21" s="805"/>
      <c r="K21" s="805"/>
      <c r="L21" s="805"/>
      <c r="M21" s="805"/>
      <c r="N21" s="806"/>
      <c r="O21" s="33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241" t="str">
        <f aca="false">IF(D21&lt;&gt;"",(30*(set!B$5)-D21)/(30*(set!B$5))*100,"")</f>
        <v/>
      </c>
      <c r="R21" s="77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118" t="n">
        <f aca="false">COUNTIF(E21:N21,2)+COUNTIF(E21:N21,1)+COUNTIF(E21:N21,0)</f>
        <v>0</v>
      </c>
    </row>
    <row r="22" customFormat="false" ht="15" hidden="false" customHeight="false" outlineLevel="0" collapsed="false">
      <c r="A22" s="37" t="n">
        <v>15</v>
      </c>
      <c r="B22" s="37" t="s">
        <v>2751</v>
      </c>
      <c r="C22" s="37" t="s">
        <v>2752</v>
      </c>
      <c r="D22" s="160"/>
      <c r="E22" s="804"/>
      <c r="F22" s="805"/>
      <c r="G22" s="805"/>
      <c r="H22" s="806"/>
      <c r="I22" s="804"/>
      <c r="J22" s="805"/>
      <c r="K22" s="805"/>
      <c r="L22" s="805"/>
      <c r="M22" s="805"/>
      <c r="N22" s="806"/>
      <c r="O22" s="33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241" t="str">
        <f aca="false">IF(D22&lt;&gt;"",(30*(set!B$5)-D22)/(30*(set!B$5))*100,"")</f>
        <v/>
      </c>
      <c r="R22" s="77" t="str">
        <f aca="false" t="array" ref="R22:R22">IF(E22&lt;&gt;"",IF(O22&lt;1.85,"Выговор",IF(O22=1.85,"Выговор",IF(AND(O22&gt;1.85,O22&lt;3),"Предупреждение",IF(AND(O22&gt;3,O22&lt;4.65),"Нормально",IF(AND(O22&gt;4.65,O22&lt;5.1,E22:N22&gt;=4),"Благодарность","Нормально"))))),"")</f>
        <v/>
      </c>
      <c r="S22" s="118" t="n">
        <f aca="false">COUNTIF(E22:N22,2)+COUNTIF(E22:N22,1)+COUNTIF(E22:N22,0)</f>
        <v>0</v>
      </c>
    </row>
    <row r="23" customFormat="false" ht="15" hidden="false" customHeight="false" outlineLevel="0" collapsed="false">
      <c r="A23" s="85" t="n">
        <v>16</v>
      </c>
      <c r="B23" s="37" t="s">
        <v>2753</v>
      </c>
      <c r="C23" s="37" t="s">
        <v>2754</v>
      </c>
      <c r="D23" s="160"/>
      <c r="E23" s="804"/>
      <c r="F23" s="805"/>
      <c r="G23" s="805"/>
      <c r="H23" s="806"/>
      <c r="I23" s="804"/>
      <c r="J23" s="805"/>
      <c r="K23" s="805"/>
      <c r="L23" s="805"/>
      <c r="M23" s="805"/>
      <c r="N23" s="806"/>
      <c r="O23" s="33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241" t="str">
        <f aca="false">IF(D23&lt;&gt;"",(30*(set!B$5)-D23)/(30*(set!B$5))*100,"")</f>
        <v/>
      </c>
      <c r="R23" s="77" t="str">
        <f aca="false" t="array" ref="R23:R23">IF(E23&lt;&gt;"",IF(O23&lt;1.85,"Выговор",IF(O23=1.85,"Выговор",IF(AND(O23&gt;1.85,O23&lt;3),"Предупреждение",IF(AND(O23&gt;3,O23&lt;4.65),"Нормально",IF(AND(O23&gt;4.65,O23&lt;5.1,E23:N23&gt;=4),"Благодарность","Нормально"))))),"")</f>
        <v/>
      </c>
      <c r="S23" s="118" t="n">
        <f aca="false">COUNTIF(E23:N23,2)+COUNTIF(E23:N23,1)+COUNTIF(E23:N23,0)</f>
        <v>0</v>
      </c>
    </row>
    <row r="24" customFormat="false" ht="15" hidden="false" customHeight="false" outlineLevel="0" collapsed="false">
      <c r="A24" s="37" t="n">
        <v>17</v>
      </c>
      <c r="B24" s="37" t="s">
        <v>2755</v>
      </c>
      <c r="C24" s="37" t="s">
        <v>2756</v>
      </c>
      <c r="D24" s="160"/>
      <c r="E24" s="804"/>
      <c r="F24" s="805"/>
      <c r="G24" s="805"/>
      <c r="H24" s="806"/>
      <c r="I24" s="804"/>
      <c r="J24" s="805"/>
      <c r="K24" s="805"/>
      <c r="L24" s="805"/>
      <c r="M24" s="805"/>
      <c r="N24" s="806"/>
      <c r="O24" s="33" t="str">
        <f aca="false">IFERROR(AVERAGE(E24:N24),"")</f>
        <v/>
      </c>
      <c r="P24" s="84" t="str">
        <f aca="false">IF(E24&lt;&gt;"",IF(COUNTIF(E24:N24,"&lt;3"),"Не успевает","Успевает"),"")</f>
        <v/>
      </c>
      <c r="Q24" s="241" t="str">
        <f aca="false">IF(D24&lt;&gt;"",(30*(set!B$5)-D24)/(30*(set!B$5))*100,"")</f>
        <v/>
      </c>
      <c r="R24" s="77" t="str">
        <f aca="false" t="array" ref="R24:R24">IF(E24&lt;&gt;"",IF(O24&lt;1.85,"Выговор",IF(O24=1.85,"Выговор",IF(AND(O24&gt;1.85,O24&lt;3),"Предупреждение",IF(AND(O24&gt;3,O24&lt;4.65),"Нормально",IF(AND(O24&gt;4.65,O24&lt;5.1,E24:N24&gt;=4),"Благодарность","Нормально"))))),"")</f>
        <v/>
      </c>
      <c r="S24" s="118" t="n">
        <f aca="false">COUNTIF(E24:N24,2)+COUNTIF(E24:N24,1)+COUNTIF(E24:N24,0)</f>
        <v>0</v>
      </c>
    </row>
    <row r="25" customFormat="false" ht="15" hidden="false" customHeight="false" outlineLevel="0" collapsed="false">
      <c r="A25" s="85" t="n">
        <v>18</v>
      </c>
      <c r="B25" s="37" t="s">
        <v>2757</v>
      </c>
      <c r="C25" s="37" t="s">
        <v>2758</v>
      </c>
      <c r="D25" s="160"/>
      <c r="E25" s="804"/>
      <c r="F25" s="805"/>
      <c r="G25" s="805"/>
      <c r="H25" s="806"/>
      <c r="I25" s="804"/>
      <c r="J25" s="805"/>
      <c r="K25" s="805"/>
      <c r="L25" s="805"/>
      <c r="M25" s="805"/>
      <c r="N25" s="806"/>
      <c r="O25" s="33" t="str">
        <f aca="false">IFERROR(AVERAGE(E25:N25),"")</f>
        <v/>
      </c>
      <c r="P25" s="84" t="str">
        <f aca="false">IF(E25&lt;&gt;"",IF(COUNTIF(E25:N25,"&lt;3"),"Не успевает","Успевает"),"")</f>
        <v/>
      </c>
      <c r="Q25" s="241" t="str">
        <f aca="false">IF(D25&lt;&gt;"",(30*(set!B$5)-D25)/(30*(set!B$5))*100,"")</f>
        <v/>
      </c>
      <c r="R25" s="77" t="str">
        <f aca="false" t="array" ref="R25:R25">IF(E25&lt;&gt;"",IF(O25&lt;1.85,"Выговор",IF(O25=1.85,"Выговор",IF(AND(O25&gt;1.85,O25&lt;3),"Предупреждение",IF(AND(O25&gt;3,O25&lt;4.65),"Нормально",IF(AND(O25&gt;4.65,O25&lt;5.1,E25:N25&gt;=4),"Благодарность","Нормально"))))),"")</f>
        <v/>
      </c>
      <c r="S25" s="118" t="n">
        <f aca="false">COUNTIF(E25:N25,2)+COUNTIF(E25:N25,1)+COUNTIF(E25:N25,0)</f>
        <v>0</v>
      </c>
    </row>
    <row r="26" customFormat="false" ht="17.25" hidden="false" customHeight="true" outlineLevel="0" collapsed="false">
      <c r="A26" s="37" t="n">
        <v>19</v>
      </c>
      <c r="B26" s="37" t="s">
        <v>2759</v>
      </c>
      <c r="C26" s="37" t="s">
        <v>2760</v>
      </c>
      <c r="D26" s="160"/>
      <c r="E26" s="804"/>
      <c r="F26" s="805"/>
      <c r="G26" s="805"/>
      <c r="H26" s="806"/>
      <c r="I26" s="804"/>
      <c r="J26" s="805"/>
      <c r="K26" s="805"/>
      <c r="L26" s="805"/>
      <c r="M26" s="805"/>
      <c r="N26" s="806"/>
      <c r="O26" s="33" t="str">
        <f aca="false">IFERROR(AVERAGE(E26:N26),"")</f>
        <v/>
      </c>
      <c r="P26" s="84" t="str">
        <f aca="false">IF(E26&lt;&gt;"",IF(COUNTIF(E26:N26,"&lt;3"),"Не успевает","Успевает"),"")</f>
        <v/>
      </c>
      <c r="Q26" s="241" t="str">
        <f aca="false">IF(D26&lt;&gt;"",(30*(set!B$5)-D26)/(30*(set!B$5))*100,"")</f>
        <v/>
      </c>
      <c r="R26" s="77" t="str">
        <f aca="false" t="array" ref="R26:R26">IF(E26&lt;&gt;"",IF(O26&lt;1.85,"Выговор",IF(O26=1.85,"Выговор",IF(AND(O26&gt;1.85,O26&lt;3),"Предупреждение",IF(AND(O26&gt;3,O26&lt;4.65),"Нормально",IF(AND(O26&gt;4.65,O26&lt;5.1,E26:N26&gt;=4),"Благодарность","Нормально"))))),"")</f>
        <v/>
      </c>
      <c r="S26" s="118" t="n">
        <f aca="false">COUNTIF(E26:N26,2)+COUNTIF(E26:N26,1)+COUNTIF(E26:N26,0)</f>
        <v>0</v>
      </c>
    </row>
    <row r="27" customFormat="false" ht="15.75" hidden="false" customHeight="true" outlineLevel="0" collapsed="false">
      <c r="A27" s="85" t="n">
        <v>20</v>
      </c>
      <c r="B27" s="37" t="s">
        <v>2761</v>
      </c>
      <c r="C27" s="37" t="s">
        <v>2762</v>
      </c>
      <c r="D27" s="160"/>
      <c r="E27" s="804"/>
      <c r="F27" s="805"/>
      <c r="G27" s="805"/>
      <c r="H27" s="806"/>
      <c r="I27" s="804"/>
      <c r="J27" s="805"/>
      <c r="K27" s="805"/>
      <c r="L27" s="805"/>
      <c r="M27" s="805"/>
      <c r="N27" s="806"/>
      <c r="O27" s="33" t="str">
        <f aca="false">IFERROR(AVERAGE(E27:N27),"")</f>
        <v/>
      </c>
      <c r="P27" s="84" t="str">
        <f aca="false">IF(E27&lt;&gt;"",IF(COUNTIF(E27:N27,"&lt;3"),"Не успевает","Успевает"),"")</f>
        <v/>
      </c>
      <c r="Q27" s="241" t="str">
        <f aca="false">IF(D27&lt;&gt;"",(30*(set!B$5)-D27)/(30*(set!B$5))*100,"")</f>
        <v/>
      </c>
      <c r="R27" s="77" t="str">
        <f aca="false" t="array" ref="R27:R27">IF(E27&lt;&gt;"",IF(O27&lt;1.85,"Выговор",IF(O27=1.85,"Выговор",IF(AND(O27&gt;1.85,O27&lt;3),"Предупреждение",IF(AND(O27&gt;3,O27&lt;4.65),"Нормально",IF(AND(O27&gt;4.65,O27&lt;5.1,E27:N27&gt;=4),"Благодарность","Нормально"))))),"")</f>
        <v/>
      </c>
      <c r="S27" s="118" t="n">
        <f aca="false">COUNTIF(E27:N27,2)+COUNTIF(E27:N27,1)+COUNTIF(E27:N27,0)</f>
        <v>0</v>
      </c>
    </row>
    <row r="28" customFormat="false" ht="15.75" hidden="false" customHeight="true" outlineLevel="0" collapsed="false">
      <c r="A28" s="37" t="n">
        <v>21</v>
      </c>
      <c r="B28" s="37" t="s">
        <v>2763</v>
      </c>
      <c r="C28" s="37" t="s">
        <v>2764</v>
      </c>
      <c r="D28" s="160"/>
      <c r="E28" s="804"/>
      <c r="F28" s="805"/>
      <c r="G28" s="805"/>
      <c r="H28" s="806"/>
      <c r="I28" s="804"/>
      <c r="J28" s="805"/>
      <c r="K28" s="805"/>
      <c r="L28" s="805"/>
      <c r="M28" s="805"/>
      <c r="N28" s="806"/>
      <c r="O28" s="33" t="str">
        <f aca="false">IFERROR(AVERAGE(E28:N28),"")</f>
        <v/>
      </c>
      <c r="P28" s="84" t="str">
        <f aca="false">IF(E28&lt;&gt;"",IF(COUNTIF(E28:N28,"&lt;3"),"Не успевает","Успевает"),"")</f>
        <v/>
      </c>
      <c r="Q28" s="241" t="str">
        <f aca="false">IF(D28&lt;&gt;"",(30*(set!B$5)-D28)/(30*(set!B$5))*100,"")</f>
        <v/>
      </c>
      <c r="R28" s="77" t="str">
        <f aca="false" t="array" ref="R28:R28">IF(E28&lt;&gt;"",IF(O28&lt;1.85,"Выговор",IF(O28=1.85,"Выговор",IF(AND(O28&gt;1.85,O28&lt;3),"Предупреждение",IF(AND(O28&gt;3,O28&lt;4.65),"Нормально",IF(AND(O28&gt;4.65,O28&lt;5.1,E28:N28&gt;=4),"Благодарность","Нормально"))))),"")</f>
        <v/>
      </c>
      <c r="S28" s="118" t="n">
        <f aca="false">COUNTIF(E28:N28,2)+COUNTIF(E28:N28,1)+COUNTIF(E28:N28,0)</f>
        <v>0</v>
      </c>
    </row>
    <row r="29" s="45" customFormat="true" ht="15.75" hidden="false" customHeight="true" outlineLevel="0" collapsed="false">
      <c r="A29" s="37" t="n">
        <v>22</v>
      </c>
      <c r="B29" s="37" t="s">
        <v>2765</v>
      </c>
      <c r="C29" s="37" t="s">
        <v>2766</v>
      </c>
      <c r="D29" s="160"/>
      <c r="E29" s="804"/>
      <c r="F29" s="805"/>
      <c r="G29" s="805"/>
      <c r="H29" s="806"/>
      <c r="I29" s="804"/>
      <c r="J29" s="805"/>
      <c r="K29" s="805"/>
      <c r="L29" s="805"/>
      <c r="M29" s="805"/>
      <c r="N29" s="806"/>
      <c r="O29" s="33" t="str">
        <f aca="false">IFERROR(AVERAGE(E29:N29),"")</f>
        <v/>
      </c>
      <c r="P29" s="84" t="str">
        <f aca="false">IF(E29&lt;&gt;"",IF(COUNTIF(E29:N29,"&lt;3"),"Не успевает","Успевает"),"")</f>
        <v/>
      </c>
      <c r="Q29" s="241" t="str">
        <f aca="false">IF(D29&lt;&gt;"",(30*(set!B$5)-D29)/(30*(set!B$5))*100,"")</f>
        <v/>
      </c>
      <c r="R29" s="77" t="str">
        <f aca="false" t="array" ref="R29:R29">IF(E29&lt;&gt;"",IF(O29&lt;1.85,"Выговор",IF(O29=1.85,"Выговор",IF(AND(O29&gt;1.85,O29&lt;3),"Предупреждение",IF(AND(O29&gt;3,O29&lt;4.65),"Нормально",IF(AND(O29&gt;4.65,O29&lt;5.1,E29:N29&gt;=4),"Благодарность","Нормально"))))),"")</f>
        <v/>
      </c>
      <c r="S29" s="118" t="n">
        <f aca="false">COUNTIF(E29:N29,2)+COUNTIF(E29:N29,1)+COUNTIF(E29:N29,0)</f>
        <v>0</v>
      </c>
    </row>
    <row r="30" s="45" customFormat="true" ht="15.75" hidden="false" customHeight="true" outlineLevel="0" collapsed="false">
      <c r="A30" s="37" t="n">
        <v>23</v>
      </c>
      <c r="B30" s="37" t="s">
        <v>2767</v>
      </c>
      <c r="C30" s="37" t="s">
        <v>2768</v>
      </c>
      <c r="D30" s="160"/>
      <c r="E30" s="804"/>
      <c r="F30" s="805"/>
      <c r="G30" s="805"/>
      <c r="H30" s="806"/>
      <c r="I30" s="804"/>
      <c r="J30" s="805"/>
      <c r="K30" s="805"/>
      <c r="L30" s="805"/>
      <c r="M30" s="805"/>
      <c r="N30" s="806"/>
      <c r="O30" s="33" t="str">
        <f aca="false">IFERROR(AVERAGE(E30:N30),"")</f>
        <v/>
      </c>
      <c r="P30" s="84" t="str">
        <f aca="false">IF(E30&lt;&gt;"",IF(COUNTIF(E30:N30,"&lt;3"),"Не успевает","Успевает"),"")</f>
        <v/>
      </c>
      <c r="Q30" s="241" t="str">
        <f aca="false">IF(D30&lt;&gt;"",(30*(set!B$5)-D30)/(30*(set!B$5))*100,"")</f>
        <v/>
      </c>
      <c r="R30" s="77" t="str">
        <f aca="false" t="array" ref="R30:R30">IF(E30&lt;&gt;"",IF(O30&lt;1.85,"Выговор",IF(O30=1.85,"Выговор",IF(AND(O30&gt;1.85,O30&lt;3),"Предупреждение",IF(AND(O30&gt;3,O30&lt;4.65),"Нормально",IF(AND(O30&gt;4.65,O30&lt;5.1,E30:N30&gt;=4),"Благодарность","Нормально"))))),"")</f>
        <v/>
      </c>
      <c r="S30" s="118" t="n">
        <f aca="false">COUNTIF(E30:N30,2)+COUNTIF(E30:N30,1)+COUNTIF(E30:N30,0)</f>
        <v>0</v>
      </c>
    </row>
    <row r="31" s="45" customFormat="true" ht="15.75" hidden="false" customHeight="true" outlineLevel="0" collapsed="false">
      <c r="A31" s="37" t="n">
        <v>24</v>
      </c>
      <c r="B31" s="37" t="s">
        <v>2769</v>
      </c>
      <c r="C31" s="37" t="s">
        <v>2770</v>
      </c>
      <c r="D31" s="160"/>
      <c r="E31" s="804"/>
      <c r="F31" s="805"/>
      <c r="G31" s="805"/>
      <c r="H31" s="806"/>
      <c r="I31" s="804"/>
      <c r="J31" s="805"/>
      <c r="K31" s="805"/>
      <c r="L31" s="805"/>
      <c r="M31" s="805"/>
      <c r="N31" s="806"/>
      <c r="O31" s="33" t="str">
        <f aca="false">IFERROR(AVERAGE(E31:N31),"")</f>
        <v/>
      </c>
      <c r="P31" s="84" t="str">
        <f aca="false">IF(E31&lt;&gt;"",IF(COUNTIF(E31:N31,"&lt;3"),"Не успевает","Успевает"),"")</f>
        <v/>
      </c>
      <c r="Q31" s="241" t="str">
        <f aca="false">IF(D31&lt;&gt;"",(30*(set!B$5)-D31)/(30*(set!B$5))*100,"")</f>
        <v/>
      </c>
      <c r="R31" s="77" t="str">
        <f aca="false" t="array" ref="R31:R31">IF(E31&lt;&gt;"",IF(O31&lt;1.85,"Выговор",IF(O31=1.85,"Выговор",IF(AND(O31&gt;1.85,O31&lt;3),"Предупреждение",IF(AND(O31&gt;3,O31&lt;4.65),"Нормально",IF(AND(O31&gt;4.65,O31&lt;5.1,E31:N31&gt;=4),"Благодарность","Нормально"))))),"")</f>
        <v/>
      </c>
      <c r="S31" s="118" t="n">
        <f aca="false">COUNTIF(E31:N31,2)+COUNTIF(E31:N31,1)+COUNTIF(E31:N31,0)</f>
        <v>0</v>
      </c>
    </row>
    <row r="32" s="45" customFormat="true" ht="15.75" hidden="false" customHeight="true" outlineLevel="0" collapsed="false">
      <c r="A32" s="37" t="n">
        <v>25</v>
      </c>
      <c r="B32" s="37" t="s">
        <v>2771</v>
      </c>
      <c r="C32" s="37" t="s">
        <v>2772</v>
      </c>
      <c r="D32" s="160"/>
      <c r="E32" s="804"/>
      <c r="F32" s="805"/>
      <c r="G32" s="805"/>
      <c r="H32" s="806"/>
      <c r="I32" s="804"/>
      <c r="J32" s="805"/>
      <c r="K32" s="805"/>
      <c r="L32" s="805"/>
      <c r="M32" s="805"/>
      <c r="N32" s="806"/>
      <c r="O32" s="33" t="str">
        <f aca="false">IFERROR(AVERAGE(E32:N32),"")</f>
        <v/>
      </c>
      <c r="P32" s="84" t="str">
        <f aca="false">IF(E32&lt;&gt;"",IF(COUNTIF(E32:N32,"&lt;3"),"Не успевает","Успевает"),"")</f>
        <v/>
      </c>
      <c r="Q32" s="241" t="str">
        <f aca="false">IF(D32&lt;&gt;"",(30*(set!B$5)-D32)/(30*(set!B$5))*100,"")</f>
        <v/>
      </c>
      <c r="R32" s="77" t="str">
        <f aca="false" t="array" ref="R32:R32">IF(E32&lt;&gt;"",IF(O32&lt;1.85,"Выговор",IF(O32=1.85,"Выговор",IF(AND(O32&gt;1.85,O32&lt;3),"Предупреждение",IF(AND(O32&gt;3,O32&lt;4.65),"Нормально",IF(AND(O32&gt;4.65,O32&lt;5.1,E32:N32&gt;=4),"Благодарность","Нормально"))))),"")</f>
        <v/>
      </c>
      <c r="S32" s="118" t="n">
        <f aca="false">COUNTIF(E32:N32,2)+COUNTIF(E32:N32,1)+COUNTIF(E32:N32,0)</f>
        <v>0</v>
      </c>
    </row>
    <row r="33" customFormat="false" ht="15" hidden="false" customHeight="true" outlineLevel="0" collapsed="false">
      <c r="A33" s="85" t="n">
        <v>26</v>
      </c>
      <c r="B33" s="37" t="s">
        <v>2773</v>
      </c>
      <c r="C33" s="37" t="s">
        <v>2774</v>
      </c>
      <c r="D33" s="160"/>
      <c r="E33" s="804"/>
      <c r="F33" s="805"/>
      <c r="G33" s="805"/>
      <c r="H33" s="806"/>
      <c r="I33" s="804"/>
      <c r="J33" s="805"/>
      <c r="K33" s="805"/>
      <c r="L33" s="805"/>
      <c r="M33" s="805"/>
      <c r="N33" s="806"/>
      <c r="O33" s="33" t="str">
        <f aca="false">IFERROR(AVERAGE(E33:N33),"")</f>
        <v/>
      </c>
      <c r="P33" s="84" t="str">
        <f aca="false">IF(E33&lt;&gt;"",IF(COUNTIF(E33:N33,"&lt;3"),"Не успевает","Успевает"),"")</f>
        <v/>
      </c>
      <c r="Q33" s="241" t="str">
        <f aca="false">IF(D33&lt;&gt;"",(30*(set!B$5)-D33)/(30*(set!B$5))*100,"")</f>
        <v/>
      </c>
      <c r="R33" s="77" t="str">
        <f aca="false" t="array" ref="R33:R33">IF(E33&lt;&gt;"",IF(O33&lt;1.85,"Выговор",IF(O33=1.85,"Выговор",IF(AND(O33&gt;1.85,O33&lt;3),"Предупреждение",IF(AND(O33&gt;3,O33&lt;4.65),"Нормально",IF(AND(O33&gt;4.65,O33&lt;5.1,E33:N33&gt;=4),"Благодарность","Нормально"))))),"")</f>
        <v/>
      </c>
      <c r="S33" s="118" t="n">
        <f aca="false">COUNTIF(E33:N33,2)+COUNTIF(E33:N33,1)+COUNTIF(E33:N33,0)</f>
        <v>0</v>
      </c>
    </row>
    <row r="34" customFormat="false" ht="15.75" hidden="false" customHeight="true" outlineLevel="0" collapsed="false">
      <c r="A34" s="639" t="s">
        <v>77</v>
      </c>
      <c r="B34" s="639"/>
      <c r="C34" s="639"/>
      <c r="D34" s="50"/>
      <c r="E34" s="813" t="e">
        <f aca="false">AVERAGE(E8:E33)</f>
        <v>#DIV/0!</v>
      </c>
      <c r="F34" s="813" t="e">
        <f aca="false">AVERAGE(F8:F33)</f>
        <v>#DIV/0!</v>
      </c>
      <c r="G34" s="813" t="e">
        <f aca="false">AVERAGE(G8:G33)</f>
        <v>#DIV/0!</v>
      </c>
      <c r="H34" s="813" t="e">
        <f aca="false">AVERAGE(H8:H33)</f>
        <v>#DIV/0!</v>
      </c>
      <c r="I34" s="813" t="e">
        <f aca="false">AVERAGE(I8:I33)</f>
        <v>#DIV/0!</v>
      </c>
      <c r="J34" s="813" t="e">
        <f aca="false">AVERAGE(J8:J33)</f>
        <v>#DIV/0!</v>
      </c>
      <c r="K34" s="813" t="e">
        <f aca="false">AVERAGE(K8:K33)</f>
        <v>#DIV/0!</v>
      </c>
      <c r="L34" s="813" t="e">
        <f aca="false">AVERAGE(L8:L33)</f>
        <v>#DIV/0!</v>
      </c>
      <c r="M34" s="813" t="e">
        <f aca="false">AVERAGE(M8:M33)</f>
        <v>#DIV/0!</v>
      </c>
      <c r="N34" s="813" t="e">
        <f aca="false">AVERAGE(N8:N33)</f>
        <v>#DIV/0!</v>
      </c>
      <c r="O34" s="48"/>
      <c r="P34" s="49"/>
    </row>
    <row r="35" customFormat="false" ht="15.75" hidden="false" customHeight="true" outlineLevel="0" collapsed="false">
      <c r="A35" s="50" t="s">
        <v>78</v>
      </c>
      <c r="B35" s="50"/>
      <c r="C35" s="50"/>
      <c r="D35" s="50"/>
      <c r="E35" s="814" t="e">
        <f aca="false">(COUNTIF(E8:E33,5)+COUNTIF(E8:E33,4)+COUNTIF(E8:E33,3))/$Q$41*100</f>
        <v>#DIV/0!</v>
      </c>
      <c r="F35" s="814" t="e">
        <f aca="false">(COUNTIF(F8:F33,5)+COUNTIF(F8:F33,4)+COUNTIF(F8:F33,3))/$Q$41*100</f>
        <v>#DIV/0!</v>
      </c>
      <c r="G35" s="814" t="e">
        <f aca="false">(COUNTIF(G8:G33,5)+COUNTIF(G8:G33,4)+COUNTIF(G8:G33,3))/$Q$41*100</f>
        <v>#DIV/0!</v>
      </c>
      <c r="H35" s="814" t="e">
        <f aca="false">(COUNTIF(H8:H33,5)+COUNTIF(H8:H33,4)+COUNTIF(H8:H33,3))/$Q$41*100</f>
        <v>#DIV/0!</v>
      </c>
      <c r="I35" s="814" t="e">
        <f aca="false">(COUNTIF(I8:I33,5)+COUNTIF(I8:I33,4)+COUNTIF(I8:I33,3))/$Q$41*100</f>
        <v>#DIV/0!</v>
      </c>
      <c r="J35" s="814" t="e">
        <f aca="false">(COUNTIF(J8:J33,5)+COUNTIF(J8:J33,4)+COUNTIF(J8:J33,3))/$Q$41*100</f>
        <v>#DIV/0!</v>
      </c>
      <c r="K35" s="814" t="e">
        <f aca="false">(COUNTIF(K8:K33,5)+COUNTIF(K8:K33,4)+COUNTIF(K8:K33,3))/$Q$41*100</f>
        <v>#DIV/0!</v>
      </c>
      <c r="L35" s="814" t="e">
        <f aca="false">(COUNTIF(L8:L33,5)+COUNTIF(L8:L33,4)+COUNTIF(L8:L33,3))/$Q$41*100</f>
        <v>#DIV/0!</v>
      </c>
      <c r="M35" s="814" t="e">
        <f aca="false">(COUNTIF(M8:M33,5)+COUNTIF(M8:M33,4)+COUNTIF(M8:M33,3))/$Q$41*100</f>
        <v>#DIV/0!</v>
      </c>
      <c r="N35" s="814" t="e">
        <f aca="false">(COUNTIF(N8:N33,5)+COUNTIF(N8:N33,4)+COUNTIF(N8:N33,3))/$Q$41*100</f>
        <v>#DIV/0!</v>
      </c>
      <c r="O35" s="48"/>
      <c r="P35" s="47"/>
      <c r="Q35" s="48"/>
      <c r="R35" s="49"/>
    </row>
    <row r="36" customFormat="false" ht="15.75" hidden="false" customHeight="true" outlineLevel="0" collapsed="false">
      <c r="F36" s="794"/>
      <c r="G36" s="48"/>
      <c r="H36" s="48"/>
      <c r="I36" s="48"/>
      <c r="J36" s="48"/>
      <c r="K36" s="48"/>
      <c r="L36" s="48"/>
      <c r="M36" s="48"/>
      <c r="N36" s="48"/>
      <c r="O36" s="48"/>
      <c r="P36" s="47"/>
      <c r="Q36" s="48"/>
      <c r="R36" s="49"/>
    </row>
    <row r="37" customFormat="false" ht="15.75" hidden="false" customHeight="true" outlineLevel="0" collapsed="false">
      <c r="F37" s="46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</row>
    <row r="38" customFormat="false" ht="15.75" hidden="false" customHeight="true" outlineLevel="0" collapsed="false"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</row>
    <row r="39" customFormat="false" ht="15.75" hidden="false" customHeight="true" outlineLevel="0" collapsed="false">
      <c r="D39" s="74" t="s">
        <v>8</v>
      </c>
      <c r="E39" s="74"/>
      <c r="F39" s="51" t="str">
        <f aca="false">IFERROR(AVERAGE(O8:O33),"")</f>
        <v/>
      </c>
      <c r="G39" s="74" t="s">
        <v>9</v>
      </c>
      <c r="H39" s="74"/>
      <c r="I39" s="53" t="str">
        <f aca="false">IFERROR(COUNTIF(P8:P33,"Успевает")/Q41*100,"")</f>
        <v/>
      </c>
      <c r="J39" s="54" t="s">
        <v>79</v>
      </c>
      <c r="K39" s="54"/>
      <c r="L39" s="55" t="str">
        <f aca="false">IFERROR(AVERAGE(Q8:Q33),"")</f>
        <v/>
      </c>
      <c r="M39" s="52"/>
    </row>
    <row r="40" customFormat="false" ht="15.75" hidden="false" customHeight="true" outlineLevel="0" collapsed="false">
      <c r="D40" s="50"/>
      <c r="E40" s="50"/>
      <c r="F40" s="50"/>
      <c r="G40" s="56"/>
      <c r="H40" s="56"/>
      <c r="I40" s="56"/>
      <c r="J40" s="56"/>
      <c r="K40" s="56"/>
      <c r="L40" s="56"/>
      <c r="M40" s="56"/>
    </row>
    <row r="41" customFormat="false" ht="15.75" hidden="false" customHeight="true" outlineLevel="0" collapsed="false">
      <c r="B41" s="61" t="s">
        <v>81</v>
      </c>
      <c r="C41" s="61"/>
      <c r="D41" s="61"/>
      <c r="E41" s="61"/>
      <c r="F41" s="61"/>
      <c r="G41" s="61"/>
      <c r="H41" s="61"/>
      <c r="I41" s="61"/>
      <c r="J41" s="61"/>
      <c r="K41" s="425" t="s">
        <v>82</v>
      </c>
      <c r="L41" s="425"/>
      <c r="M41" s="425"/>
      <c r="O41" s="57" t="s">
        <v>80</v>
      </c>
      <c r="P41" s="57"/>
      <c r="Q41" s="58" t="n">
        <f aca="false">SUM(Q42,Q43)</f>
        <v>0</v>
      </c>
    </row>
    <row r="42" customFormat="false" ht="15.75" hidden="false" customHeight="true" outlineLevel="0" collapsed="false">
      <c r="B42" s="65" t="str">
        <f aca="false">$E$6</f>
        <v> Аналитическая геометрия и линейная алгебра</v>
      </c>
      <c r="C42" s="65"/>
      <c r="D42" s="65"/>
      <c r="E42" s="65"/>
      <c r="F42" s="65"/>
      <c r="G42" s="65"/>
      <c r="H42" s="65"/>
      <c r="I42" s="65"/>
      <c r="J42" s="65"/>
      <c r="K42" s="66"/>
      <c r="L42" s="66"/>
      <c r="M42" s="66"/>
      <c r="O42" s="57" t="s">
        <v>83</v>
      </c>
      <c r="P42" s="57"/>
      <c r="Q42" s="58" t="n">
        <f aca="false">COUNTIF(P8:P33,"Успевает")</f>
        <v>0</v>
      </c>
    </row>
    <row r="43" customFormat="false" ht="15.75" hidden="false" customHeight="true" outlineLevel="0" collapsed="false">
      <c r="B43" s="65" t="str">
        <f aca="false">$F$6</f>
        <v> Математический анализ</v>
      </c>
      <c r="C43" s="65"/>
      <c r="D43" s="65"/>
      <c r="E43" s="65"/>
      <c r="F43" s="65"/>
      <c r="G43" s="65"/>
      <c r="H43" s="65"/>
      <c r="I43" s="65"/>
      <c r="J43" s="65"/>
      <c r="K43" s="66"/>
      <c r="L43" s="66"/>
      <c r="M43" s="66"/>
      <c r="O43" s="98" t="s">
        <v>84</v>
      </c>
      <c r="P43" s="98"/>
      <c r="Q43" s="58" t="n">
        <f aca="false">COUNTIF(P8:P33,"Не успевает")</f>
        <v>0</v>
      </c>
    </row>
    <row r="44" customFormat="false" ht="15.75" hidden="false" customHeight="true" outlineLevel="0" collapsed="false">
      <c r="B44" s="65" t="str">
        <f aca="false">$G$6</f>
        <v> Основы программирования</v>
      </c>
      <c r="C44" s="65"/>
      <c r="D44" s="65"/>
      <c r="E44" s="65"/>
      <c r="F44" s="65"/>
      <c r="G44" s="65"/>
      <c r="H44" s="65"/>
      <c r="I44" s="65"/>
      <c r="J44" s="65"/>
      <c r="K44" s="66"/>
      <c r="L44" s="66"/>
      <c r="M44" s="66"/>
      <c r="O44" s="98" t="s">
        <v>85</v>
      </c>
      <c r="P44" s="98"/>
      <c r="Q44" s="58" t="n">
        <f aca="false">COUNTIF(R8:R33,"Благодарность")</f>
        <v>0</v>
      </c>
    </row>
    <row r="45" customFormat="false" ht="15.75" hidden="false" customHeight="true" outlineLevel="0" collapsed="false">
      <c r="B45" s="65" t="str">
        <f aca="false">$H$6</f>
        <v> Теоретическая информатика</v>
      </c>
      <c r="C45" s="65"/>
      <c r="D45" s="65"/>
      <c r="E45" s="65"/>
      <c r="F45" s="65"/>
      <c r="G45" s="65"/>
      <c r="H45" s="65"/>
      <c r="I45" s="65"/>
      <c r="J45" s="65"/>
      <c r="K45" s="66"/>
      <c r="L45" s="66"/>
      <c r="M45" s="66"/>
      <c r="O45" s="98" t="s">
        <v>86</v>
      </c>
      <c r="P45" s="98"/>
      <c r="Q45" s="58" t="n">
        <f aca="false">COUNTIF(R8:R33,"Нормально")</f>
        <v>0</v>
      </c>
    </row>
    <row r="46" customFormat="false" ht="15.75" hidden="false" customHeight="true" outlineLevel="0" collapsed="false">
      <c r="B46" s="65" t="str">
        <f aca="false">$I$6</f>
        <v> Инженерная графика</v>
      </c>
      <c r="C46" s="65"/>
      <c r="D46" s="65"/>
      <c r="E46" s="65"/>
      <c r="F46" s="65"/>
      <c r="G46" s="65"/>
      <c r="H46" s="65"/>
      <c r="I46" s="65"/>
      <c r="J46" s="65"/>
      <c r="K46" s="66"/>
      <c r="L46" s="66"/>
      <c r="M46" s="66"/>
      <c r="O46" s="98" t="s">
        <v>87</v>
      </c>
      <c r="P46" s="98"/>
      <c r="Q46" s="58" t="n">
        <f aca="false">COUNTIF(R8:R33,"Предупреждение")</f>
        <v>0</v>
      </c>
    </row>
    <row r="47" customFormat="false" ht="15.75" hidden="false" customHeight="true" outlineLevel="0" collapsed="false">
      <c r="B47" s="65" t="str">
        <f aca="false">$J$6</f>
        <v>Иностранный язык</v>
      </c>
      <c r="C47" s="65"/>
      <c r="D47" s="65"/>
      <c r="E47" s="65"/>
      <c r="F47" s="65"/>
      <c r="G47" s="65"/>
      <c r="H47" s="65"/>
      <c r="I47" s="65"/>
      <c r="J47" s="65"/>
      <c r="K47" s="66"/>
      <c r="L47" s="66"/>
      <c r="M47" s="66"/>
      <c r="N47" s="64"/>
      <c r="O47" s="98" t="s">
        <v>88</v>
      </c>
      <c r="P47" s="98"/>
      <c r="Q47" s="58" t="n">
        <f aca="false">COUNTIF(R8:R33,"Выговор")</f>
        <v>0</v>
      </c>
    </row>
    <row r="48" customFormat="false" ht="15.75" hidden="false" customHeight="true" outlineLevel="0" collapsed="false">
      <c r="B48" s="65" t="str">
        <f aca="false">$K$6</f>
        <v> Математические основы информатики</v>
      </c>
      <c r="C48" s="65"/>
      <c r="D48" s="65"/>
      <c r="E48" s="65"/>
      <c r="F48" s="65"/>
      <c r="G48" s="65"/>
      <c r="H48" s="65"/>
      <c r="I48" s="65"/>
      <c r="J48" s="65"/>
      <c r="K48" s="66"/>
      <c r="L48" s="66"/>
      <c r="M48" s="66"/>
      <c r="N48" s="99"/>
      <c r="O48" s="70" t="s">
        <v>1575</v>
      </c>
      <c r="P48" s="70"/>
      <c r="Q48" s="143" t="n">
        <f aca="false">SUM(S8:S33)</f>
        <v>0</v>
      </c>
    </row>
    <row r="49" customFormat="false" ht="15.75" hidden="false" customHeight="true" outlineLevel="0" collapsed="false">
      <c r="B49" s="65" t="str">
        <f aca="false">$L$6</f>
        <v> Теория государства и права</v>
      </c>
      <c r="C49" s="65"/>
      <c r="D49" s="65"/>
      <c r="E49" s="65"/>
      <c r="F49" s="65"/>
      <c r="G49" s="65"/>
      <c r="H49" s="65"/>
      <c r="I49" s="65"/>
      <c r="J49" s="65"/>
      <c r="K49" s="66"/>
      <c r="L49" s="66"/>
      <c r="M49" s="66"/>
      <c r="N49" s="72"/>
      <c r="O49" s="72"/>
      <c r="P49" s="48"/>
    </row>
    <row r="50" customFormat="false" ht="15.75" hidden="false" customHeight="true" outlineLevel="0" collapsed="false">
      <c r="B50" s="65" t="str">
        <f aca="false">$M$6</f>
        <v> Учебно-технологический практикум</v>
      </c>
      <c r="C50" s="65"/>
      <c r="D50" s="65"/>
      <c r="E50" s="65"/>
      <c r="F50" s="65"/>
      <c r="G50" s="65"/>
      <c r="H50" s="65"/>
      <c r="I50" s="65"/>
      <c r="J50" s="65"/>
      <c r="K50" s="66"/>
      <c r="L50" s="66"/>
      <c r="M50" s="66"/>
      <c r="N50" s="67"/>
      <c r="O50" s="67"/>
      <c r="P50" s="48"/>
    </row>
    <row r="51" customFormat="false" ht="15.75" hidden="false" customHeight="true" outlineLevel="0" collapsed="false">
      <c r="B51" s="65" t="str">
        <f aca="false">$N$6</f>
        <v>Физическая культура и спорт</v>
      </c>
      <c r="C51" s="65"/>
      <c r="D51" s="65"/>
      <c r="E51" s="65"/>
      <c r="F51" s="65"/>
      <c r="G51" s="65"/>
      <c r="H51" s="65"/>
      <c r="I51" s="65"/>
      <c r="J51" s="65"/>
      <c r="K51" s="66"/>
      <c r="L51" s="66"/>
      <c r="M51" s="66"/>
      <c r="N51" s="50"/>
      <c r="O51" s="48"/>
      <c r="P51" s="48"/>
      <c r="Q51" s="48"/>
    </row>
    <row r="52" customFormat="false" ht="15.75" hidden="false" customHeight="true" outlineLevel="0" collapsed="false"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48"/>
      <c r="P52" s="48"/>
      <c r="Q52" s="48"/>
      <c r="R52" s="48"/>
    </row>
    <row r="53" customFormat="false" ht="15.75" hidden="false" customHeight="true" outlineLevel="0" collapsed="false">
      <c r="B53" s="500" t="s">
        <v>1378</v>
      </c>
      <c r="C53" s="50" t="s">
        <v>2775</v>
      </c>
      <c r="D53" s="50"/>
      <c r="E53" s="73"/>
      <c r="F53" s="52" t="s">
        <v>369</v>
      </c>
      <c r="G53" s="300" t="s">
        <v>2721</v>
      </c>
      <c r="H53" s="67"/>
      <c r="I53" s="52"/>
      <c r="J53" s="52"/>
      <c r="K53" s="52"/>
      <c r="L53" s="52"/>
      <c r="M53" s="52"/>
      <c r="N53" s="50"/>
      <c r="O53" s="48"/>
      <c r="P53" s="48"/>
      <c r="Q53" s="48"/>
      <c r="R53" s="48"/>
    </row>
    <row r="54" customFormat="false" ht="15.75" hidden="false" customHeight="true" outlineLevel="0" collapsed="false"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48"/>
      <c r="P54" s="48"/>
      <c r="Q54" s="48"/>
      <c r="R54" s="48"/>
    </row>
    <row r="55" customFormat="false" ht="15.75" hidden="false" customHeight="true" outlineLevel="0" collapsed="false">
      <c r="C55" s="50"/>
      <c r="D55" s="50"/>
      <c r="E55" s="50" t="s">
        <v>93</v>
      </c>
      <c r="F55" s="50"/>
      <c r="G55" s="50"/>
      <c r="H55" s="50"/>
      <c r="I55" s="50"/>
      <c r="J55" s="50"/>
      <c r="K55" s="50"/>
      <c r="L55" s="50"/>
      <c r="M55" s="50"/>
      <c r="N55" s="50"/>
      <c r="O55" s="48"/>
      <c r="P55" s="48"/>
      <c r="Q55" s="48"/>
      <c r="R55" s="48"/>
    </row>
    <row r="56" customFormat="false" ht="15.75" hidden="false" customHeight="true" outlineLevel="0" collapsed="false">
      <c r="C56" s="50"/>
      <c r="D56" s="50"/>
      <c r="E56" s="50" t="s">
        <v>94</v>
      </c>
      <c r="F56" s="50"/>
      <c r="G56" s="50"/>
      <c r="H56" s="50"/>
      <c r="I56" s="50"/>
      <c r="J56" s="50"/>
      <c r="K56" s="50"/>
      <c r="L56" s="50"/>
      <c r="M56" s="50"/>
      <c r="N56" s="50"/>
      <c r="O56" s="48"/>
      <c r="P56" s="48"/>
      <c r="Q56" s="48"/>
      <c r="R56" s="48"/>
    </row>
    <row r="57" customFormat="false" ht="15.75" hidden="false" customHeight="true" outlineLevel="0" collapsed="false">
      <c r="C57" s="50"/>
      <c r="D57" s="50"/>
      <c r="E57" s="50" t="s">
        <v>95</v>
      </c>
      <c r="F57" s="50"/>
      <c r="G57" s="50"/>
      <c r="H57" s="50"/>
      <c r="I57" s="50"/>
      <c r="J57" s="50"/>
      <c r="K57" s="50"/>
      <c r="L57" s="50"/>
      <c r="M57" s="50"/>
      <c r="N57" s="50"/>
      <c r="O57" s="48"/>
      <c r="P57" s="48"/>
      <c r="Q57" s="48"/>
      <c r="R57" s="48"/>
    </row>
    <row r="58" customFormat="false" ht="15.75" hidden="false" customHeight="true" outlineLevel="0" collapsed="false">
      <c r="C58" s="50"/>
      <c r="D58" s="50"/>
      <c r="E58" s="50" t="s">
        <v>96</v>
      </c>
      <c r="F58" s="50"/>
      <c r="G58" s="50"/>
      <c r="H58" s="50"/>
      <c r="I58" s="50"/>
      <c r="J58" s="50"/>
      <c r="K58" s="50"/>
      <c r="L58" s="50"/>
      <c r="M58" s="50"/>
      <c r="N58" s="50"/>
      <c r="O58" s="48"/>
      <c r="P58" s="48"/>
      <c r="Q58" s="48"/>
      <c r="R58" s="48"/>
    </row>
    <row r="59" customFormat="false" ht="15" hidden="false" customHeight="true" outlineLevel="0" collapsed="false">
      <c r="C59" s="50"/>
      <c r="D59" s="50"/>
      <c r="E59" s="50" t="s">
        <v>97</v>
      </c>
      <c r="F59" s="50"/>
      <c r="G59" s="50"/>
      <c r="H59" s="50"/>
      <c r="I59" s="50"/>
      <c r="J59" s="50"/>
      <c r="K59" s="50"/>
      <c r="L59" s="50"/>
      <c r="M59" s="50"/>
      <c r="N59" s="50"/>
    </row>
    <row r="60" customFormat="false" ht="15" hidden="false" customHeight="true" outlineLevel="0" collapsed="false">
      <c r="C60" s="50"/>
      <c r="D60" s="50"/>
      <c r="E60" s="50" t="s">
        <v>98</v>
      </c>
      <c r="F60" s="50"/>
      <c r="G60" s="50"/>
      <c r="H60" s="50"/>
      <c r="I60" s="50"/>
      <c r="J60" s="50"/>
      <c r="K60" s="50"/>
      <c r="L60" s="50"/>
      <c r="M60" s="50"/>
      <c r="N60" s="50"/>
    </row>
    <row r="61" customFormat="false" ht="15" hidden="false" customHeight="false" outlineLevel="0" collapsed="false">
      <c r="D61" s="50"/>
      <c r="E61" s="50" t="s">
        <v>99</v>
      </c>
      <c r="F61" s="50"/>
      <c r="G61" s="50"/>
      <c r="H61" s="50"/>
      <c r="I61" s="50"/>
      <c r="J61" s="50"/>
      <c r="K61" s="50"/>
      <c r="L61" s="50"/>
      <c r="M61" s="50"/>
    </row>
  </sheetData>
  <mergeCells count="48">
    <mergeCell ref="E1:H1"/>
    <mergeCell ref="J2:M2"/>
    <mergeCell ref="A3:N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A34:C34"/>
    <mergeCell ref="D39:E39"/>
    <mergeCell ref="G39:H39"/>
    <mergeCell ref="J39:K39"/>
    <mergeCell ref="B41:J41"/>
    <mergeCell ref="K41:M41"/>
    <mergeCell ref="O41:P41"/>
    <mergeCell ref="B42:J42"/>
    <mergeCell ref="K42:M42"/>
    <mergeCell ref="O42:P42"/>
    <mergeCell ref="B43:J43"/>
    <mergeCell ref="K43:M43"/>
    <mergeCell ref="O43:P43"/>
    <mergeCell ref="B44:J44"/>
    <mergeCell ref="K44:M44"/>
    <mergeCell ref="O44:P44"/>
    <mergeCell ref="B45:J45"/>
    <mergeCell ref="K45:M45"/>
    <mergeCell ref="O45:P45"/>
    <mergeCell ref="B46:J46"/>
    <mergeCell ref="K46:M46"/>
    <mergeCell ref="O46:P46"/>
    <mergeCell ref="B47:J47"/>
    <mergeCell ref="K47:M47"/>
    <mergeCell ref="O47:P47"/>
    <mergeCell ref="B48:J48"/>
    <mergeCell ref="K48:M48"/>
    <mergeCell ref="O48:P48"/>
    <mergeCell ref="B49:J49"/>
    <mergeCell ref="K49:M49"/>
    <mergeCell ref="B50:J50"/>
    <mergeCell ref="K50:M50"/>
    <mergeCell ref="B51:J51"/>
    <mergeCell ref="K51:M51"/>
  </mergeCells>
  <conditionalFormatting sqref="E29:E3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9:N3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35:P35 G36:P36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34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37:O3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4:N3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28 E33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N28 F33:N33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9:O33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2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U22" activeCellId="0" sqref="U22"/>
    </sheetView>
  </sheetViews>
  <sheetFormatPr defaultColWidth="8.71484375" defaultRowHeight="15" zeroHeight="false" outlineLevelRow="0" outlineLevelCol="0"/>
  <cols>
    <col collapsed="false" customWidth="true" hidden="false" outlineLevel="0" max="3" min="3" style="0" width="17.71"/>
    <col collapsed="false" customWidth="true" hidden="false" outlineLevel="0" max="14" min="14" style="0" width="10.14"/>
    <col collapsed="false" customWidth="true" hidden="false" outlineLevel="0" max="15" min="15" style="0" width="10.85"/>
    <col collapsed="false" customWidth="true" hidden="false" outlineLevel="0" max="16" min="16" style="0" width="12.15"/>
    <col collapsed="false" customWidth="true" hidden="false" outlineLevel="0" max="18" min="18" style="0" width="16.71"/>
    <col collapsed="false" customWidth="true" hidden="false" outlineLevel="0" max="19" min="19" style="0" width="4.29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J2" s="5" t="s">
        <v>1</v>
      </c>
      <c r="K2" s="5"/>
      <c r="L2" s="5"/>
      <c r="M2" s="5"/>
      <c r="N2" s="6"/>
      <c r="O2" s="267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ИУК6-19 факультета ИУК МГТУ им. Н.Э. Баумана"</f>
        <v>Успеваемость студентов за 1 семестр 24/25 учебного года по группе ИУК6-19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customFormat="false" ht="15" hidden="false" customHeight="false" outlineLevel="0" collapsed="false">
      <c r="B4" s="7"/>
      <c r="C4" s="7"/>
    </row>
    <row r="5" customFormat="false" ht="15.7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1"/>
      <c r="O5" s="815" t="s">
        <v>8</v>
      </c>
      <c r="P5" s="815" t="s">
        <v>9</v>
      </c>
      <c r="Q5" s="815" t="s">
        <v>10</v>
      </c>
      <c r="R5" s="816" t="s">
        <v>11</v>
      </c>
      <c r="S5" s="798" t="s">
        <v>2642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542</v>
      </c>
      <c r="F6" s="340" t="s">
        <v>544</v>
      </c>
      <c r="G6" s="340" t="s">
        <v>546</v>
      </c>
      <c r="H6" s="602" t="s">
        <v>2643</v>
      </c>
      <c r="I6" s="340" t="s">
        <v>543</v>
      </c>
      <c r="J6" s="340" t="s">
        <v>18</v>
      </c>
      <c r="K6" s="340" t="s">
        <v>2644</v>
      </c>
      <c r="L6" s="340" t="s">
        <v>2776</v>
      </c>
      <c r="M6" s="340" t="s">
        <v>679</v>
      </c>
      <c r="N6" s="602" t="s">
        <v>147</v>
      </c>
      <c r="O6" s="815"/>
      <c r="P6" s="815"/>
      <c r="Q6" s="815"/>
      <c r="R6" s="816"/>
      <c r="S6" s="798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24</v>
      </c>
      <c r="G7" s="344" t="s">
        <v>2646</v>
      </c>
      <c r="H7" s="496" t="s">
        <v>2647</v>
      </c>
      <c r="I7" s="344" t="s">
        <v>26</v>
      </c>
      <c r="J7" s="407" t="s">
        <v>27</v>
      </c>
      <c r="K7" s="344" t="s">
        <v>549</v>
      </c>
      <c r="L7" s="344" t="s">
        <v>151</v>
      </c>
      <c r="M7" s="344" t="s">
        <v>2649</v>
      </c>
      <c r="N7" s="496" t="s">
        <v>30</v>
      </c>
      <c r="O7" s="815"/>
      <c r="P7" s="815"/>
      <c r="Q7" s="815"/>
      <c r="R7" s="816"/>
      <c r="S7" s="798"/>
    </row>
    <row r="8" customFormat="false" ht="15" hidden="false" customHeight="true" outlineLevel="0" collapsed="false">
      <c r="A8" s="817" t="n">
        <v>1</v>
      </c>
      <c r="B8" s="817" t="s">
        <v>2777</v>
      </c>
      <c r="C8" s="817" t="s">
        <v>2778</v>
      </c>
      <c r="D8" s="818"/>
      <c r="E8" s="622"/>
      <c r="F8" s="563"/>
      <c r="G8" s="819"/>
      <c r="H8" s="573"/>
      <c r="I8" s="633"/>
      <c r="J8" s="634"/>
      <c r="K8" s="634"/>
      <c r="L8" s="634"/>
      <c r="M8" s="633"/>
      <c r="N8" s="820"/>
      <c r="O8" s="33" t="str">
        <f aca="false">IFERROR(AVERAGE(E8:N8),"")</f>
        <v/>
      </c>
      <c r="P8" s="84" t="str">
        <f aca="false">IF(G8&lt;&gt;"",IF(COUNTIF(E8:N8,"&lt;3"),"Не успевает","Успевает"),"")</f>
        <v/>
      </c>
      <c r="Q8" s="241" t="str">
        <f aca="false">IF(D8&lt;&gt;"",(30*(set!B$5)-D8)/(30*(set!B$5))*100,"")</f>
        <v/>
      </c>
      <c r="R8" s="77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118" t="n">
        <f aca="false">COUNTIF(E8:N8,2)+COUNTIF(E8:N8,1)+COUNTIF(E8:N8,0)</f>
        <v>0</v>
      </c>
    </row>
    <row r="9" customFormat="false" ht="15" hidden="false" customHeight="true" outlineLevel="0" collapsed="false">
      <c r="A9" s="85" t="n">
        <v>2</v>
      </c>
      <c r="B9" s="37" t="s">
        <v>2779</v>
      </c>
      <c r="C9" s="37" t="s">
        <v>2780</v>
      </c>
      <c r="D9" s="821"/>
      <c r="E9" s="474"/>
      <c r="F9" s="475"/>
      <c r="G9" s="476"/>
      <c r="H9" s="568"/>
      <c r="I9" s="567"/>
      <c r="J9" s="475"/>
      <c r="K9" s="475"/>
      <c r="L9" s="475"/>
      <c r="M9" s="633"/>
      <c r="N9" s="820"/>
      <c r="O9" s="33" t="str">
        <f aca="false">IFERROR(AVERAGE(E9:N9),"")</f>
        <v/>
      </c>
      <c r="P9" s="84" t="str">
        <f aca="false">IF(G9&lt;&gt;"",IF(COUNTIF(E9:N9,"&lt;3"),"Не успевает","Успевает"),"")</f>
        <v/>
      </c>
      <c r="Q9" s="241" t="str">
        <f aca="false">IF(D9&lt;&gt;"",(30*(set!B$5)-D9)/(30*(set!B$5))*100,"")</f>
        <v/>
      </c>
      <c r="R9" s="7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85" t="n">
        <v>3</v>
      </c>
      <c r="B10" s="37" t="s">
        <v>2781</v>
      </c>
      <c r="C10" s="37" t="s">
        <v>2782</v>
      </c>
      <c r="D10" s="821"/>
      <c r="E10" s="474"/>
      <c r="F10" s="475"/>
      <c r="G10" s="476"/>
      <c r="H10" s="568"/>
      <c r="I10" s="567"/>
      <c r="J10" s="475"/>
      <c r="K10" s="475"/>
      <c r="L10" s="475"/>
      <c r="M10" s="633"/>
      <c r="N10" s="820"/>
      <c r="O10" s="33" t="str">
        <f aca="false">IFERROR(AVERAGE(E10:N10),"")</f>
        <v/>
      </c>
      <c r="P10" s="84" t="str">
        <f aca="false">IF(G10&lt;&gt;"",IF(COUNTIF(E10:N10,"&lt;3"),"Не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7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customFormat="false" ht="15" hidden="false" customHeight="true" outlineLevel="0" collapsed="false">
      <c r="A11" s="85" t="n">
        <v>4</v>
      </c>
      <c r="B11" s="37" t="s">
        <v>2783</v>
      </c>
      <c r="C11" s="37" t="s">
        <v>2784</v>
      </c>
      <c r="D11" s="821"/>
      <c r="E11" s="474"/>
      <c r="F11" s="475"/>
      <c r="G11" s="476"/>
      <c r="H11" s="568"/>
      <c r="I11" s="567"/>
      <c r="J11" s="475"/>
      <c r="K11" s="475"/>
      <c r="L11" s="475"/>
      <c r="M11" s="633"/>
      <c r="N11" s="820"/>
      <c r="O11" s="33" t="str">
        <f aca="false">IFERROR(AVERAGE(E11:N11),"")</f>
        <v/>
      </c>
      <c r="P11" s="84" t="str">
        <f aca="false">IF(G11&lt;&gt;"",IF(COUNTIF(E11:N11,"&lt;3"),"Не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7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s="45" customFormat="true" ht="15" hidden="false" customHeight="true" outlineLevel="0" collapsed="false">
      <c r="A12" s="85" t="n">
        <v>5</v>
      </c>
      <c r="B12" s="37" t="s">
        <v>2785</v>
      </c>
      <c r="C12" s="37" t="s">
        <v>2786</v>
      </c>
      <c r="D12" s="821"/>
      <c r="E12" s="474"/>
      <c r="F12" s="475"/>
      <c r="G12" s="476"/>
      <c r="H12" s="568"/>
      <c r="I12" s="567"/>
      <c r="J12" s="475"/>
      <c r="K12" s="475"/>
      <c r="L12" s="475"/>
      <c r="M12" s="633"/>
      <c r="N12" s="820"/>
      <c r="O12" s="33" t="str">
        <f aca="false">IFERROR(AVERAGE(E12:N12),"")</f>
        <v/>
      </c>
      <c r="P12" s="84" t="str">
        <f aca="false">IF(G12&lt;&gt;"",IF(COUNTIF(E12:N12,"&lt;3"),"Не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7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</row>
    <row r="13" customFormat="false" ht="15" hidden="false" customHeight="true" outlineLevel="0" collapsed="false">
      <c r="A13" s="85" t="n">
        <v>6</v>
      </c>
      <c r="B13" s="37" t="s">
        <v>2787</v>
      </c>
      <c r="C13" s="37" t="s">
        <v>2788</v>
      </c>
      <c r="D13" s="821"/>
      <c r="E13" s="474"/>
      <c r="F13" s="475"/>
      <c r="G13" s="476"/>
      <c r="H13" s="568"/>
      <c r="I13" s="567"/>
      <c r="J13" s="475"/>
      <c r="K13" s="475"/>
      <c r="L13" s="475"/>
      <c r="M13" s="633"/>
      <c r="N13" s="820"/>
      <c r="O13" s="33" t="str">
        <f aca="false">IFERROR(AVERAGE(E13:N13),"")</f>
        <v/>
      </c>
      <c r="P13" s="84" t="str">
        <f aca="false">IF(G13&lt;&gt;"",IF(COUNTIF(E13:N13,"&lt;3"),"Не успевает","Успевает"),"")</f>
        <v/>
      </c>
      <c r="Q13" s="241" t="str">
        <f aca="false">IF(D13&lt;&gt;"",(30*(set!B$5)-D13)/(30*(set!B$5))*100,"")</f>
        <v/>
      </c>
      <c r="R13" s="7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customFormat="false" ht="15" hidden="false" customHeight="true" outlineLevel="0" collapsed="false">
      <c r="A14" s="691" t="s">
        <v>77</v>
      </c>
      <c r="B14" s="691"/>
      <c r="C14" s="691"/>
      <c r="E14" s="260" t="e">
        <f aca="false">AVERAGE(E8:E13)</f>
        <v>#DIV/0!</v>
      </c>
      <c r="F14" s="260" t="e">
        <f aca="false">AVERAGE(F8:F13)</f>
        <v>#DIV/0!</v>
      </c>
      <c r="G14" s="260" t="e">
        <f aca="false">AVERAGE(G8:G13)</f>
        <v>#DIV/0!</v>
      </c>
      <c r="H14" s="260" t="e">
        <f aca="false">AVERAGE(H8:H13)</f>
        <v>#DIV/0!</v>
      </c>
      <c r="I14" s="260" t="e">
        <f aca="false">AVERAGE(I8:I13)</f>
        <v>#DIV/0!</v>
      </c>
      <c r="J14" s="260" t="e">
        <f aca="false">AVERAGE(J8:J13)</f>
        <v>#DIV/0!</v>
      </c>
      <c r="K14" s="260" t="e">
        <f aca="false">AVERAGE(K8:K13)</f>
        <v>#DIV/0!</v>
      </c>
      <c r="L14" s="260" t="e">
        <f aca="false">AVERAGE(L8:L13)</f>
        <v>#DIV/0!</v>
      </c>
      <c r="M14" s="260" t="e">
        <f aca="false">AVERAGE(M8:M13)</f>
        <v>#DIV/0!</v>
      </c>
      <c r="N14" s="260" t="e">
        <f aca="false">AVERAGE(N8:N13)</f>
        <v>#DIV/0!</v>
      </c>
      <c r="O14" s="48"/>
      <c r="P14" s="49"/>
    </row>
    <row r="15" customFormat="false" ht="15" hidden="false" customHeight="true" outlineLevel="0" collapsed="false">
      <c r="A15" s="0" t="s">
        <v>78</v>
      </c>
      <c r="E15" s="448" t="e">
        <f aca="false">(COUNTIF(E8:E13,5)+COUNTIF(E8:E13,4)+COUNTIF(E8:E13,3))/$Q$21*100</f>
        <v>#DIV/0!</v>
      </c>
      <c r="F15" s="448" t="e">
        <f aca="false">(COUNTIF(F8:F13,5)+COUNTIF(F8:F13,4)+COUNTIF(F8:F13,3))/$Q$21*100</f>
        <v>#DIV/0!</v>
      </c>
      <c r="G15" s="448" t="e">
        <f aca="false">(COUNTIF(G8:G13,5)+COUNTIF(G8:G13,4)+COUNTIF(G8:G13,3))/$Q$21*100</f>
        <v>#DIV/0!</v>
      </c>
      <c r="H15" s="448" t="e">
        <f aca="false">(COUNTIF(H8:H13,5)+COUNTIF(H8:H13,4)+COUNTIF(H8:H13,3))/$Q$21*100</f>
        <v>#DIV/0!</v>
      </c>
      <c r="I15" s="448" t="e">
        <f aca="false">(COUNTIF(I8:I13,5)+COUNTIF(I8:I13,4)+COUNTIF(I8:I13,3))/$Q$21*100</f>
        <v>#DIV/0!</v>
      </c>
      <c r="J15" s="448" t="e">
        <f aca="false">(COUNTIF(J8:J13,5)+COUNTIF(J8:J13,4)+COUNTIF(J8:J13,3))/$Q$21*100</f>
        <v>#DIV/0!</v>
      </c>
      <c r="K15" s="448" t="e">
        <f aca="false">(COUNTIF(K8:K13,5)+COUNTIF(K8:K13,4)+COUNTIF(K8:K13,3))/$Q$21*100</f>
        <v>#DIV/0!</v>
      </c>
      <c r="L15" s="448" t="e">
        <f aca="false">(COUNTIF(L8:L13,5)+COUNTIF(L8:L13,4)+COUNTIF(L8:L13,3))/$Q$21*100</f>
        <v>#DIV/0!</v>
      </c>
      <c r="M15" s="448" t="e">
        <f aca="false">(COUNTIF(M8:M13,5)+COUNTIF(M8:M13,4)+COUNTIF(M8:M13,3))/$Q$21*100</f>
        <v>#DIV/0!</v>
      </c>
      <c r="N15" s="448" t="e">
        <f aca="false">(COUNTIF(N8:N13,5)+COUNTIF(N8:N13,4)+COUNTIF(N8:N13,3))/$Q$21*100</f>
        <v>#DIV/0!</v>
      </c>
      <c r="O15" s="48"/>
      <c r="P15" s="47"/>
      <c r="Q15" s="48"/>
      <c r="R15" s="49"/>
    </row>
    <row r="16" customFormat="false" ht="15" hidden="false" customHeight="true" outlineLevel="0" collapsed="false">
      <c r="F16" s="794"/>
      <c r="G16" s="48"/>
      <c r="H16" s="48"/>
      <c r="I16" s="48"/>
      <c r="J16" s="48"/>
      <c r="K16" s="48"/>
      <c r="L16" s="48"/>
      <c r="M16" s="48"/>
      <c r="N16" s="48"/>
      <c r="O16" s="48"/>
      <c r="P16" s="47"/>
      <c r="Q16" s="48"/>
      <c r="R16" s="49"/>
    </row>
    <row r="17" customFormat="false" ht="15" hidden="false" customHeight="true" outlineLevel="0" collapsed="false">
      <c r="F17" s="46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</row>
    <row r="18" customFormat="false" ht="15" hidden="false" customHeight="true" outlineLevel="0" collapsed="false"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</row>
    <row r="19" customFormat="false" ht="15" hidden="false" customHeight="true" outlineLevel="0" collapsed="false">
      <c r="D19" s="74" t="s">
        <v>8</v>
      </c>
      <c r="E19" s="74"/>
      <c r="F19" s="51" t="str">
        <f aca="false">IFERROR(AVERAGE(O8:O13),"")</f>
        <v/>
      </c>
      <c r="G19" s="52" t="s">
        <v>9</v>
      </c>
      <c r="I19" s="53" t="str">
        <f aca="false">IFERROR(COUNTIF(P8:P13,"Успевает")/Q21*100,"")</f>
        <v/>
      </c>
      <c r="J19" s="319" t="s">
        <v>79</v>
      </c>
      <c r="K19" s="319"/>
      <c r="L19" s="55" t="str">
        <f aca="false">IFERROR(AVERAGE(Q8:Q13),"")</f>
        <v/>
      </c>
      <c r="M19" s="52"/>
    </row>
    <row r="20" customFormat="false" ht="15" hidden="false" customHeight="true" outlineLevel="0" collapsed="false">
      <c r="D20" s="50"/>
      <c r="E20" s="50"/>
      <c r="F20" s="50"/>
      <c r="G20" s="56"/>
      <c r="H20" s="56"/>
      <c r="I20" s="56"/>
      <c r="J20" s="56"/>
      <c r="K20" s="56"/>
      <c r="L20" s="56"/>
      <c r="M20" s="56"/>
    </row>
    <row r="21" customFormat="false" ht="15" hidden="false" customHeight="true" outlineLevel="0" collapsed="false">
      <c r="B21" s="61" t="s">
        <v>81</v>
      </c>
      <c r="C21" s="61"/>
      <c r="D21" s="61"/>
      <c r="E21" s="61"/>
      <c r="F21" s="61"/>
      <c r="G21" s="61"/>
      <c r="H21" s="61"/>
      <c r="I21" s="61"/>
      <c r="J21" s="61"/>
      <c r="K21" s="425" t="s">
        <v>82</v>
      </c>
      <c r="L21" s="425"/>
      <c r="M21" s="425"/>
      <c r="O21" s="57" t="s">
        <v>80</v>
      </c>
      <c r="P21" s="57"/>
      <c r="Q21" s="58" t="n">
        <f aca="false">SUM(Q22,Q23)</f>
        <v>0</v>
      </c>
    </row>
    <row r="22" customFormat="false" ht="15" hidden="false" customHeight="true" outlineLevel="0" collapsed="false">
      <c r="B22" s="65" t="str">
        <f aca="false">$E$6</f>
        <v> Аналитическая геометрия и линейная алгебра</v>
      </c>
      <c r="C22" s="65"/>
      <c r="D22" s="65"/>
      <c r="E22" s="65"/>
      <c r="F22" s="65"/>
      <c r="G22" s="65"/>
      <c r="H22" s="65"/>
      <c r="I22" s="65"/>
      <c r="J22" s="65"/>
      <c r="K22" s="66"/>
      <c r="L22" s="66"/>
      <c r="M22" s="66"/>
      <c r="O22" s="57" t="s">
        <v>83</v>
      </c>
      <c r="P22" s="57"/>
      <c r="Q22" s="58" t="n">
        <f aca="false">COUNTIF(P8:P13,"Успевает")</f>
        <v>0</v>
      </c>
    </row>
    <row r="23" customFormat="false" ht="15" hidden="false" customHeight="true" outlineLevel="0" collapsed="false">
      <c r="B23" s="65" t="str">
        <f aca="false">$F$6</f>
        <v> Математический анализ</v>
      </c>
      <c r="C23" s="65"/>
      <c r="D23" s="65"/>
      <c r="E23" s="65"/>
      <c r="F23" s="65"/>
      <c r="G23" s="65"/>
      <c r="H23" s="65"/>
      <c r="I23" s="65"/>
      <c r="J23" s="65"/>
      <c r="K23" s="66"/>
      <c r="L23" s="66"/>
      <c r="M23" s="66"/>
      <c r="O23" s="98" t="s">
        <v>84</v>
      </c>
      <c r="P23" s="98"/>
      <c r="Q23" s="58" t="n">
        <f aca="false">COUNTIF(P8:P13,"Не успевает")</f>
        <v>0</v>
      </c>
    </row>
    <row r="24" customFormat="false" ht="15" hidden="false" customHeight="true" outlineLevel="0" collapsed="false">
      <c r="B24" s="65" t="str">
        <f aca="false">$G$6</f>
        <v> Теоретическая информатика</v>
      </c>
      <c r="C24" s="65"/>
      <c r="D24" s="65"/>
      <c r="E24" s="65"/>
      <c r="F24" s="65"/>
      <c r="G24" s="65"/>
      <c r="H24" s="65"/>
      <c r="I24" s="65"/>
      <c r="J24" s="65"/>
      <c r="K24" s="66"/>
      <c r="L24" s="66"/>
      <c r="M24" s="66"/>
      <c r="O24" s="98" t="s">
        <v>85</v>
      </c>
      <c r="P24" s="98"/>
      <c r="Q24" s="58" t="n">
        <f aca="false">COUNTIF(R8:R13,"Благодарность")</f>
        <v>0</v>
      </c>
    </row>
    <row r="25" customFormat="false" ht="15" hidden="false" customHeight="true" outlineLevel="0" collapsed="false">
      <c r="B25" s="65" t="str">
        <f aca="false">$H$6</f>
        <v> Языки программирования</v>
      </c>
      <c r="C25" s="65"/>
      <c r="D25" s="65"/>
      <c r="E25" s="65"/>
      <c r="F25" s="65"/>
      <c r="G25" s="65"/>
      <c r="H25" s="65"/>
      <c r="I25" s="65"/>
      <c r="J25" s="65"/>
      <c r="K25" s="66"/>
      <c r="L25" s="66"/>
      <c r="M25" s="66"/>
      <c r="O25" s="98" t="s">
        <v>86</v>
      </c>
      <c r="P25" s="98"/>
      <c r="Q25" s="58" t="n">
        <f aca="false">COUNTIF(R8:R13,"Нормально")</f>
        <v>0</v>
      </c>
    </row>
    <row r="26" customFormat="false" ht="15" hidden="false" customHeight="true" outlineLevel="0" collapsed="false">
      <c r="B26" s="65" t="str">
        <f aca="false">$I$6</f>
        <v> Инженерная графика</v>
      </c>
      <c r="C26" s="65"/>
      <c r="D26" s="65"/>
      <c r="E26" s="65"/>
      <c r="F26" s="65"/>
      <c r="G26" s="65"/>
      <c r="H26" s="65"/>
      <c r="I26" s="65"/>
      <c r="J26" s="65"/>
      <c r="K26" s="66"/>
      <c r="L26" s="66"/>
      <c r="M26" s="66"/>
      <c r="O26" s="98" t="s">
        <v>87</v>
      </c>
      <c r="P26" s="98"/>
      <c r="Q26" s="58" t="n">
        <f aca="false">COUNTIF(R8:R13,"Предупреждение")</f>
        <v>0</v>
      </c>
    </row>
    <row r="27" customFormat="false" ht="15" hidden="false" customHeight="true" outlineLevel="0" collapsed="false">
      <c r="B27" s="65" t="str">
        <f aca="false">$J$6</f>
        <v>Иностранный язык</v>
      </c>
      <c r="C27" s="65"/>
      <c r="D27" s="65"/>
      <c r="E27" s="65"/>
      <c r="F27" s="65"/>
      <c r="G27" s="65"/>
      <c r="H27" s="65"/>
      <c r="I27" s="65"/>
      <c r="J27" s="65"/>
      <c r="K27" s="66"/>
      <c r="L27" s="66"/>
      <c r="M27" s="66"/>
      <c r="O27" s="98" t="s">
        <v>88</v>
      </c>
      <c r="P27" s="98"/>
      <c r="Q27" s="58" t="n">
        <f aca="false">COUNTIF(R8:R13,"Выговор")</f>
        <v>0</v>
      </c>
    </row>
    <row r="28" customFormat="false" ht="15" hidden="false" customHeight="true" outlineLevel="0" collapsed="false">
      <c r="B28" s="65" t="str">
        <f aca="false">$K$6</f>
        <v> Математические основы информатики</v>
      </c>
      <c r="C28" s="65"/>
      <c r="D28" s="65"/>
      <c r="E28" s="65"/>
      <c r="F28" s="65"/>
      <c r="G28" s="65"/>
      <c r="H28" s="65"/>
      <c r="I28" s="65"/>
      <c r="J28" s="65"/>
      <c r="K28" s="66"/>
      <c r="L28" s="66"/>
      <c r="M28" s="66"/>
      <c r="O28" s="822" t="s">
        <v>2642</v>
      </c>
      <c r="P28" s="823"/>
      <c r="Q28" s="143" t="n">
        <f aca="false">SUM(S8:S13)</f>
        <v>0</v>
      </c>
    </row>
    <row r="29" customFormat="false" ht="15" hidden="false" customHeight="true" outlineLevel="0" collapsed="false">
      <c r="B29" s="65" t="str">
        <f aca="false">$L$6</f>
        <v>Общевоинские уставы Вооруженных сил Российской Федерации</v>
      </c>
      <c r="C29" s="65"/>
      <c r="D29" s="65"/>
      <c r="E29" s="65"/>
      <c r="F29" s="65"/>
      <c r="G29" s="65"/>
      <c r="H29" s="65"/>
      <c r="I29" s="65"/>
      <c r="J29" s="65"/>
      <c r="K29" s="66"/>
      <c r="L29" s="66"/>
      <c r="M29" s="66"/>
      <c r="N29" s="50"/>
      <c r="O29" s="48"/>
      <c r="P29" s="48"/>
    </row>
    <row r="30" customFormat="false" ht="15" hidden="false" customHeight="true" outlineLevel="0" collapsed="false">
      <c r="B30" s="65" t="str">
        <f aca="false">$M$6</f>
        <v> Учебно-технологический практикум</v>
      </c>
      <c r="C30" s="65"/>
      <c r="D30" s="65"/>
      <c r="E30" s="65"/>
      <c r="F30" s="65"/>
      <c r="G30" s="65"/>
      <c r="H30" s="65"/>
      <c r="I30" s="65"/>
      <c r="J30" s="65"/>
      <c r="K30" s="66"/>
      <c r="L30" s="66"/>
      <c r="M30" s="66"/>
      <c r="N30" s="50"/>
      <c r="O30" s="48"/>
      <c r="P30" s="48"/>
    </row>
    <row r="31" customFormat="false" ht="15" hidden="false" customHeight="true" outlineLevel="0" collapsed="false">
      <c r="B31" s="65" t="str">
        <f aca="false">$N$6</f>
        <v>Физическая культура и спорт</v>
      </c>
      <c r="C31" s="65"/>
      <c r="D31" s="65"/>
      <c r="E31" s="65"/>
      <c r="F31" s="65"/>
      <c r="G31" s="65"/>
      <c r="H31" s="65"/>
      <c r="I31" s="65"/>
      <c r="J31" s="65"/>
      <c r="K31" s="66"/>
      <c r="L31" s="66"/>
      <c r="M31" s="66"/>
      <c r="N31" s="50"/>
      <c r="O31" s="48"/>
      <c r="P31" s="48"/>
    </row>
    <row r="32" customFormat="false" ht="15" hidden="false" customHeight="true" outlineLevel="0" collapsed="false"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48"/>
      <c r="P32" s="48"/>
    </row>
    <row r="33" customFormat="false" ht="15" hidden="false" customHeight="true" outlineLevel="0" collapsed="false">
      <c r="B33" s="299" t="s">
        <v>1378</v>
      </c>
      <c r="C33" s="824" t="s">
        <v>2789</v>
      </c>
      <c r="D33" s="50"/>
      <c r="E33" s="73"/>
      <c r="F33" s="52" t="s">
        <v>369</v>
      </c>
      <c r="G33" s="350" t="s">
        <v>163</v>
      </c>
      <c r="H33" s="67"/>
      <c r="I33" s="52"/>
      <c r="J33" s="52"/>
      <c r="K33" s="52"/>
      <c r="L33" s="52"/>
      <c r="M33" s="52"/>
      <c r="N33" s="50"/>
      <c r="O33" s="48"/>
      <c r="P33" s="48"/>
      <c r="Q33" s="48"/>
      <c r="R33" s="48"/>
    </row>
    <row r="34" customFormat="false" ht="15" hidden="false" customHeight="true" outlineLevel="0" collapsed="false"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48"/>
      <c r="P34" s="48"/>
      <c r="Q34" s="48"/>
      <c r="R34" s="48"/>
    </row>
    <row r="35" customFormat="false" ht="15" hidden="false" customHeight="true" outlineLevel="0" collapsed="false">
      <c r="C35" s="50"/>
      <c r="D35" s="50"/>
      <c r="E35" s="50" t="s">
        <v>93</v>
      </c>
      <c r="F35" s="50"/>
      <c r="G35" s="50"/>
      <c r="H35" s="50"/>
      <c r="I35" s="50"/>
      <c r="J35" s="50"/>
      <c r="K35" s="50"/>
      <c r="L35" s="50"/>
      <c r="M35" s="50"/>
      <c r="N35" s="50"/>
      <c r="O35" s="48"/>
      <c r="P35" s="48"/>
      <c r="Q35" s="48"/>
      <c r="R35" s="48"/>
    </row>
    <row r="36" customFormat="false" ht="15" hidden="false" customHeight="true" outlineLevel="0" collapsed="false">
      <c r="C36" s="50"/>
      <c r="D36" s="50"/>
      <c r="E36" s="50" t="s">
        <v>94</v>
      </c>
      <c r="F36" s="50"/>
      <c r="G36" s="50"/>
      <c r="H36" s="50"/>
      <c r="I36" s="50"/>
      <c r="J36" s="50"/>
      <c r="K36" s="50"/>
      <c r="L36" s="50"/>
      <c r="M36" s="50"/>
      <c r="N36" s="50"/>
      <c r="Q36" s="48"/>
      <c r="R36" s="48"/>
    </row>
    <row r="37" customFormat="false" ht="15" hidden="false" customHeight="true" outlineLevel="0" collapsed="false">
      <c r="C37" s="50"/>
      <c r="D37" s="50"/>
      <c r="E37" s="50" t="s">
        <v>95</v>
      </c>
      <c r="F37" s="50"/>
      <c r="G37" s="50"/>
      <c r="H37" s="50"/>
      <c r="I37" s="50"/>
      <c r="J37" s="50"/>
      <c r="K37" s="50"/>
      <c r="L37" s="50"/>
      <c r="M37" s="50"/>
      <c r="N37" s="50"/>
      <c r="Q37" s="48"/>
      <c r="R37" s="48"/>
    </row>
    <row r="38" customFormat="false" ht="15" hidden="false" customHeight="true" outlineLevel="0" collapsed="false">
      <c r="C38" s="50"/>
      <c r="D38" s="50"/>
      <c r="E38" s="50" t="s">
        <v>96</v>
      </c>
      <c r="F38" s="50"/>
      <c r="G38" s="50"/>
      <c r="H38" s="50"/>
      <c r="I38" s="50"/>
      <c r="J38" s="50"/>
      <c r="K38" s="50"/>
      <c r="L38" s="50"/>
      <c r="M38" s="50"/>
      <c r="Q38" s="48"/>
      <c r="R38" s="48"/>
    </row>
    <row r="39" customFormat="false" ht="15" hidden="false" customHeight="true" outlineLevel="0" collapsed="false">
      <c r="C39" s="50"/>
      <c r="D39" s="50"/>
      <c r="E39" s="50" t="s">
        <v>97</v>
      </c>
      <c r="F39" s="50"/>
      <c r="G39" s="50"/>
      <c r="H39" s="50"/>
      <c r="I39" s="50"/>
      <c r="J39" s="50"/>
      <c r="K39" s="50"/>
      <c r="L39" s="50"/>
      <c r="M39" s="50"/>
    </row>
    <row r="40" customFormat="false" ht="15" hidden="false" customHeight="true" outlineLevel="0" collapsed="false">
      <c r="C40" s="50"/>
      <c r="D40" s="50"/>
      <c r="E40" s="50" t="s">
        <v>98</v>
      </c>
      <c r="F40" s="50"/>
      <c r="G40" s="50"/>
      <c r="H40" s="50"/>
      <c r="I40" s="50"/>
      <c r="J40" s="50"/>
      <c r="K40" s="50"/>
      <c r="L40" s="50"/>
      <c r="M40" s="50"/>
    </row>
    <row r="41" customFormat="false" ht="15" hidden="false" customHeight="true" outlineLevel="0" collapsed="false">
      <c r="D41" s="50"/>
      <c r="E41" s="50" t="s">
        <v>99</v>
      </c>
      <c r="F41" s="50"/>
      <c r="G41" s="50"/>
      <c r="H41" s="50"/>
      <c r="I41" s="50"/>
      <c r="J41" s="50"/>
      <c r="K41" s="50"/>
      <c r="L41" s="50"/>
      <c r="M41" s="50"/>
    </row>
    <row r="42" customFormat="false" ht="15" hidden="false" customHeight="true" outlineLevel="0" collapsed="false"/>
  </sheetData>
  <mergeCells count="46">
    <mergeCell ref="E1:H1"/>
    <mergeCell ref="J2:M2"/>
    <mergeCell ref="A3:N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A14:C14"/>
    <mergeCell ref="D19:E19"/>
    <mergeCell ref="J19:K19"/>
    <mergeCell ref="B21:J21"/>
    <mergeCell ref="K21:M21"/>
    <mergeCell ref="O21:P21"/>
    <mergeCell ref="B22:J22"/>
    <mergeCell ref="K22:M22"/>
    <mergeCell ref="O22:P22"/>
    <mergeCell ref="B23:J23"/>
    <mergeCell ref="K23:M23"/>
    <mergeCell ref="O23:P23"/>
    <mergeCell ref="B24:J24"/>
    <mergeCell ref="K24:M24"/>
    <mergeCell ref="O24:P24"/>
    <mergeCell ref="B25:J25"/>
    <mergeCell ref="K25:M25"/>
    <mergeCell ref="O25:P25"/>
    <mergeCell ref="B26:J26"/>
    <mergeCell ref="K26:M26"/>
    <mergeCell ref="O26:P26"/>
    <mergeCell ref="B27:J27"/>
    <mergeCell ref="K27:M27"/>
    <mergeCell ref="O27:P27"/>
    <mergeCell ref="B28:J28"/>
    <mergeCell ref="K28:M28"/>
    <mergeCell ref="B29:J29"/>
    <mergeCell ref="K29:M29"/>
    <mergeCell ref="B30:J30"/>
    <mergeCell ref="K30:M30"/>
    <mergeCell ref="B31:J31"/>
    <mergeCell ref="K31:M31"/>
  </mergeCells>
  <conditionalFormatting sqref="E12:N12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N11 E13:N13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15:P15 G16:P16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4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17:O1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N1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9:O13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6"/>
  <sheetViews>
    <sheetView showFormulas="false" showGridLines="true" showRowColHeaders="true" showZeros="true" rightToLeft="false" tabSelected="false" showOutlineSymbols="true" defaultGridColor="true" view="normal" topLeftCell="A5" colorId="64" zoomScale="140" zoomScaleNormal="140" zoomScalePageLayoutView="100" workbookViewId="0">
      <selection pane="topLeft" activeCell="A19" activeCellId="0" sqref="A19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14"/>
    <col collapsed="false" customWidth="true" hidden="false" outlineLevel="0" max="3" min="3" style="0" width="18.42"/>
    <col collapsed="false" customWidth="true" hidden="false" outlineLevel="0" max="5" min="5" style="0" width="10"/>
    <col collapsed="false" customWidth="false" hidden="false" outlineLevel="0" max="8" min="8" style="45" width="9.14"/>
    <col collapsed="false" customWidth="true" hidden="false" outlineLevel="0" max="14" min="14" style="0" width="8.71"/>
    <col collapsed="false" customWidth="true" hidden="false" outlineLevel="0" max="15" min="15" style="0" width="11.29"/>
    <col collapsed="false" customWidth="true" hidden="false" outlineLevel="0" max="20" min="20" style="0" width="8"/>
    <col collapsed="false" customWidth="true" hidden="false" outlineLevel="0" max="21" min="21" style="0" width="10.71"/>
    <col collapsed="false" customWidth="true" hidden="false" outlineLevel="0" max="23" min="22" style="0" width="3.29"/>
    <col collapsed="false" customWidth="true" hidden="false" outlineLevel="0" max="24" min="24" style="0" width="4.14"/>
    <col collapsed="false" customWidth="true" hidden="false" outlineLevel="0" max="25" min="25" style="0" width="4.29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1"/>
      <c r="J1" s="2" t="n">
        <f aca="false">set!B1</f>
        <v>2</v>
      </c>
      <c r="K1" s="3"/>
    </row>
    <row r="2" customFormat="false" ht="15" hidden="false" customHeight="false" outlineLevel="0" collapsed="false">
      <c r="I2" s="4"/>
      <c r="M2" s="72" t="s">
        <v>1</v>
      </c>
      <c r="O2" s="146" t="n">
        <f aca="false">set!B4</f>
        <v>45608</v>
      </c>
      <c r="P2" s="72"/>
      <c r="Q2" s="72"/>
      <c r="R2" s="72"/>
      <c r="S2" s="72"/>
      <c r="T2" s="75"/>
      <c r="U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ИУК6-31 факультета ИУК МГТУ им. Н.Э. Баумана"</f>
        <v>Успеваемость студентов за 1 семестр 24/25 учебного года по группе ИУК6-31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/>
      <c r="J5" s="11" t="s">
        <v>7</v>
      </c>
      <c r="K5" s="11"/>
      <c r="L5" s="11"/>
      <c r="M5" s="11"/>
      <c r="N5" s="11"/>
      <c r="O5" s="391" t="s">
        <v>8</v>
      </c>
      <c r="P5" s="392" t="s">
        <v>9</v>
      </c>
      <c r="Q5" s="392" t="s">
        <v>10</v>
      </c>
      <c r="R5" s="14" t="s">
        <v>11</v>
      </c>
      <c r="S5" s="600" t="s">
        <v>1575</v>
      </c>
    </row>
    <row r="6" customFormat="false" ht="111" hidden="false" customHeight="true" outlineLevel="0" collapsed="false">
      <c r="A6" s="8"/>
      <c r="B6" s="8"/>
      <c r="C6" s="8"/>
      <c r="D6" s="9"/>
      <c r="E6" s="339" t="s">
        <v>2790</v>
      </c>
      <c r="F6" s="405" t="s">
        <v>144</v>
      </c>
      <c r="G6" s="340" t="s">
        <v>735</v>
      </c>
      <c r="H6" s="340" t="s">
        <v>736</v>
      </c>
      <c r="I6" s="602" t="s">
        <v>167</v>
      </c>
      <c r="J6" s="340" t="s">
        <v>18</v>
      </c>
      <c r="K6" s="340" t="s">
        <v>2791</v>
      </c>
      <c r="L6" s="340" t="s">
        <v>2792</v>
      </c>
      <c r="M6" s="340" t="s">
        <v>170</v>
      </c>
      <c r="N6" s="825" t="s">
        <v>147</v>
      </c>
      <c r="O6" s="391"/>
      <c r="P6" s="392"/>
      <c r="Q6" s="392"/>
      <c r="R6" s="14"/>
      <c r="S6" s="600"/>
    </row>
    <row r="7" customFormat="false" ht="17.9" hidden="false" customHeight="false" outlineLevel="0" collapsed="false">
      <c r="A7" s="8"/>
      <c r="B7" s="8"/>
      <c r="C7" s="8"/>
      <c r="D7" s="9"/>
      <c r="E7" s="343" t="s">
        <v>547</v>
      </c>
      <c r="F7" s="407" t="s">
        <v>149</v>
      </c>
      <c r="G7" s="344" t="s">
        <v>741</v>
      </c>
      <c r="H7" s="344" t="s">
        <v>22</v>
      </c>
      <c r="I7" s="826" t="s">
        <v>172</v>
      </c>
      <c r="J7" s="343" t="s">
        <v>27</v>
      </c>
      <c r="K7" s="344" t="s">
        <v>2793</v>
      </c>
      <c r="L7" s="344" t="s">
        <v>2648</v>
      </c>
      <c r="M7" s="344" t="s">
        <v>175</v>
      </c>
      <c r="N7" s="827" t="s">
        <v>176</v>
      </c>
      <c r="O7" s="391"/>
      <c r="P7" s="392"/>
      <c r="Q7" s="392"/>
      <c r="R7" s="14"/>
      <c r="S7" s="600"/>
    </row>
    <row r="8" customFormat="false" ht="15" hidden="false" customHeight="true" outlineLevel="0" collapsed="false">
      <c r="A8" s="828" t="n">
        <v>1</v>
      </c>
      <c r="B8" s="817" t="s">
        <v>2794</v>
      </c>
      <c r="C8" s="829" t="s">
        <v>2795</v>
      </c>
      <c r="D8" s="830"/>
      <c r="E8" s="831"/>
      <c r="F8" s="832"/>
      <c r="G8" s="832"/>
      <c r="H8" s="832"/>
      <c r="I8" s="833"/>
      <c r="J8" s="834"/>
      <c r="K8" s="832"/>
      <c r="L8" s="832"/>
      <c r="M8" s="832"/>
      <c r="N8" s="835"/>
      <c r="O8" s="836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837" t="str">
        <f aca="false">IF(D8&lt;&gt;"",(30*(set!B$5)-D8)/(30*(set!B$5))*100,"")</f>
        <v/>
      </c>
      <c r="R8" s="84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36" t="n">
        <f aca="false">COUNTIF(E8:N8,2)+COUNTIF(E8:N8,1)+COUNTIF(E8:N8,0)</f>
        <v>0</v>
      </c>
    </row>
    <row r="9" customFormat="false" ht="15" hidden="false" customHeight="true" outlineLevel="0" collapsed="false">
      <c r="A9" s="37" t="n">
        <v>2</v>
      </c>
      <c r="B9" s="37" t="s">
        <v>2796</v>
      </c>
      <c r="C9" s="37" t="s">
        <v>2797</v>
      </c>
      <c r="D9" s="838"/>
      <c r="E9" s="839"/>
      <c r="F9" s="840"/>
      <c r="G9" s="840"/>
      <c r="H9" s="840"/>
      <c r="I9" s="841"/>
      <c r="J9" s="842"/>
      <c r="K9" s="840"/>
      <c r="L9" s="840"/>
      <c r="M9" s="840"/>
      <c r="N9" s="835"/>
      <c r="O9" s="836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837" t="str">
        <f aca="false">IF(D9&lt;&gt;"",(30*(set!B$5)-D9)/(30*(set!B$5))*100,"")</f>
        <v/>
      </c>
      <c r="R9" s="11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251" t="n">
        <v>3</v>
      </c>
      <c r="B10" s="37" t="s">
        <v>2798</v>
      </c>
      <c r="C10" s="37" t="s">
        <v>2799</v>
      </c>
      <c r="D10" s="838"/>
      <c r="E10" s="839"/>
      <c r="F10" s="840"/>
      <c r="G10" s="840"/>
      <c r="H10" s="840"/>
      <c r="I10" s="841"/>
      <c r="J10" s="842"/>
      <c r="K10" s="840"/>
      <c r="L10" s="840"/>
      <c r="M10" s="840"/>
      <c r="N10" s="835"/>
      <c r="O10" s="836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837" t="str">
        <f aca="false">IF(D10&lt;&gt;"",(30*(set!B$5)-D10)/(30*(set!B$5))*100,"")</f>
        <v/>
      </c>
      <c r="R10" s="11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customFormat="false" ht="15" hidden="false" customHeight="true" outlineLevel="0" collapsed="false">
      <c r="A11" s="37" t="n">
        <v>4</v>
      </c>
      <c r="B11" s="37" t="s">
        <v>2800</v>
      </c>
      <c r="C11" s="37" t="s">
        <v>2801</v>
      </c>
      <c r="D11" s="838"/>
      <c r="E11" s="839"/>
      <c r="F11" s="840"/>
      <c r="G11" s="840"/>
      <c r="H11" s="840"/>
      <c r="I11" s="841"/>
      <c r="J11" s="842"/>
      <c r="K11" s="840"/>
      <c r="L11" s="840"/>
      <c r="M11" s="840"/>
      <c r="N11" s="843"/>
      <c r="O11" s="836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837" t="str">
        <f aca="false">IF(D11&lt;&gt;"",(30*(set!B$5)-D11)/(30*(set!B$5))*100,"")</f>
        <v/>
      </c>
      <c r="R11" s="11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customFormat="false" ht="15" hidden="false" customHeight="true" outlineLevel="0" collapsed="false">
      <c r="A12" s="251" t="n">
        <v>5</v>
      </c>
      <c r="B12" s="37" t="s">
        <v>2802</v>
      </c>
      <c r="C12" s="37" t="s">
        <v>2803</v>
      </c>
      <c r="D12" s="838"/>
      <c r="E12" s="839"/>
      <c r="F12" s="840"/>
      <c r="G12" s="840"/>
      <c r="H12" s="844"/>
      <c r="I12" s="845"/>
      <c r="J12" s="842"/>
      <c r="K12" s="840"/>
      <c r="L12" s="840"/>
      <c r="M12" s="844"/>
      <c r="N12" s="846"/>
      <c r="O12" s="836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837" t="str">
        <f aca="false">IF(D12&lt;&gt;"",(30*(set!B$5)-D12)/(30*(set!B$5))*100,"")</f>
        <v/>
      </c>
      <c r="R12" s="11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</row>
    <row r="13" s="45" customFormat="true" ht="15" hidden="false" customHeight="true" outlineLevel="0" collapsed="false">
      <c r="A13" s="37" t="n">
        <v>6</v>
      </c>
      <c r="B13" s="37" t="s">
        <v>2804</v>
      </c>
      <c r="C13" s="37" t="s">
        <v>2805</v>
      </c>
      <c r="D13" s="838"/>
      <c r="E13" s="839"/>
      <c r="F13" s="840"/>
      <c r="G13" s="840"/>
      <c r="H13" s="840"/>
      <c r="I13" s="841"/>
      <c r="J13" s="842"/>
      <c r="K13" s="840"/>
      <c r="L13" s="840"/>
      <c r="M13" s="840"/>
      <c r="N13" s="843"/>
      <c r="O13" s="836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837" t="str">
        <f aca="false">IF(D13&lt;&gt;"",(30*(set!B$5)-D13)/(30*(set!B$5))*100,"")</f>
        <v/>
      </c>
      <c r="R13" s="11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s="45" customFormat="true" ht="15" hidden="false" customHeight="true" outlineLevel="0" collapsed="false">
      <c r="A14" s="251" t="n">
        <v>7</v>
      </c>
      <c r="B14" s="37" t="s">
        <v>2806</v>
      </c>
      <c r="C14" s="37" t="s">
        <v>2807</v>
      </c>
      <c r="D14" s="838"/>
      <c r="E14" s="839"/>
      <c r="F14" s="840"/>
      <c r="G14" s="840"/>
      <c r="H14" s="844"/>
      <c r="I14" s="845"/>
      <c r="J14" s="842"/>
      <c r="K14" s="840"/>
      <c r="L14" s="840"/>
      <c r="M14" s="844"/>
      <c r="N14" s="846"/>
      <c r="O14" s="836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837" t="str">
        <f aca="false">IF(D14&lt;&gt;"",(30*(set!B$5)-D14)/(30*(set!B$5))*100,"")</f>
        <v/>
      </c>
      <c r="R14" s="117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</row>
    <row r="15" customFormat="false" ht="15" hidden="false" customHeight="true" outlineLevel="0" collapsed="false">
      <c r="A15" s="37" t="n">
        <v>8</v>
      </c>
      <c r="B15" s="37" t="s">
        <v>2808</v>
      </c>
      <c r="C15" s="37" t="s">
        <v>2809</v>
      </c>
      <c r="D15" s="838"/>
      <c r="E15" s="831"/>
      <c r="F15" s="832"/>
      <c r="G15" s="847"/>
      <c r="H15" s="844"/>
      <c r="I15" s="845"/>
      <c r="J15" s="848"/>
      <c r="K15" s="840"/>
      <c r="L15" s="847"/>
      <c r="M15" s="840"/>
      <c r="N15" s="843"/>
      <c r="O15" s="836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837" t="str">
        <f aca="false">IF(D15&lt;&gt;"",(30*(set!B$5)-D15)/(30*(set!B$5))*100,"")</f>
        <v/>
      </c>
      <c r="R15" s="117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</row>
    <row r="16" customFormat="false" ht="15" hidden="false" customHeight="true" outlineLevel="0" collapsed="false">
      <c r="A16" s="251" t="n">
        <v>9</v>
      </c>
      <c r="B16" s="37" t="s">
        <v>2810</v>
      </c>
      <c r="C16" s="37" t="s">
        <v>2811</v>
      </c>
      <c r="D16" s="838"/>
      <c r="E16" s="839"/>
      <c r="F16" s="840"/>
      <c r="G16" s="840"/>
      <c r="H16" s="832"/>
      <c r="I16" s="833"/>
      <c r="J16" s="842"/>
      <c r="K16" s="840"/>
      <c r="L16" s="840"/>
      <c r="M16" s="832"/>
      <c r="N16" s="835"/>
      <c r="O16" s="836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837" t="str">
        <f aca="false">IF(D16&lt;&gt;"",(30*(set!B$5)-D16)/(30*(set!B$5))*100,"")</f>
        <v/>
      </c>
      <c r="R16" s="117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</row>
    <row r="17" customFormat="false" ht="15" hidden="false" customHeight="true" outlineLevel="0" collapsed="false">
      <c r="A17" s="37" t="n">
        <v>10</v>
      </c>
      <c r="B17" s="37" t="s">
        <v>2812</v>
      </c>
      <c r="C17" s="37" t="s">
        <v>2813</v>
      </c>
      <c r="D17" s="838"/>
      <c r="E17" s="839"/>
      <c r="F17" s="840"/>
      <c r="G17" s="840"/>
      <c r="H17" s="840"/>
      <c r="I17" s="841"/>
      <c r="J17" s="842"/>
      <c r="K17" s="840"/>
      <c r="L17" s="840"/>
      <c r="M17" s="840"/>
      <c r="N17" s="843"/>
      <c r="O17" s="836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837" t="str">
        <f aca="false">IF(D17&lt;&gt;"",(30*(set!B$5)-D17)/(30*(set!B$5))*100,"")</f>
        <v/>
      </c>
      <c r="R17" s="117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</row>
    <row r="18" customFormat="false" ht="15" hidden="false" customHeight="true" outlineLevel="0" collapsed="false">
      <c r="A18" s="37" t="n">
        <v>11</v>
      </c>
      <c r="B18" s="37" t="s">
        <v>2814</v>
      </c>
      <c r="C18" s="37" t="s">
        <v>2815</v>
      </c>
      <c r="D18" s="838"/>
      <c r="E18" s="839"/>
      <c r="F18" s="840"/>
      <c r="G18" s="840"/>
      <c r="H18" s="840"/>
      <c r="I18" s="841"/>
      <c r="J18" s="842"/>
      <c r="K18" s="840"/>
      <c r="L18" s="840"/>
      <c r="M18" s="840"/>
      <c r="N18" s="843"/>
      <c r="O18" s="836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837" t="str">
        <f aca="false">IF(D18&lt;&gt;"",(30*(set!B$5)-D18)/(30*(set!B$5))*100,"")</f>
        <v/>
      </c>
      <c r="R18" s="117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</row>
    <row r="19" customFormat="false" ht="15" hidden="false" customHeight="true" outlineLevel="0" collapsed="false">
      <c r="A19" s="251" t="n">
        <v>13</v>
      </c>
      <c r="B19" s="37" t="s">
        <v>2816</v>
      </c>
      <c r="C19" s="37" t="s">
        <v>2817</v>
      </c>
      <c r="D19" s="838"/>
      <c r="E19" s="839"/>
      <c r="F19" s="840"/>
      <c r="G19" s="840"/>
      <c r="H19" s="840"/>
      <c r="I19" s="841"/>
      <c r="J19" s="842"/>
      <c r="K19" s="840"/>
      <c r="L19" s="840"/>
      <c r="M19" s="840"/>
      <c r="N19" s="843"/>
      <c r="O19" s="836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837" t="str">
        <f aca="false">IF(D19&lt;&gt;"",(30*(set!B$5)-D19)/(30*(set!B$5))*100,"")</f>
        <v/>
      </c>
      <c r="R19" s="117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</row>
    <row r="20" customFormat="false" ht="15" hidden="false" customHeight="true" outlineLevel="0" collapsed="false">
      <c r="A20" s="37" t="n">
        <v>14</v>
      </c>
      <c r="B20" s="37" t="s">
        <v>2818</v>
      </c>
      <c r="C20" s="37" t="s">
        <v>2819</v>
      </c>
      <c r="D20" s="838"/>
      <c r="E20" s="839"/>
      <c r="F20" s="840"/>
      <c r="G20" s="840"/>
      <c r="H20" s="840"/>
      <c r="I20" s="841"/>
      <c r="J20" s="842"/>
      <c r="K20" s="840"/>
      <c r="L20" s="840"/>
      <c r="M20" s="840"/>
      <c r="N20" s="843"/>
      <c r="O20" s="836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837" t="str">
        <f aca="false">IF(D20&lt;&gt;"",(30*(set!B$5)-D20)/(30*(set!B$5))*100,"")</f>
        <v/>
      </c>
      <c r="R20" s="117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118" t="n">
        <f aca="false">COUNTIF(E20:N20,2)+COUNTIF(E20:N20,1)+COUNTIF(E20:N20,0)</f>
        <v>0</v>
      </c>
    </row>
    <row r="21" customFormat="false" ht="15" hidden="false" customHeight="true" outlineLevel="0" collapsed="false">
      <c r="A21" s="37" t="n">
        <v>15</v>
      </c>
      <c r="B21" s="37" t="s">
        <v>2820</v>
      </c>
      <c r="C21" s="37" t="s">
        <v>2821</v>
      </c>
      <c r="D21" s="838"/>
      <c r="E21" s="839"/>
      <c r="F21" s="840"/>
      <c r="G21" s="840"/>
      <c r="H21" s="840"/>
      <c r="I21" s="841"/>
      <c r="J21" s="842"/>
      <c r="K21" s="840"/>
      <c r="L21" s="840"/>
      <c r="M21" s="840"/>
      <c r="N21" s="843"/>
      <c r="O21" s="836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837" t="str">
        <f aca="false">IF(D21&lt;&gt;"",(30*(set!B$5)-D21)/(30*(set!B$5))*100,"")</f>
        <v/>
      </c>
      <c r="R21" s="117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118" t="n">
        <f aca="false">COUNTIF(E21:N21,2)+COUNTIF(E21:N21,1)+COUNTIF(E21:N21,0)</f>
        <v>0</v>
      </c>
    </row>
    <row r="22" customFormat="false" ht="15" hidden="false" customHeight="true" outlineLevel="0" collapsed="false">
      <c r="A22" s="37" t="n">
        <v>16</v>
      </c>
      <c r="B22" s="37" t="s">
        <v>2822</v>
      </c>
      <c r="C22" s="37" t="s">
        <v>2823</v>
      </c>
      <c r="D22" s="838"/>
      <c r="E22" s="839"/>
      <c r="F22" s="840"/>
      <c r="G22" s="840"/>
      <c r="H22" s="840"/>
      <c r="I22" s="841"/>
      <c r="J22" s="842"/>
      <c r="K22" s="840"/>
      <c r="L22" s="840"/>
      <c r="M22" s="840"/>
      <c r="N22" s="843"/>
      <c r="O22" s="836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837" t="str">
        <f aca="false">IF(D22&lt;&gt;"",(30*(set!B$5)-D22)/(30*(set!B$5))*100,"")</f>
        <v/>
      </c>
      <c r="R22" s="117" t="str">
        <f aca="false" t="array" ref="R22:R22">IF(E22&lt;&gt;"",IF(O22&lt;1.85,"Выговор",IF(O22=1.85,"Выговор",IF(AND(O22&gt;1.85,O22&lt;3),"Предупреждение",IF(AND(O22&gt;3,O22&lt;4.65),"Нормально",IF(AND(O22&gt;4.65,O22&lt;5.1,E22:N22&gt;=4),"Благодарность","Нормально"))))),"")</f>
        <v/>
      </c>
      <c r="S22" s="118" t="n">
        <f aca="false">COUNTIF(E22:N22,2)+COUNTIF(E22:N22,1)+COUNTIF(E22:N22,0)</f>
        <v>0</v>
      </c>
    </row>
    <row r="23" s="45" customFormat="true" ht="15" hidden="false" customHeight="true" outlineLevel="0" collapsed="false">
      <c r="A23" s="251" t="n">
        <v>17</v>
      </c>
      <c r="B23" s="37" t="s">
        <v>2824</v>
      </c>
      <c r="C23" s="37" t="s">
        <v>2825</v>
      </c>
      <c r="D23" s="838"/>
      <c r="E23" s="839"/>
      <c r="F23" s="840"/>
      <c r="G23" s="840"/>
      <c r="H23" s="840"/>
      <c r="I23" s="841"/>
      <c r="J23" s="842"/>
      <c r="K23" s="840"/>
      <c r="L23" s="840"/>
      <c r="M23" s="840"/>
      <c r="N23" s="843"/>
      <c r="O23" s="836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837" t="str">
        <f aca="false">IF(D23&lt;&gt;"",(30*(set!B$5)-D23)/(30*(set!B$5))*100,"")</f>
        <v/>
      </c>
      <c r="R23" s="117" t="str">
        <f aca="false" t="array" ref="R23:R23">IF(E23&lt;&gt;"",IF(O23&lt;1.85,"Выговор",IF(O23=1.85,"Выговор",IF(AND(O23&gt;1.85,O23&lt;3),"Предупреждение",IF(AND(O23&gt;3,O23&lt;4.65),"Нормально",IF(AND(O23&gt;4.65,O23&lt;5.1,E23:N23&gt;=4),"Благодарность","Нормально"))))),"")</f>
        <v/>
      </c>
      <c r="S23" s="118" t="n">
        <f aca="false">COUNTIF(E23:N23,2)+COUNTIF(E23:N23,1)+COUNTIF(E23:N23,0)</f>
        <v>0</v>
      </c>
    </row>
    <row r="24" customFormat="false" ht="15" hidden="false" customHeight="true" outlineLevel="0" collapsed="false">
      <c r="A24" s="37" t="n">
        <v>18</v>
      </c>
      <c r="B24" s="37" t="s">
        <v>2826</v>
      </c>
      <c r="C24" s="37" t="s">
        <v>2827</v>
      </c>
      <c r="D24" s="838"/>
      <c r="E24" s="839"/>
      <c r="F24" s="840"/>
      <c r="G24" s="840"/>
      <c r="H24" s="844"/>
      <c r="I24" s="845"/>
      <c r="J24" s="842"/>
      <c r="K24" s="840"/>
      <c r="L24" s="840"/>
      <c r="M24" s="844"/>
      <c r="N24" s="846"/>
      <c r="O24" s="836" t="str">
        <f aca="false">IFERROR(AVERAGE(E24:N24),"")</f>
        <v/>
      </c>
      <c r="P24" s="84" t="str">
        <f aca="false">IF(E24&lt;&gt;"",IF(COUNTIF(E24:N24,"&lt;3"),"Не успевает","Успевает"),"")</f>
        <v/>
      </c>
      <c r="Q24" s="837" t="str">
        <f aca="false">IF(D24&lt;&gt;"",(30*(set!B$5)-D24)/(30*(set!B$5))*100,"")</f>
        <v/>
      </c>
      <c r="R24" s="117" t="str">
        <f aca="false" t="array" ref="R24:R24">IF(E24&lt;&gt;"",IF(O24&lt;1.85,"Выговор",IF(O24=1.85,"Выговор",IF(AND(O24&gt;1.85,O24&lt;3),"Предупреждение",IF(AND(O24&gt;3,O24&lt;4.65),"Нормально",IF(AND(O24&gt;4.65,O24&lt;5.1,E24:N24&gt;=4),"Благодарность","Нормально"))))),"")</f>
        <v/>
      </c>
      <c r="S24" s="118" t="n">
        <f aca="false">COUNTIF(E24:N24,2)+COUNTIF(E24:N24,1)+COUNTIF(E24:N24,0)</f>
        <v>0</v>
      </c>
    </row>
    <row r="25" customFormat="false" ht="15" hidden="false" customHeight="true" outlineLevel="0" collapsed="false">
      <c r="A25" s="251" t="n">
        <v>19</v>
      </c>
      <c r="B25" s="37" t="s">
        <v>2828</v>
      </c>
      <c r="C25" s="37" t="s">
        <v>2829</v>
      </c>
      <c r="D25" s="838"/>
      <c r="E25" s="839"/>
      <c r="F25" s="840"/>
      <c r="G25" s="840"/>
      <c r="H25" s="840"/>
      <c r="I25" s="841"/>
      <c r="J25" s="842"/>
      <c r="K25" s="840"/>
      <c r="L25" s="840"/>
      <c r="M25" s="840"/>
      <c r="N25" s="843"/>
      <c r="O25" s="836" t="str">
        <f aca="false">IFERROR(AVERAGE(E25:N25),"")</f>
        <v/>
      </c>
      <c r="P25" s="84" t="str">
        <f aca="false">IF(E25&lt;&gt;"",IF(COUNTIF(E25:N25,"&lt;3"),"Не успевает","Успевает"),"")</f>
        <v/>
      </c>
      <c r="Q25" s="837" t="str">
        <f aca="false">IF(D25&lt;&gt;"",(30*(set!B$5)-D25)/(30*(set!B$5))*100,"")</f>
        <v/>
      </c>
      <c r="R25" s="117" t="str">
        <f aca="false" t="array" ref="R25:R25">IF(E25&lt;&gt;"",IF(O25&lt;1.85,"Выговор",IF(O25=1.85,"Выговор",IF(AND(O25&gt;1.85,O25&lt;3),"Предупреждение",IF(AND(O25&gt;3,O25&lt;4.65),"Нормально",IF(AND(O25&gt;4.65,O25&lt;5.1,E25:N25&gt;=4),"Благодарность","Нормально"))))),"")</f>
        <v/>
      </c>
      <c r="S25" s="118" t="n">
        <f aca="false">COUNTIF(E25:N25,2)+COUNTIF(E25:N25,1)+COUNTIF(E25:N25,0)</f>
        <v>0</v>
      </c>
    </row>
    <row r="26" customFormat="false" ht="15" hidden="false" customHeight="true" outlineLevel="0" collapsed="false">
      <c r="A26" s="37" t="n">
        <v>20</v>
      </c>
      <c r="B26" s="37" t="s">
        <v>2830</v>
      </c>
      <c r="C26" s="37" t="s">
        <v>2831</v>
      </c>
      <c r="D26" s="838"/>
      <c r="E26" s="839"/>
      <c r="F26" s="840"/>
      <c r="G26" s="840"/>
      <c r="H26" s="840"/>
      <c r="I26" s="841"/>
      <c r="J26" s="842"/>
      <c r="K26" s="840"/>
      <c r="L26" s="840"/>
      <c r="M26" s="840"/>
      <c r="N26" s="843"/>
      <c r="O26" s="836" t="str">
        <f aca="false">IFERROR(AVERAGE(E26:N26),"")</f>
        <v/>
      </c>
      <c r="P26" s="84" t="str">
        <f aca="false">IF(E26&lt;&gt;"",IF(COUNTIF(E26:N26,"&lt;3"),"Не успевает","Успевает"),"")</f>
        <v/>
      </c>
      <c r="Q26" s="837" t="str">
        <f aca="false">IF(D26&lt;&gt;"",(30*(set!B$5)-D26)/(30*(set!B$5))*100,"")</f>
        <v/>
      </c>
      <c r="R26" s="117" t="str">
        <f aca="false" t="array" ref="R26:R26">IF(E26&lt;&gt;"",IF(O26&lt;1.85,"Выговор",IF(O26=1.85,"Выговор",IF(AND(O26&gt;1.85,O26&lt;3),"Предупреждение",IF(AND(O26&gt;3,O26&lt;4.65),"Нормально",IF(AND(O26&gt;4.65,O26&lt;5.1,E26:N26&gt;=4),"Благодарность","Нормально"))))),"")</f>
        <v/>
      </c>
      <c r="S26" s="118" t="n">
        <f aca="false">COUNTIF(E26:N26,2)+COUNTIF(E26:N26,1)+COUNTIF(E26:N26,0)</f>
        <v>0</v>
      </c>
    </row>
    <row r="27" customFormat="false" ht="15" hidden="false" customHeight="true" outlineLevel="0" collapsed="false">
      <c r="A27" s="251" t="n">
        <v>21</v>
      </c>
      <c r="B27" s="37" t="s">
        <v>2832</v>
      </c>
      <c r="C27" s="37" t="s">
        <v>2833</v>
      </c>
      <c r="D27" s="838"/>
      <c r="E27" s="839"/>
      <c r="F27" s="840"/>
      <c r="G27" s="840"/>
      <c r="H27" s="840"/>
      <c r="I27" s="841"/>
      <c r="J27" s="842"/>
      <c r="K27" s="840"/>
      <c r="L27" s="840"/>
      <c r="M27" s="840"/>
      <c r="N27" s="843"/>
      <c r="O27" s="836" t="str">
        <f aca="false">IFERROR(AVERAGE(E27:N27),"")</f>
        <v/>
      </c>
      <c r="P27" s="84" t="str">
        <f aca="false">IF(E27&lt;&gt;"",IF(COUNTIF(E27:N27,"&lt;3"),"Не успевает","Успевает"),"")</f>
        <v/>
      </c>
      <c r="Q27" s="837" t="str">
        <f aca="false">IF(D27&lt;&gt;"",(30*(set!B$5)-D27)/(30*(set!B$5))*100,"")</f>
        <v/>
      </c>
      <c r="R27" s="117" t="str">
        <f aca="false" t="array" ref="R27:R27">IF(E27&lt;&gt;"",IF(O27&lt;1.85,"Выговор",IF(O27=1.85,"Выговор",IF(AND(O27&gt;1.85,O27&lt;3),"Предупреждение",IF(AND(O27&gt;3,O27&lt;4.65),"Нормально",IF(AND(O27&gt;4.65,O27&lt;5.1,E27:N27&gt;=4),"Благодарность","Нормально"))))),"")</f>
        <v/>
      </c>
      <c r="S27" s="118" t="n">
        <f aca="false">COUNTIF(E27:N27,2)+COUNTIF(E27:N27,1)+COUNTIF(E27:N27,0)</f>
        <v>0</v>
      </c>
    </row>
    <row r="28" customFormat="false" ht="15" hidden="false" customHeight="true" outlineLevel="0" collapsed="false">
      <c r="A28" s="37" t="n">
        <v>22</v>
      </c>
      <c r="B28" s="37" t="s">
        <v>2834</v>
      </c>
      <c r="C28" s="37" t="s">
        <v>2835</v>
      </c>
      <c r="D28" s="838"/>
      <c r="E28" s="839"/>
      <c r="F28" s="840"/>
      <c r="G28" s="840"/>
      <c r="H28" s="840"/>
      <c r="I28" s="841"/>
      <c r="J28" s="842"/>
      <c r="K28" s="840"/>
      <c r="L28" s="840"/>
      <c r="M28" s="840"/>
      <c r="N28" s="843"/>
      <c r="O28" s="836" t="str">
        <f aca="false">IFERROR(AVERAGE(E28:N28),"")</f>
        <v/>
      </c>
      <c r="P28" s="84" t="str">
        <f aca="false">IF(E28&lt;&gt;"",IF(COUNTIF(E28:N28,"&lt;3"),"Не успевает","Успевает"),"")</f>
        <v/>
      </c>
      <c r="Q28" s="837" t="str">
        <f aca="false">IF(D28&lt;&gt;"",(30*(set!B$5)-D28)/(30*(set!B$5))*100,"")</f>
        <v/>
      </c>
      <c r="R28" s="117" t="str">
        <f aca="false" t="array" ref="R28:R28">IF(E28&lt;&gt;"",IF(O28&lt;1.85,"Выговор",IF(O28=1.85,"Выговор",IF(AND(O28&gt;1.85,O28&lt;3),"Предупреждение",IF(AND(O28&gt;3,O28&lt;4.65),"Нормально",IF(AND(O28&gt;4.65,O28&lt;5.1,E28:N28&gt;=4),"Благодарность","Нормально"))))),"")</f>
        <v/>
      </c>
      <c r="S28" s="118" t="n">
        <f aca="false">COUNTIF(E28:N28,2)+COUNTIF(E28:N28,1)+COUNTIF(E28:N28,0)</f>
        <v>0</v>
      </c>
    </row>
    <row r="29" customFormat="false" ht="15" hidden="false" customHeight="true" outlineLevel="0" collapsed="false">
      <c r="A29" s="0" t="s">
        <v>77</v>
      </c>
      <c r="D29" s="849"/>
      <c r="E29" s="850" t="e">
        <f aca="false">AVERAGE(E8:E28)</f>
        <v>#DIV/0!</v>
      </c>
      <c r="F29" s="850" t="e">
        <f aca="false">AVERAGE(F8:F28)</f>
        <v>#DIV/0!</v>
      </c>
      <c r="G29" s="850" t="e">
        <f aca="false">AVERAGE(G8:G28)</f>
        <v>#DIV/0!</v>
      </c>
      <c r="H29" s="850" t="e">
        <f aca="false">AVERAGE(H8:H28)</f>
        <v>#DIV/0!</v>
      </c>
      <c r="I29" s="850" t="e">
        <f aca="false">AVERAGE(I8:I28)</f>
        <v>#DIV/0!</v>
      </c>
      <c r="J29" s="850" t="e">
        <f aca="false">AVERAGE(J8:J28)</f>
        <v>#DIV/0!</v>
      </c>
      <c r="K29" s="850" t="e">
        <f aca="false">AVERAGE(K8:K28)</f>
        <v>#DIV/0!</v>
      </c>
      <c r="L29" s="850" t="e">
        <f aca="false">AVERAGE(L8:L28)</f>
        <v>#DIV/0!</v>
      </c>
      <c r="M29" s="850" t="e">
        <f aca="false">AVERAGE(M8:M28)</f>
        <v>#DIV/0!</v>
      </c>
      <c r="N29" s="850" t="e">
        <f aca="false">AVERAGE(N8:N28)</f>
        <v>#DIV/0!</v>
      </c>
      <c r="O29" s="48"/>
      <c r="P29" s="48"/>
      <c r="Q29" s="48"/>
      <c r="R29" s="48"/>
    </row>
    <row r="30" customFormat="false" ht="15" hidden="false" customHeight="true" outlineLevel="0" collapsed="false">
      <c r="A30" s="0" t="s">
        <v>78</v>
      </c>
      <c r="D30" s="209"/>
      <c r="E30" s="137" t="e">
        <f aca="false">(COUNTIF(E8:E28,5)+COUNTIF(E8:E28,4)+COUNTIF(E8:E28,3))/$U$35*100</f>
        <v>#DIV/0!</v>
      </c>
      <c r="F30" s="137" t="e">
        <f aca="false">(COUNTIF(F8:F28,5)+COUNTIF(F8:F28,4)+COUNTIF(F8:F28,3))/$U$35*100</f>
        <v>#DIV/0!</v>
      </c>
      <c r="G30" s="137" t="e">
        <f aca="false">(COUNTIF(G8:G28,5)+COUNTIF(G8:G28,4)+COUNTIF(G8:G28,3))/$U$35*100</f>
        <v>#DIV/0!</v>
      </c>
      <c r="H30" s="137" t="e">
        <f aca="false">(COUNTIF(H8:H28,5)+COUNTIF(H8:H28,4)+COUNTIF(H8:H28,3))/$U$35*100</f>
        <v>#DIV/0!</v>
      </c>
      <c r="I30" s="137" t="e">
        <f aca="false">(COUNTIF(I8:I28,5)+COUNTIF(I8:I28,4)+COUNTIF(I8:I28,3))/$U$35*100</f>
        <v>#DIV/0!</v>
      </c>
      <c r="J30" s="137" t="e">
        <f aca="false">(COUNTIF(J8:J28,5)+COUNTIF(J8:J28,4)+COUNTIF(J8:J28,3))/$U$35*100</f>
        <v>#DIV/0!</v>
      </c>
      <c r="K30" s="137" t="e">
        <f aca="false">(COUNTIF(K8:K28,5)+COUNTIF(K8:K28,4)+COUNTIF(K8:K28,3))/$U$35*100</f>
        <v>#DIV/0!</v>
      </c>
      <c r="L30" s="137" t="e">
        <f aca="false">(COUNTIF(L8:L28,5)+COUNTIF(L8:L28,4)+COUNTIF(L8:L28,3))/$U$35*100</f>
        <v>#DIV/0!</v>
      </c>
      <c r="M30" s="137" t="e">
        <f aca="false">(COUNTIF(M8:M28,5)+COUNTIF(M8:M28,4)+COUNTIF(M8:M28,3))/$U$35*100</f>
        <v>#DIV/0!</v>
      </c>
      <c r="N30" s="137" t="e">
        <f aca="false">(COUNTIF(N8:N28,5)+COUNTIF(N8:N28,4)+COUNTIF(N8:N28,3))/$U$35*100</f>
        <v>#DIV/0!</v>
      </c>
      <c r="O30" s="48"/>
      <c r="P30" s="48"/>
      <c r="Q30" s="48"/>
      <c r="R30" s="48"/>
    </row>
    <row r="31" customFormat="false" ht="15" hidden="false" customHeight="true" outlineLevel="0" collapsed="false">
      <c r="D31" s="46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8"/>
      <c r="R31" s="48"/>
      <c r="S31" s="48"/>
      <c r="T31" s="48"/>
    </row>
    <row r="32" customFormat="false" ht="15" hidden="false" customHeight="true" outlineLevel="0" collapsed="false">
      <c r="E32" s="48"/>
      <c r="F32" s="48"/>
      <c r="G32" s="48"/>
      <c r="H32" s="48"/>
      <c r="I32" s="48"/>
      <c r="J32" s="48"/>
      <c r="K32" s="48"/>
      <c r="L32" s="48"/>
      <c r="M32" s="48"/>
      <c r="N32" s="48"/>
      <c r="O32" s="48"/>
      <c r="P32" s="48"/>
      <c r="Q32" s="48"/>
      <c r="R32" s="48"/>
      <c r="S32" s="48"/>
      <c r="T32" s="48"/>
      <c r="U32" s="48"/>
    </row>
    <row r="33" customFormat="false" ht="15" hidden="false" customHeight="true" outlineLevel="0" collapsed="false">
      <c r="B33" s="50"/>
      <c r="C33" s="50" t="s">
        <v>8</v>
      </c>
      <c r="D33" s="51" t="str">
        <f aca="false">IFERROR(AVERAGE(O8:O28),"")</f>
        <v/>
      </c>
      <c r="E33" s="52" t="s">
        <v>9</v>
      </c>
      <c r="F33" s="52"/>
      <c r="G33" s="53" t="str">
        <f aca="false">IFERROR(COUNTIF(P8:P28,"Успевает")/U35*100,"")</f>
        <v/>
      </c>
      <c r="H33" s="53"/>
      <c r="I33" s="54" t="s">
        <v>79</v>
      </c>
      <c r="J33" s="54"/>
      <c r="K33" s="55" t="str">
        <f aca="false">IFERROR(AVERAGE(Q8:Q28),"")</f>
        <v/>
      </c>
      <c r="L33" s="52"/>
      <c r="M33" s="52"/>
      <c r="N33" s="52"/>
      <c r="O33" s="52"/>
      <c r="P33" s="52"/>
      <c r="Q33" s="52"/>
      <c r="R33" s="158"/>
      <c r="S33" s="48"/>
      <c r="T33" s="48"/>
      <c r="U33" s="48"/>
    </row>
    <row r="34" customFormat="false" ht="15" hidden="false" customHeight="true" outlineLevel="0" collapsed="false">
      <c r="B34" s="50"/>
      <c r="C34" s="50"/>
      <c r="D34" s="50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</row>
    <row r="35" customFormat="false" ht="15" hidden="false" customHeight="true" outlineLevel="0" collapsed="false">
      <c r="A35" s="50"/>
      <c r="B35" s="61" t="s">
        <v>81</v>
      </c>
      <c r="C35" s="61"/>
      <c r="D35" s="61"/>
      <c r="E35" s="61"/>
      <c r="F35" s="61"/>
      <c r="G35" s="61"/>
      <c r="H35" s="61"/>
      <c r="I35" s="61"/>
      <c r="J35" s="61"/>
      <c r="K35" s="61"/>
      <c r="L35" s="61" t="s">
        <v>82</v>
      </c>
      <c r="M35" s="61"/>
      <c r="N35" s="61"/>
      <c r="O35" s="61"/>
      <c r="P35" s="61"/>
      <c r="Q35" s="61"/>
      <c r="R35" s="56"/>
      <c r="S35" s="57" t="s">
        <v>80</v>
      </c>
      <c r="T35" s="57"/>
      <c r="U35" s="58" t="n">
        <f aca="false">SUM(U36,U37)</f>
        <v>0</v>
      </c>
    </row>
    <row r="36" customFormat="false" ht="15" hidden="false" customHeight="true" outlineLevel="0" collapsed="false">
      <c r="A36" s="50"/>
      <c r="B36" s="65" t="str">
        <f aca="false">$E$6</f>
        <v> Алгоритмы и структуры данных</v>
      </c>
      <c r="C36" s="65"/>
      <c r="D36" s="65"/>
      <c r="E36" s="65"/>
      <c r="F36" s="65"/>
      <c r="G36" s="65"/>
      <c r="H36" s="65"/>
      <c r="I36" s="65"/>
      <c r="J36" s="65"/>
      <c r="K36" s="65"/>
      <c r="L36" s="851"/>
      <c r="M36" s="851"/>
      <c r="N36" s="851"/>
      <c r="O36" s="851"/>
      <c r="P36" s="851"/>
      <c r="Q36" s="851"/>
      <c r="R36" s="67"/>
      <c r="S36" s="57" t="s">
        <v>83</v>
      </c>
      <c r="T36" s="57"/>
      <c r="U36" s="58" t="n">
        <f aca="false">COUNTIF(P8:P28,"Успевает")</f>
        <v>0</v>
      </c>
    </row>
    <row r="37" customFormat="false" ht="15" hidden="false" customHeight="true" outlineLevel="0" collapsed="false">
      <c r="A37" s="50"/>
      <c r="B37" s="65" t="str">
        <f aca="false">$F$6</f>
        <v> История России</v>
      </c>
      <c r="C37" s="65"/>
      <c r="D37" s="65"/>
      <c r="E37" s="65"/>
      <c r="F37" s="65"/>
      <c r="G37" s="65"/>
      <c r="H37" s="65"/>
      <c r="I37" s="65"/>
      <c r="J37" s="65"/>
      <c r="K37" s="65"/>
      <c r="L37" s="851"/>
      <c r="M37" s="851"/>
      <c r="N37" s="851"/>
      <c r="O37" s="851"/>
      <c r="P37" s="851"/>
      <c r="Q37" s="851"/>
      <c r="R37" s="67"/>
      <c r="S37" s="98" t="s">
        <v>84</v>
      </c>
      <c r="T37" s="98"/>
      <c r="U37" s="58" t="n">
        <f aca="false">COUNTIF(P8:P28,"Не успевает")</f>
        <v>0</v>
      </c>
    </row>
    <row r="38" customFormat="false" ht="15" hidden="false" customHeight="true" outlineLevel="0" collapsed="false">
      <c r="A38" s="50"/>
      <c r="B38" s="65" t="str">
        <f aca="false">$G$6</f>
        <v> Системное программирование</v>
      </c>
      <c r="C38" s="65"/>
      <c r="D38" s="65"/>
      <c r="E38" s="65"/>
      <c r="F38" s="65"/>
      <c r="G38" s="65"/>
      <c r="H38" s="65"/>
      <c r="I38" s="65"/>
      <c r="J38" s="65"/>
      <c r="K38" s="65"/>
      <c r="L38" s="851"/>
      <c r="M38" s="851"/>
      <c r="N38" s="851"/>
      <c r="O38" s="851"/>
      <c r="P38" s="851"/>
      <c r="Q38" s="851"/>
      <c r="R38" s="67"/>
      <c r="S38" s="98" t="s">
        <v>85</v>
      </c>
      <c r="T38" s="98"/>
      <c r="U38" s="58" t="n">
        <f aca="false">COUNTIF(R8:R28,"Благодарность")</f>
        <v>0</v>
      </c>
    </row>
    <row r="39" customFormat="false" ht="15" hidden="false" customHeight="true" outlineLevel="0" collapsed="false">
      <c r="A39" s="50"/>
      <c r="B39" s="65" t="str">
        <f aca="false">$H$6</f>
        <v> Физика</v>
      </c>
      <c r="C39" s="65"/>
      <c r="D39" s="65"/>
      <c r="E39" s="65"/>
      <c r="F39" s="65"/>
      <c r="G39" s="65"/>
      <c r="H39" s="65"/>
      <c r="I39" s="65"/>
      <c r="J39" s="65"/>
      <c r="K39" s="65"/>
      <c r="L39" s="851"/>
      <c r="M39" s="851"/>
      <c r="N39" s="851"/>
      <c r="O39" s="851"/>
      <c r="P39" s="851"/>
      <c r="Q39" s="851"/>
      <c r="R39" s="67"/>
      <c r="S39" s="98" t="s">
        <v>86</v>
      </c>
      <c r="T39" s="98"/>
      <c r="U39" s="58" t="n">
        <f aca="false">COUNTIF(R8:R28,"Нормально")</f>
        <v>0</v>
      </c>
    </row>
    <row r="40" customFormat="false" ht="15" hidden="false" customHeight="true" outlineLevel="0" collapsed="false">
      <c r="A40" s="50"/>
      <c r="B40" s="65" t="str">
        <f aca="false">$I$6</f>
        <v> Электротехника</v>
      </c>
      <c r="C40" s="65"/>
      <c r="D40" s="65"/>
      <c r="E40" s="65"/>
      <c r="F40" s="65"/>
      <c r="G40" s="65"/>
      <c r="H40" s="65"/>
      <c r="I40" s="65"/>
      <c r="J40" s="65"/>
      <c r="K40" s="65"/>
      <c r="L40" s="851"/>
      <c r="M40" s="851"/>
      <c r="N40" s="851"/>
      <c r="O40" s="851"/>
      <c r="P40" s="851"/>
      <c r="Q40" s="851"/>
      <c r="R40" s="67"/>
      <c r="S40" s="98" t="s">
        <v>87</v>
      </c>
      <c r="T40" s="98"/>
      <c r="U40" s="58" t="n">
        <f aca="false">COUNTIF(R8:R28,"Предупреждение")</f>
        <v>0</v>
      </c>
    </row>
    <row r="41" customFormat="false" ht="15" hidden="false" customHeight="true" outlineLevel="0" collapsed="false">
      <c r="A41" s="50"/>
      <c r="B41" s="65" t="str">
        <f aca="false">$J$6</f>
        <v>Иностранный язык</v>
      </c>
      <c r="C41" s="65"/>
      <c r="D41" s="65"/>
      <c r="E41" s="65"/>
      <c r="F41" s="65"/>
      <c r="G41" s="65"/>
      <c r="H41" s="65"/>
      <c r="I41" s="65"/>
      <c r="J41" s="65"/>
      <c r="K41" s="65"/>
      <c r="L41" s="851"/>
      <c r="M41" s="851"/>
      <c r="N41" s="851"/>
      <c r="O41" s="851"/>
      <c r="P41" s="851"/>
      <c r="Q41" s="851"/>
      <c r="R41" s="67"/>
      <c r="S41" s="98" t="s">
        <v>88</v>
      </c>
      <c r="T41" s="98"/>
      <c r="U41" s="58" t="n">
        <f aca="false">COUNTIF(R8:R28,"Выговор")</f>
        <v>0</v>
      </c>
    </row>
    <row r="42" customFormat="false" ht="15" hidden="false" customHeight="true" outlineLevel="0" collapsed="false">
      <c r="A42" s="50"/>
      <c r="B42" s="65" t="str">
        <f aca="false">$K$6</f>
        <v> Теория вероятностей и математическая статистика</v>
      </c>
      <c r="C42" s="65"/>
      <c r="D42" s="65"/>
      <c r="E42" s="65"/>
      <c r="F42" s="65"/>
      <c r="G42" s="65"/>
      <c r="H42" s="65"/>
      <c r="I42" s="65"/>
      <c r="J42" s="65"/>
      <c r="K42" s="65"/>
      <c r="L42" s="851"/>
      <c r="M42" s="851"/>
      <c r="N42" s="851"/>
      <c r="O42" s="851"/>
      <c r="P42" s="851"/>
      <c r="Q42" s="851"/>
      <c r="R42" s="67"/>
      <c r="S42" s="442" t="s">
        <v>1575</v>
      </c>
      <c r="T42" s="442"/>
      <c r="U42" s="143" t="n">
        <f aca="false">SUM(S8:S28)</f>
        <v>0</v>
      </c>
    </row>
    <row r="43" customFormat="false" ht="15" hidden="false" customHeight="true" outlineLevel="0" collapsed="false">
      <c r="A43" s="50"/>
      <c r="B43" s="65" t="str">
        <f aca="false">$L$6</f>
        <v> Теория систем и системный анализ</v>
      </c>
      <c r="C43" s="65"/>
      <c r="D43" s="65"/>
      <c r="E43" s="65"/>
      <c r="F43" s="65"/>
      <c r="G43" s="65"/>
      <c r="H43" s="65"/>
      <c r="I43" s="65"/>
      <c r="J43" s="65"/>
      <c r="K43" s="65"/>
      <c r="L43" s="851"/>
      <c r="M43" s="851"/>
      <c r="N43" s="851"/>
      <c r="O43" s="851"/>
      <c r="P43" s="851"/>
      <c r="Q43" s="851"/>
      <c r="R43" s="67"/>
      <c r="S43" s="67"/>
      <c r="T43" s="67"/>
      <c r="U43" s="48"/>
    </row>
    <row r="44" customFormat="false" ht="15" hidden="false" customHeight="true" outlineLevel="0" collapsed="false">
      <c r="A44" s="50"/>
      <c r="B44" s="65" t="str">
        <f aca="false">$M$6</f>
        <v> Философия</v>
      </c>
      <c r="C44" s="65"/>
      <c r="D44" s="65"/>
      <c r="E44" s="65"/>
      <c r="F44" s="65"/>
      <c r="G44" s="65"/>
      <c r="H44" s="65"/>
      <c r="I44" s="65"/>
      <c r="J44" s="65"/>
      <c r="K44" s="65"/>
      <c r="L44" s="851"/>
      <c r="M44" s="851"/>
      <c r="N44" s="851"/>
      <c r="O44" s="851"/>
      <c r="P44" s="851"/>
      <c r="Q44" s="851"/>
      <c r="R44" s="67"/>
      <c r="S44" s="67"/>
      <c r="T44" s="67"/>
      <c r="U44" s="48"/>
    </row>
    <row r="45" customFormat="false" ht="15" hidden="false" customHeight="true" outlineLevel="0" collapsed="false">
      <c r="A45" s="50"/>
      <c r="B45" s="852" t="str">
        <f aca="false">$N$6</f>
        <v>Физическая культура и спорт</v>
      </c>
      <c r="C45" s="852"/>
      <c r="D45" s="852"/>
      <c r="E45" s="852"/>
      <c r="F45" s="852"/>
      <c r="G45" s="852"/>
      <c r="H45" s="852"/>
      <c r="I45" s="852"/>
      <c r="J45" s="852"/>
      <c r="K45" s="852"/>
      <c r="L45" s="851"/>
      <c r="M45" s="851"/>
      <c r="N45" s="851"/>
      <c r="O45" s="851"/>
      <c r="P45" s="851"/>
      <c r="Q45" s="851"/>
      <c r="R45" s="67"/>
      <c r="S45" s="67"/>
      <c r="T45" s="67"/>
      <c r="U45" s="48"/>
    </row>
    <row r="46" customFormat="false" ht="15" hidden="false" customHeight="true" outlineLevel="0" collapsed="false">
      <c r="A46" s="50"/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0"/>
      <c r="M46" s="50"/>
      <c r="N46" s="50"/>
      <c r="O46" s="50"/>
      <c r="P46" s="50"/>
      <c r="Q46" s="50"/>
      <c r="R46" s="48"/>
      <c r="S46" s="48"/>
      <c r="T46" s="48"/>
      <c r="U46" s="48"/>
    </row>
    <row r="47" customFormat="false" ht="15" hidden="false" customHeight="true" outlineLevel="0" collapsed="false">
      <c r="A47" s="50"/>
      <c r="B47" s="73" t="s">
        <v>405</v>
      </c>
      <c r="C47" s="467" t="s">
        <v>2836</v>
      </c>
      <c r="D47" s="467"/>
      <c r="E47" s="67"/>
      <c r="F47" s="52" t="s">
        <v>369</v>
      </c>
      <c r="G47" s="300" t="s">
        <v>2837</v>
      </c>
      <c r="H47" s="300"/>
      <c r="I47" s="52"/>
      <c r="J47" s="52"/>
      <c r="K47" s="52"/>
      <c r="L47" s="52"/>
      <c r="M47" s="50"/>
      <c r="N47" s="50"/>
      <c r="O47" s="50"/>
      <c r="P47" s="50"/>
      <c r="Q47" s="50"/>
      <c r="R47" s="48"/>
      <c r="S47" s="48"/>
      <c r="T47" s="48"/>
      <c r="U47" s="48"/>
    </row>
    <row r="48" customFormat="false" ht="15" hidden="false" customHeight="true" outlineLevel="0" collapsed="false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48"/>
    </row>
    <row r="49" customFormat="false" ht="15" hidden="false" customHeight="true" outlineLevel="0" collapsed="false">
      <c r="A49" s="50"/>
      <c r="B49" s="50" t="s">
        <v>93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48"/>
    </row>
    <row r="50" customFormat="false" ht="15" hidden="false" customHeight="true" outlineLevel="0" collapsed="false">
      <c r="A50" s="50"/>
      <c r="B50" s="50" t="s">
        <v>94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48"/>
    </row>
    <row r="51" customFormat="false" ht="15" hidden="false" customHeight="true" outlineLevel="0" collapsed="false">
      <c r="A51" s="50"/>
      <c r="B51" s="50" t="s">
        <v>95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48"/>
    </row>
    <row r="52" customFormat="false" ht="15" hidden="false" customHeight="true" outlineLevel="0" collapsed="false">
      <c r="A52" s="50"/>
      <c r="B52" s="50" t="s">
        <v>96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48"/>
    </row>
    <row r="53" customFormat="false" ht="15" hidden="false" customHeight="true" outlineLevel="0" collapsed="false">
      <c r="A53" s="50"/>
      <c r="B53" s="50" t="s">
        <v>97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48"/>
    </row>
    <row r="54" customFormat="false" ht="15" hidden="false" customHeight="true" outlineLevel="0" collapsed="false">
      <c r="A54" s="50"/>
      <c r="B54" s="50" t="s">
        <v>98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48"/>
    </row>
    <row r="55" customFormat="false" ht="15" hidden="false" customHeight="true" outlineLevel="0" collapsed="false">
      <c r="A55" s="50"/>
      <c r="B55" s="50" t="s">
        <v>99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48"/>
    </row>
    <row r="56" customFormat="false" ht="15" hidden="false" customHeight="true" outlineLevel="0" collapsed="false"/>
  </sheetData>
  <mergeCells count="44">
    <mergeCell ref="E1:I1"/>
    <mergeCell ref="A3:S3"/>
    <mergeCell ref="A5:A7"/>
    <mergeCell ref="B5:B7"/>
    <mergeCell ref="C5:C7"/>
    <mergeCell ref="D5:D7"/>
    <mergeCell ref="E5:I5"/>
    <mergeCell ref="J5:N5"/>
    <mergeCell ref="O5:O7"/>
    <mergeCell ref="P5:P7"/>
    <mergeCell ref="Q5:Q7"/>
    <mergeCell ref="R5:R7"/>
    <mergeCell ref="S5:S7"/>
    <mergeCell ref="I33:J33"/>
    <mergeCell ref="B35:K35"/>
    <mergeCell ref="L35:Q35"/>
    <mergeCell ref="S35:T35"/>
    <mergeCell ref="B36:K36"/>
    <mergeCell ref="L36:Q36"/>
    <mergeCell ref="S36:T36"/>
    <mergeCell ref="B37:K37"/>
    <mergeCell ref="L37:Q37"/>
    <mergeCell ref="S37:T37"/>
    <mergeCell ref="B38:K38"/>
    <mergeCell ref="L38:Q38"/>
    <mergeCell ref="S38:T38"/>
    <mergeCell ref="B39:K39"/>
    <mergeCell ref="L39:Q39"/>
    <mergeCell ref="S39:T39"/>
    <mergeCell ref="B40:K40"/>
    <mergeCell ref="L40:Q40"/>
    <mergeCell ref="S40:T40"/>
    <mergeCell ref="B41:K41"/>
    <mergeCell ref="L41:Q41"/>
    <mergeCell ref="S41:T41"/>
    <mergeCell ref="B42:K42"/>
    <mergeCell ref="L42:Q42"/>
    <mergeCell ref="B43:K43"/>
    <mergeCell ref="L43:Q43"/>
    <mergeCell ref="B44:K44"/>
    <mergeCell ref="L44:Q44"/>
    <mergeCell ref="B45:K45"/>
    <mergeCell ref="L45:Q45"/>
    <mergeCell ref="C47:D47"/>
  </mergeCells>
  <conditionalFormatting sqref="H23:H2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3:H14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5:H2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9:H22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5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25:N28 N15:N22 E15:G18 J15:M15 E8:G12 I8:N12 I16:M1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5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1:P31 E30:N30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5:G28 I25:M28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9:G22 I19:M22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3:G14 I13:N14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G24 I23:N24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6:H18 H8:H12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28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56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8" activeCellId="0" sqref="C8"/>
    </sheetView>
  </sheetViews>
  <sheetFormatPr defaultColWidth="8.6796875" defaultRowHeight="15" zeroHeight="false" outlineLevelRow="0" outlineLevelCol="0"/>
  <cols>
    <col collapsed="false" customWidth="true" hidden="false" outlineLevel="0" max="3" min="3" style="0" width="17.42"/>
    <col collapsed="false" customWidth="true" hidden="false" outlineLevel="0" max="15" min="15" style="0" width="10.85"/>
  </cols>
  <sheetData>
    <row r="1" customFormat="false" ht="19.7" hidden="false" customHeight="false" outlineLevel="0" collapsed="false">
      <c r="A1" s="45"/>
      <c r="B1" s="45"/>
      <c r="C1" s="45"/>
      <c r="D1" s="45"/>
      <c r="E1" s="1" t="s">
        <v>0</v>
      </c>
      <c r="F1" s="1"/>
      <c r="G1" s="1"/>
      <c r="H1" s="1"/>
      <c r="I1" s="1"/>
      <c r="J1" s="2" t="n">
        <f aca="false">set!B1</f>
        <v>2</v>
      </c>
      <c r="K1" s="3"/>
      <c r="L1" s="45"/>
      <c r="M1" s="45"/>
      <c r="N1" s="45"/>
      <c r="O1" s="45"/>
      <c r="P1" s="45"/>
      <c r="Q1" s="45"/>
      <c r="R1" s="45"/>
      <c r="S1" s="45"/>
      <c r="T1" s="45"/>
      <c r="U1" s="45"/>
    </row>
    <row r="2" customFormat="false" ht="15" hidden="false" customHeight="false" outlineLevel="0" collapsed="false">
      <c r="A2" s="45"/>
      <c r="B2" s="45"/>
      <c r="C2" s="45"/>
      <c r="D2" s="45"/>
      <c r="E2" s="45"/>
      <c r="F2" s="45"/>
      <c r="G2" s="45"/>
      <c r="H2" s="45"/>
      <c r="I2" s="4"/>
      <c r="J2" s="45"/>
      <c r="K2" s="45"/>
      <c r="L2" s="45"/>
      <c r="M2" s="72" t="s">
        <v>1</v>
      </c>
      <c r="N2" s="45"/>
      <c r="O2" s="146" t="n">
        <f aca="false">set!B4</f>
        <v>45608</v>
      </c>
      <c r="P2" s="72"/>
      <c r="Q2" s="72"/>
      <c r="R2" s="72"/>
      <c r="S2" s="72"/>
      <c r="T2" s="75"/>
      <c r="U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ИУК6-32 факультета ИУК МГТУ им. Н.Э. Баумана"</f>
        <v>Успеваемость студентов за 1 семестр 24/25 учебного года по группе ИУК6-32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45"/>
      <c r="U3" s="45"/>
    </row>
    <row r="4" customFormat="false" ht="15" hidden="false" customHeight="false" outlineLevel="0" collapsed="false">
      <c r="A4" s="45"/>
      <c r="B4" s="7"/>
      <c r="C4" s="7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  <c r="T4" s="45"/>
      <c r="U4" s="45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/>
      <c r="J5" s="11" t="s">
        <v>7</v>
      </c>
      <c r="K5" s="11"/>
      <c r="L5" s="11"/>
      <c r="M5" s="11"/>
      <c r="N5" s="11"/>
      <c r="O5" s="391" t="s">
        <v>8</v>
      </c>
      <c r="P5" s="392" t="s">
        <v>9</v>
      </c>
      <c r="Q5" s="392" t="s">
        <v>10</v>
      </c>
      <c r="R5" s="14" t="s">
        <v>11</v>
      </c>
      <c r="S5" s="600" t="s">
        <v>1575</v>
      </c>
      <c r="T5" s="45"/>
      <c r="U5" s="45"/>
    </row>
    <row r="6" customFormat="false" ht="15" hidden="false" customHeight="false" outlineLevel="0" collapsed="false">
      <c r="A6" s="8"/>
      <c r="B6" s="8"/>
      <c r="C6" s="8"/>
      <c r="D6" s="9"/>
      <c r="E6" s="339" t="s">
        <v>2790</v>
      </c>
      <c r="F6" s="405" t="s">
        <v>144</v>
      </c>
      <c r="G6" s="340" t="s">
        <v>735</v>
      </c>
      <c r="H6" s="340" t="s">
        <v>736</v>
      </c>
      <c r="I6" s="602" t="s">
        <v>167</v>
      </c>
      <c r="J6" s="340" t="s">
        <v>18</v>
      </c>
      <c r="K6" s="340" t="s">
        <v>2791</v>
      </c>
      <c r="L6" s="340" t="s">
        <v>2792</v>
      </c>
      <c r="M6" s="340" t="s">
        <v>170</v>
      </c>
      <c r="N6" s="825" t="s">
        <v>147</v>
      </c>
      <c r="O6" s="391"/>
      <c r="P6" s="392"/>
      <c r="Q6" s="392"/>
      <c r="R6" s="14"/>
      <c r="S6" s="600"/>
      <c r="T6" s="45"/>
      <c r="U6" s="45"/>
    </row>
    <row r="7" customFormat="false" ht="17.9" hidden="false" customHeight="false" outlineLevel="0" collapsed="false">
      <c r="A7" s="8"/>
      <c r="B7" s="8"/>
      <c r="C7" s="8"/>
      <c r="D7" s="9"/>
      <c r="E7" s="343" t="s">
        <v>547</v>
      </c>
      <c r="F7" s="407" t="s">
        <v>149</v>
      </c>
      <c r="G7" s="344" t="s">
        <v>741</v>
      </c>
      <c r="H7" s="344" t="s">
        <v>22</v>
      </c>
      <c r="I7" s="826" t="s">
        <v>172</v>
      </c>
      <c r="J7" s="343" t="s">
        <v>27</v>
      </c>
      <c r="K7" s="344" t="s">
        <v>2793</v>
      </c>
      <c r="L7" s="344" t="s">
        <v>2648</v>
      </c>
      <c r="M7" s="344" t="s">
        <v>175</v>
      </c>
      <c r="N7" s="827" t="s">
        <v>176</v>
      </c>
      <c r="O7" s="391"/>
      <c r="P7" s="392"/>
      <c r="Q7" s="392"/>
      <c r="R7" s="14"/>
      <c r="S7" s="600"/>
      <c r="T7" s="45"/>
      <c r="U7" s="45"/>
    </row>
    <row r="8" customFormat="false" ht="15" hidden="false" customHeight="false" outlineLevel="0" collapsed="false">
      <c r="A8" s="77" t="n">
        <v>1</v>
      </c>
      <c r="B8" s="77" t="s">
        <v>2838</v>
      </c>
      <c r="C8" s="77" t="s">
        <v>2839</v>
      </c>
      <c r="D8" s="830"/>
      <c r="E8" s="831"/>
      <c r="F8" s="832"/>
      <c r="G8" s="832"/>
      <c r="H8" s="832"/>
      <c r="I8" s="833"/>
      <c r="J8" s="834"/>
      <c r="K8" s="832"/>
      <c r="L8" s="832"/>
      <c r="M8" s="832"/>
      <c r="N8" s="835"/>
      <c r="O8" s="836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837" t="str">
        <f aca="false">IF(D8&lt;&gt;"",(30*(set!B$5)-D8)/(30*(set!B$5))*100,"")</f>
        <v/>
      </c>
      <c r="R8" s="84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36" t="n">
        <f aca="false">COUNTIF(E8:N8,2)+COUNTIF(E8:N8,1)+COUNTIF(E8:N8,0)</f>
        <v>0</v>
      </c>
      <c r="T8" s="45"/>
      <c r="U8" s="45"/>
    </row>
    <row r="9" customFormat="false" ht="15" hidden="false" customHeight="false" outlineLevel="0" collapsed="false">
      <c r="A9" s="37" t="n">
        <v>2</v>
      </c>
      <c r="B9" s="37" t="s">
        <v>2840</v>
      </c>
      <c r="C9" s="37" t="s">
        <v>2841</v>
      </c>
      <c r="D9" s="830"/>
      <c r="E9" s="831"/>
      <c r="F9" s="832"/>
      <c r="G9" s="832"/>
      <c r="H9" s="832"/>
      <c r="I9" s="833"/>
      <c r="J9" s="834"/>
      <c r="K9" s="832"/>
      <c r="L9" s="832"/>
      <c r="M9" s="832"/>
      <c r="N9" s="835"/>
      <c r="O9" s="836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837" t="str">
        <f aca="false">IF(D9&lt;&gt;"",(30*(set!B$5)-D9)/(30*(set!B$5))*100,"")</f>
        <v/>
      </c>
      <c r="R9" s="11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  <c r="T9" s="45"/>
      <c r="U9" s="45"/>
    </row>
    <row r="10" customFormat="false" ht="15" hidden="false" customHeight="false" outlineLevel="0" collapsed="false">
      <c r="A10" s="77" t="n">
        <v>3</v>
      </c>
      <c r="B10" s="37" t="s">
        <v>2842</v>
      </c>
      <c r="C10" s="37" t="s">
        <v>2843</v>
      </c>
      <c r="D10" s="830"/>
      <c r="E10" s="831"/>
      <c r="F10" s="832"/>
      <c r="G10" s="832"/>
      <c r="H10" s="832"/>
      <c r="I10" s="833"/>
      <c r="J10" s="834"/>
      <c r="K10" s="832"/>
      <c r="L10" s="832"/>
      <c r="M10" s="832"/>
      <c r="N10" s="835"/>
      <c r="O10" s="836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837" t="str">
        <f aca="false">IF(D10&lt;&gt;"",(30*(set!B$5)-D10)/(30*(set!B$5))*100,"")</f>
        <v/>
      </c>
      <c r="R10" s="11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  <c r="T10" s="45"/>
      <c r="U10" s="45"/>
    </row>
    <row r="11" customFormat="false" ht="15" hidden="false" customHeight="false" outlineLevel="0" collapsed="false">
      <c r="A11" s="37" t="n">
        <v>4</v>
      </c>
      <c r="B11" s="37" t="s">
        <v>2844</v>
      </c>
      <c r="C11" s="37" t="s">
        <v>2845</v>
      </c>
      <c r="D11" s="830"/>
      <c r="E11" s="831"/>
      <c r="F11" s="832"/>
      <c r="G11" s="832"/>
      <c r="H11" s="832"/>
      <c r="I11" s="833"/>
      <c r="J11" s="834"/>
      <c r="K11" s="832"/>
      <c r="L11" s="832"/>
      <c r="M11" s="832"/>
      <c r="N11" s="835"/>
      <c r="O11" s="836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837" t="str">
        <f aca="false">IF(D11&lt;&gt;"",(30*(set!B$5)-D11)/(30*(set!B$5))*100,"")</f>
        <v/>
      </c>
      <c r="R11" s="11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  <c r="T11" s="45"/>
      <c r="U11" s="45"/>
    </row>
    <row r="12" customFormat="false" ht="15" hidden="false" customHeight="false" outlineLevel="0" collapsed="false">
      <c r="A12" s="77" t="n">
        <v>5</v>
      </c>
      <c r="B12" s="37" t="s">
        <v>2846</v>
      </c>
      <c r="C12" s="37" t="s">
        <v>2847</v>
      </c>
      <c r="D12" s="830"/>
      <c r="E12" s="831"/>
      <c r="F12" s="832"/>
      <c r="G12" s="832"/>
      <c r="H12" s="832"/>
      <c r="I12" s="833"/>
      <c r="J12" s="834"/>
      <c r="K12" s="832"/>
      <c r="L12" s="832"/>
      <c r="M12" s="832"/>
      <c r="N12" s="835"/>
      <c r="O12" s="836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837" t="str">
        <f aca="false">IF(D12&lt;&gt;"",(30*(set!B$5)-D12)/(30*(set!B$5))*100,"")</f>
        <v/>
      </c>
      <c r="R12" s="11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  <c r="T12" s="45"/>
      <c r="U12" s="45"/>
    </row>
    <row r="13" customFormat="false" ht="15" hidden="false" customHeight="false" outlineLevel="0" collapsed="false">
      <c r="A13" s="37" t="n">
        <v>6</v>
      </c>
      <c r="B13" s="37" t="s">
        <v>2848</v>
      </c>
      <c r="C13" s="37" t="s">
        <v>2849</v>
      </c>
      <c r="D13" s="830"/>
      <c r="E13" s="831"/>
      <c r="F13" s="832"/>
      <c r="G13" s="832"/>
      <c r="H13" s="832"/>
      <c r="I13" s="833"/>
      <c r="J13" s="834"/>
      <c r="K13" s="832"/>
      <c r="L13" s="832"/>
      <c r="M13" s="832"/>
      <c r="N13" s="835"/>
      <c r="O13" s="836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837" t="str">
        <f aca="false">IF(D13&lt;&gt;"",(30*(set!B$5)-D13)/(30*(set!B$5))*100,"")</f>
        <v/>
      </c>
      <c r="R13" s="117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  <c r="T13" s="45"/>
      <c r="U13" s="45"/>
    </row>
    <row r="14" customFormat="false" ht="15" hidden="false" customHeight="false" outlineLevel="0" collapsed="false">
      <c r="A14" s="77" t="n">
        <v>7</v>
      </c>
      <c r="B14" s="37" t="s">
        <v>2850</v>
      </c>
      <c r="C14" s="37" t="s">
        <v>2851</v>
      </c>
      <c r="D14" s="830"/>
      <c r="E14" s="831"/>
      <c r="F14" s="832"/>
      <c r="G14" s="832"/>
      <c r="H14" s="832"/>
      <c r="I14" s="833"/>
      <c r="J14" s="834"/>
      <c r="K14" s="832"/>
      <c r="L14" s="832"/>
      <c r="M14" s="832"/>
      <c r="N14" s="835"/>
      <c r="O14" s="836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837" t="str">
        <f aca="false">IF(D14&lt;&gt;"",(30*(set!B$5)-D14)/(30*(set!B$5))*100,"")</f>
        <v/>
      </c>
      <c r="R14" s="117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  <c r="T14" s="45"/>
      <c r="U14" s="45"/>
    </row>
    <row r="15" customFormat="false" ht="15" hidden="false" customHeight="false" outlineLevel="0" collapsed="false">
      <c r="A15" s="37" t="n">
        <v>8</v>
      </c>
      <c r="B15" s="37" t="s">
        <v>2852</v>
      </c>
      <c r="C15" s="37" t="s">
        <v>2853</v>
      </c>
      <c r="D15" s="830"/>
      <c r="E15" s="831"/>
      <c r="F15" s="832"/>
      <c r="G15" s="832"/>
      <c r="H15" s="832"/>
      <c r="I15" s="833"/>
      <c r="J15" s="834"/>
      <c r="K15" s="832"/>
      <c r="L15" s="832"/>
      <c r="M15" s="832"/>
      <c r="N15" s="835"/>
      <c r="O15" s="836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837" t="str">
        <f aca="false">IF(D15&lt;&gt;"",(30*(set!B$5)-D15)/(30*(set!B$5))*100,"")</f>
        <v/>
      </c>
      <c r="R15" s="117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  <c r="T15" s="45"/>
      <c r="U15" s="45"/>
    </row>
    <row r="16" customFormat="false" ht="15" hidden="false" customHeight="false" outlineLevel="0" collapsed="false">
      <c r="A16" s="77" t="n">
        <v>9</v>
      </c>
      <c r="B16" s="37" t="s">
        <v>2854</v>
      </c>
      <c r="C16" s="37" t="s">
        <v>2855</v>
      </c>
      <c r="D16" s="830"/>
      <c r="E16" s="831"/>
      <c r="F16" s="832"/>
      <c r="G16" s="832"/>
      <c r="H16" s="832"/>
      <c r="I16" s="833"/>
      <c r="J16" s="834"/>
      <c r="K16" s="832"/>
      <c r="L16" s="832"/>
      <c r="M16" s="832"/>
      <c r="N16" s="835"/>
      <c r="O16" s="836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837" t="str">
        <f aca="false">IF(D16&lt;&gt;"",(30*(set!B$5)-D16)/(30*(set!B$5))*100,"")</f>
        <v/>
      </c>
      <c r="R16" s="117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  <c r="T16" s="45"/>
      <c r="U16" s="45"/>
    </row>
    <row r="17" customFormat="false" ht="15" hidden="false" customHeight="false" outlineLevel="0" collapsed="false">
      <c r="A17" s="37" t="n">
        <v>10</v>
      </c>
      <c r="B17" s="37" t="s">
        <v>2856</v>
      </c>
      <c r="C17" s="37" t="s">
        <v>2857</v>
      </c>
      <c r="D17" s="830"/>
      <c r="E17" s="831"/>
      <c r="F17" s="832"/>
      <c r="G17" s="832"/>
      <c r="H17" s="832"/>
      <c r="I17" s="833"/>
      <c r="J17" s="834"/>
      <c r="K17" s="832"/>
      <c r="L17" s="832"/>
      <c r="M17" s="832"/>
      <c r="N17" s="835"/>
      <c r="O17" s="836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837" t="str">
        <f aca="false">IF(D17&lt;&gt;"",(30*(set!B$5)-D17)/(30*(set!B$5))*100,"")</f>
        <v/>
      </c>
      <c r="R17" s="117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  <c r="T17" s="45"/>
      <c r="U17" s="45"/>
    </row>
    <row r="18" customFormat="false" ht="15" hidden="false" customHeight="false" outlineLevel="0" collapsed="false">
      <c r="A18" s="77" t="n">
        <v>11</v>
      </c>
      <c r="B18" s="37" t="s">
        <v>2858</v>
      </c>
      <c r="C18" s="37" t="s">
        <v>2859</v>
      </c>
      <c r="D18" s="830"/>
      <c r="E18" s="831"/>
      <c r="F18" s="832"/>
      <c r="G18" s="832"/>
      <c r="H18" s="832"/>
      <c r="I18" s="833"/>
      <c r="J18" s="834"/>
      <c r="K18" s="832"/>
      <c r="L18" s="832"/>
      <c r="M18" s="832"/>
      <c r="N18" s="835"/>
      <c r="O18" s="836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837" t="str">
        <f aca="false">IF(D18&lt;&gt;"",(30*(set!B$5)-D18)/(30*(set!B$5))*100,"")</f>
        <v/>
      </c>
      <c r="R18" s="117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  <c r="T18" s="45"/>
      <c r="U18" s="45"/>
    </row>
    <row r="19" customFormat="false" ht="15" hidden="false" customHeight="false" outlineLevel="0" collapsed="false">
      <c r="A19" s="37" t="n">
        <v>12</v>
      </c>
      <c r="B19" s="37" t="s">
        <v>2860</v>
      </c>
      <c r="C19" s="37" t="s">
        <v>2861</v>
      </c>
      <c r="D19" s="830"/>
      <c r="E19" s="831"/>
      <c r="F19" s="832"/>
      <c r="G19" s="832"/>
      <c r="H19" s="832"/>
      <c r="I19" s="833"/>
      <c r="J19" s="834"/>
      <c r="K19" s="832"/>
      <c r="L19" s="832"/>
      <c r="M19" s="832"/>
      <c r="N19" s="835"/>
      <c r="O19" s="836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837" t="str">
        <f aca="false">IF(D19&lt;&gt;"",(30*(set!B$5)-D19)/(30*(set!B$5))*100,"")</f>
        <v/>
      </c>
      <c r="R19" s="117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  <c r="T19" s="45"/>
      <c r="U19" s="45"/>
    </row>
    <row r="20" customFormat="false" ht="15" hidden="false" customHeight="false" outlineLevel="0" collapsed="false">
      <c r="A20" s="77" t="n">
        <v>13</v>
      </c>
      <c r="B20" s="37" t="s">
        <v>2862</v>
      </c>
      <c r="C20" s="37" t="s">
        <v>2863</v>
      </c>
      <c r="D20" s="830"/>
      <c r="E20" s="831"/>
      <c r="F20" s="832"/>
      <c r="G20" s="832"/>
      <c r="H20" s="832"/>
      <c r="I20" s="833"/>
      <c r="J20" s="834"/>
      <c r="K20" s="832"/>
      <c r="L20" s="832"/>
      <c r="M20" s="832"/>
      <c r="N20" s="835"/>
      <c r="O20" s="836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837" t="str">
        <f aca="false">IF(D20&lt;&gt;"",(30*(set!B$5)-D20)/(30*(set!B$5))*100,"")</f>
        <v/>
      </c>
      <c r="R20" s="117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118" t="n">
        <f aca="false">COUNTIF(E20:N20,2)+COUNTIF(E20:N20,1)+COUNTIF(E20:N20,0)</f>
        <v>0</v>
      </c>
      <c r="T20" s="45"/>
      <c r="U20" s="45"/>
    </row>
    <row r="21" customFormat="false" ht="15" hidden="false" customHeight="false" outlineLevel="0" collapsed="false">
      <c r="A21" s="37" t="n">
        <v>14</v>
      </c>
      <c r="B21" s="37" t="s">
        <v>2864</v>
      </c>
      <c r="C21" s="37" t="s">
        <v>2865</v>
      </c>
      <c r="D21" s="830"/>
      <c r="E21" s="831"/>
      <c r="F21" s="832"/>
      <c r="G21" s="832"/>
      <c r="H21" s="832"/>
      <c r="I21" s="833"/>
      <c r="J21" s="834"/>
      <c r="K21" s="832"/>
      <c r="L21" s="832"/>
      <c r="M21" s="832"/>
      <c r="N21" s="835"/>
      <c r="O21" s="836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837" t="str">
        <f aca="false">IF(D21&lt;&gt;"",(30*(set!B$5)-D21)/(30*(set!B$5))*100,"")</f>
        <v/>
      </c>
      <c r="R21" s="117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118" t="n">
        <f aca="false">COUNTIF(E21:N21,2)+COUNTIF(E21:N21,1)+COUNTIF(E21:N21,0)</f>
        <v>0</v>
      </c>
      <c r="T21" s="45"/>
      <c r="U21" s="45"/>
    </row>
    <row r="22" customFormat="false" ht="15" hidden="false" customHeight="false" outlineLevel="0" collapsed="false">
      <c r="A22" s="77" t="n">
        <v>15</v>
      </c>
      <c r="B22" s="37" t="s">
        <v>2866</v>
      </c>
      <c r="C22" s="37" t="s">
        <v>2867</v>
      </c>
      <c r="D22" s="830"/>
      <c r="E22" s="831"/>
      <c r="F22" s="832"/>
      <c r="G22" s="832"/>
      <c r="H22" s="832"/>
      <c r="I22" s="833"/>
      <c r="J22" s="834"/>
      <c r="K22" s="832"/>
      <c r="L22" s="832"/>
      <c r="M22" s="832"/>
      <c r="N22" s="835"/>
      <c r="O22" s="836" t="str">
        <f aca="false">IFERROR(AVERAGE(E22:N22),"")</f>
        <v/>
      </c>
      <c r="P22" s="84" t="str">
        <f aca="false">IF(E22&lt;&gt;"",IF(COUNTIF(E22:N22,"&lt;3"),"Не успевает","Успевает"),"")</f>
        <v/>
      </c>
      <c r="Q22" s="837" t="str">
        <f aca="false">IF(D22&lt;&gt;"",(30*(set!B$5)-D22)/(30*(set!B$5))*100,"")</f>
        <v/>
      </c>
      <c r="R22" s="117" t="str">
        <f aca="false" t="array" ref="R22:R22">IF(E22&lt;&gt;"",IF(O22&lt;1.85,"Выговор",IF(O22=1.85,"Выговор",IF(AND(O22&gt;1.85,O22&lt;3),"Предупреждение",IF(AND(O22&gt;3,O22&lt;4.65),"Нормально",IF(AND(O22&gt;4.65,O22&lt;5.1,E22:N22&gt;=4),"Благодарность","Нормально"))))),"")</f>
        <v/>
      </c>
      <c r="S22" s="118" t="n">
        <f aca="false">COUNTIF(E22:N22,2)+COUNTIF(E22:N22,1)+COUNTIF(E22:N22,0)</f>
        <v>0</v>
      </c>
      <c r="T22" s="45"/>
      <c r="U22" s="45"/>
    </row>
    <row r="23" customFormat="false" ht="15" hidden="false" customHeight="false" outlineLevel="0" collapsed="false">
      <c r="A23" s="37" t="n">
        <v>16</v>
      </c>
      <c r="B23" s="37" t="s">
        <v>2868</v>
      </c>
      <c r="C23" s="37" t="s">
        <v>2869</v>
      </c>
      <c r="D23" s="830"/>
      <c r="E23" s="831"/>
      <c r="F23" s="832"/>
      <c r="G23" s="832"/>
      <c r="H23" s="832"/>
      <c r="I23" s="833"/>
      <c r="J23" s="834"/>
      <c r="K23" s="832"/>
      <c r="L23" s="832"/>
      <c r="M23" s="832"/>
      <c r="N23" s="835"/>
      <c r="O23" s="836" t="str">
        <f aca="false">IFERROR(AVERAGE(E23:N23),"")</f>
        <v/>
      </c>
      <c r="P23" s="84" t="str">
        <f aca="false">IF(E23&lt;&gt;"",IF(COUNTIF(E23:N23,"&lt;3"),"Не успевает","Успевает"),"")</f>
        <v/>
      </c>
      <c r="Q23" s="837" t="str">
        <f aca="false">IF(D23&lt;&gt;"",(30*(set!B$5)-D23)/(30*(set!B$5))*100,"")</f>
        <v/>
      </c>
      <c r="R23" s="117" t="str">
        <f aca="false" t="array" ref="R23:R23">IF(E23&lt;&gt;"",IF(O23&lt;1.85,"Выговор",IF(O23=1.85,"Выговор",IF(AND(O23&gt;1.85,O23&lt;3),"Предупреждение",IF(AND(O23&gt;3,O23&lt;4.65),"Нормально",IF(AND(O23&gt;4.65,O23&lt;5.1,E23:N23&gt;=4),"Благодарность","Нормально"))))),"")</f>
        <v/>
      </c>
      <c r="S23" s="118" t="n">
        <f aca="false">COUNTIF(E23:N23,2)+COUNTIF(E23:N23,1)+COUNTIF(E23:N23,0)</f>
        <v>0</v>
      </c>
      <c r="T23" s="45"/>
      <c r="U23" s="45"/>
    </row>
    <row r="24" customFormat="false" ht="15" hidden="false" customHeight="false" outlineLevel="0" collapsed="false">
      <c r="A24" s="77" t="n">
        <v>17</v>
      </c>
      <c r="B24" s="37" t="s">
        <v>2870</v>
      </c>
      <c r="C24" s="37" t="s">
        <v>2871</v>
      </c>
      <c r="D24" s="830"/>
      <c r="E24" s="831"/>
      <c r="F24" s="832"/>
      <c r="G24" s="832"/>
      <c r="H24" s="832"/>
      <c r="I24" s="833"/>
      <c r="J24" s="834"/>
      <c r="K24" s="832"/>
      <c r="L24" s="832"/>
      <c r="M24" s="832"/>
      <c r="N24" s="835"/>
      <c r="O24" s="836" t="str">
        <f aca="false">IFERROR(AVERAGE(E24:N24),"")</f>
        <v/>
      </c>
      <c r="P24" s="84" t="str">
        <f aca="false">IF(E24&lt;&gt;"",IF(COUNTIF(E24:N24,"&lt;3"),"Не успевает","Успевает"),"")</f>
        <v/>
      </c>
      <c r="Q24" s="837" t="str">
        <f aca="false">IF(D24&lt;&gt;"",(30*(set!B$5)-D24)/(30*(set!B$5))*100,"")</f>
        <v/>
      </c>
      <c r="R24" s="117" t="str">
        <f aca="false" t="array" ref="R24:R24">IF(E24&lt;&gt;"",IF(O24&lt;1.85,"Выговор",IF(O24=1.85,"Выговор",IF(AND(O24&gt;1.85,O24&lt;3),"Предупреждение",IF(AND(O24&gt;3,O24&lt;4.65),"Нормально",IF(AND(O24&gt;4.65,O24&lt;5.1,E24:N24&gt;=4),"Благодарность","Нормально"))))),"")</f>
        <v/>
      </c>
      <c r="S24" s="118" t="n">
        <f aca="false">COUNTIF(E24:N24,2)+COUNTIF(E24:N24,1)+COUNTIF(E24:N24,0)</f>
        <v>0</v>
      </c>
      <c r="T24" s="45"/>
      <c r="U24" s="45"/>
    </row>
    <row r="25" customFormat="false" ht="15" hidden="false" customHeight="false" outlineLevel="0" collapsed="false">
      <c r="A25" s="37" t="n">
        <v>18</v>
      </c>
      <c r="B25" s="37" t="s">
        <v>2872</v>
      </c>
      <c r="C25" s="37" t="s">
        <v>2873</v>
      </c>
      <c r="D25" s="830"/>
      <c r="E25" s="831"/>
      <c r="F25" s="832"/>
      <c r="G25" s="832"/>
      <c r="H25" s="832"/>
      <c r="I25" s="833"/>
      <c r="J25" s="834"/>
      <c r="K25" s="832"/>
      <c r="L25" s="832"/>
      <c r="M25" s="832"/>
      <c r="N25" s="835"/>
      <c r="O25" s="836" t="str">
        <f aca="false">IFERROR(AVERAGE(E25:N25),"")</f>
        <v/>
      </c>
      <c r="P25" s="84" t="str">
        <f aca="false">IF(E25&lt;&gt;"",IF(COUNTIF(E25:N25,"&lt;3"),"Не успевает","Успевает"),"")</f>
        <v/>
      </c>
      <c r="Q25" s="837" t="str">
        <f aca="false">IF(D25&lt;&gt;"",(30*(set!B$5)-D25)/(30*(set!B$5))*100,"")</f>
        <v/>
      </c>
      <c r="R25" s="117" t="str">
        <f aca="false" t="array" ref="R25:R25">IF(E25&lt;&gt;"",IF(O25&lt;1.85,"Выговор",IF(O25=1.85,"Выговор",IF(AND(O25&gt;1.85,O25&lt;3),"Предупреждение",IF(AND(O25&gt;3,O25&lt;4.65),"Нормально",IF(AND(O25&gt;4.65,O25&lt;5.1,E25:N25&gt;=4),"Благодарность","Нормально"))))),"")</f>
        <v/>
      </c>
      <c r="S25" s="118" t="n">
        <f aca="false">COUNTIF(E25:N25,2)+COUNTIF(E25:N25,1)+COUNTIF(E25:N25,0)</f>
        <v>0</v>
      </c>
      <c r="T25" s="45"/>
      <c r="U25" s="45"/>
    </row>
    <row r="26" customFormat="false" ht="15" hidden="false" customHeight="false" outlineLevel="0" collapsed="false">
      <c r="A26" s="77" t="n">
        <v>19</v>
      </c>
      <c r="B26" s="37" t="s">
        <v>2874</v>
      </c>
      <c r="C26" s="37" t="s">
        <v>2875</v>
      </c>
      <c r="D26" s="830"/>
      <c r="E26" s="831"/>
      <c r="F26" s="832"/>
      <c r="G26" s="832"/>
      <c r="H26" s="832"/>
      <c r="I26" s="833"/>
      <c r="J26" s="834"/>
      <c r="K26" s="832"/>
      <c r="L26" s="832"/>
      <c r="M26" s="832"/>
      <c r="N26" s="835"/>
      <c r="O26" s="836" t="str">
        <f aca="false">IFERROR(AVERAGE(E26:N26),"")</f>
        <v/>
      </c>
      <c r="P26" s="84" t="str">
        <f aca="false">IF(E26&lt;&gt;"",IF(COUNTIF(E26:N26,"&lt;3"),"Не успевает","Успевает"),"")</f>
        <v/>
      </c>
      <c r="Q26" s="837" t="str">
        <f aca="false">IF(D26&lt;&gt;"",(30*(set!B$5)-D26)/(30*(set!B$5))*100,"")</f>
        <v/>
      </c>
      <c r="R26" s="117" t="str">
        <f aca="false" t="array" ref="R26:R26">IF(E26&lt;&gt;"",IF(O26&lt;1.85,"Выговор",IF(O26=1.85,"Выговор",IF(AND(O26&gt;1.85,O26&lt;3),"Предупреждение",IF(AND(O26&gt;3,O26&lt;4.65),"Нормально",IF(AND(O26&gt;4.65,O26&lt;5.1,E26:N26&gt;=4),"Благодарность","Нормально"))))),"")</f>
        <v/>
      </c>
      <c r="S26" s="118" t="n">
        <f aca="false">COUNTIF(E26:N26,2)+COUNTIF(E26:N26,1)+COUNTIF(E26:N26,0)</f>
        <v>0</v>
      </c>
      <c r="T26" s="45"/>
      <c r="U26" s="45"/>
    </row>
    <row r="27" customFormat="false" ht="15" hidden="false" customHeight="false" outlineLevel="0" collapsed="false">
      <c r="A27" s="37" t="n">
        <v>20</v>
      </c>
      <c r="B27" s="37" t="s">
        <v>2876</v>
      </c>
      <c r="C27" s="37" t="s">
        <v>2877</v>
      </c>
      <c r="D27" s="830"/>
      <c r="E27" s="831"/>
      <c r="F27" s="832"/>
      <c r="G27" s="832"/>
      <c r="H27" s="832"/>
      <c r="I27" s="833"/>
      <c r="J27" s="834"/>
      <c r="K27" s="832"/>
      <c r="L27" s="832"/>
      <c r="M27" s="832"/>
      <c r="N27" s="835"/>
      <c r="O27" s="836" t="str">
        <f aca="false">IFERROR(AVERAGE(E27:N27),"")</f>
        <v/>
      </c>
      <c r="P27" s="84" t="str">
        <f aca="false">IF(E27&lt;&gt;"",IF(COUNTIF(E27:N27,"&lt;3"),"Не успевает","Успевает"),"")</f>
        <v/>
      </c>
      <c r="Q27" s="837" t="str">
        <f aca="false">IF(D27&lt;&gt;"",(30*(set!B$5)-D27)/(30*(set!B$5))*100,"")</f>
        <v/>
      </c>
      <c r="R27" s="117" t="str">
        <f aca="false" t="array" ref="R27:R27">IF(E27&lt;&gt;"",IF(O27&lt;1.85,"Выговор",IF(O27=1.85,"Выговор",IF(AND(O27&gt;1.85,O27&lt;3),"Предупреждение",IF(AND(O27&gt;3,O27&lt;4.65),"Нормально",IF(AND(O27&gt;4.65,O27&lt;5.1,E27:N27&gt;=4),"Благодарность","Нормально"))))),"")</f>
        <v/>
      </c>
      <c r="S27" s="118" t="n">
        <f aca="false">COUNTIF(E27:N27,2)+COUNTIF(E27:N27,1)+COUNTIF(E27:N27,0)</f>
        <v>0</v>
      </c>
      <c r="T27" s="45"/>
      <c r="U27" s="45"/>
    </row>
    <row r="28" customFormat="false" ht="15" hidden="false" customHeight="false" outlineLevel="0" collapsed="false">
      <c r="A28" s="77" t="n">
        <v>21</v>
      </c>
      <c r="B28" s="37" t="s">
        <v>2878</v>
      </c>
      <c r="C28" s="37" t="s">
        <v>2879</v>
      </c>
      <c r="D28" s="830"/>
      <c r="E28" s="831"/>
      <c r="F28" s="832"/>
      <c r="G28" s="832"/>
      <c r="H28" s="832"/>
      <c r="I28" s="833"/>
      <c r="J28" s="834"/>
      <c r="K28" s="832"/>
      <c r="L28" s="832"/>
      <c r="M28" s="832"/>
      <c r="N28" s="835"/>
      <c r="O28" s="836" t="str">
        <f aca="false">IFERROR(AVERAGE(E28:N28),"")</f>
        <v/>
      </c>
      <c r="P28" s="84" t="str">
        <f aca="false">IF(E28&lt;&gt;"",IF(COUNTIF(E28:N28,"&lt;3"),"Не успевает","Успевает"),"")</f>
        <v/>
      </c>
      <c r="Q28" s="837" t="str">
        <f aca="false">IF(D28&lt;&gt;"",(30*(set!B$5)-D28)/(30*(set!B$5))*100,"")</f>
        <v/>
      </c>
      <c r="R28" s="117" t="str">
        <f aca="false" t="array" ref="R28:R28">IF(E28&lt;&gt;"",IF(O28&lt;1.85,"Выговор",IF(O28=1.85,"Выговор",IF(AND(O28&gt;1.85,O28&lt;3),"Предупреждение",IF(AND(O28&gt;3,O28&lt;4.65),"Нормально",IF(AND(O28&gt;4.65,O28&lt;5.1,E28:N28&gt;=4),"Благодарность","Нормально"))))),"")</f>
        <v/>
      </c>
      <c r="S28" s="118" t="n">
        <f aca="false">COUNTIF(E28:N28,2)+COUNTIF(E28:N28,1)+COUNTIF(E28:N28,0)</f>
        <v>0</v>
      </c>
      <c r="T28" s="45"/>
      <c r="U28" s="45"/>
    </row>
    <row r="29" customFormat="false" ht="15" hidden="false" customHeight="false" outlineLevel="0" collapsed="false">
      <c r="A29" s="37" t="n">
        <v>22</v>
      </c>
      <c r="B29" s="37" t="s">
        <v>2880</v>
      </c>
      <c r="C29" s="37" t="s">
        <v>2881</v>
      </c>
      <c r="D29" s="830"/>
      <c r="E29" s="831"/>
      <c r="F29" s="832"/>
      <c r="G29" s="832"/>
      <c r="H29" s="832"/>
      <c r="I29" s="833"/>
      <c r="J29" s="834"/>
      <c r="K29" s="832"/>
      <c r="L29" s="832"/>
      <c r="M29" s="832"/>
      <c r="N29" s="835"/>
      <c r="O29" s="836" t="str">
        <f aca="false">IFERROR(AVERAGE(E29:N29),"")</f>
        <v/>
      </c>
      <c r="P29" s="84" t="str">
        <f aca="false">IF(E29&lt;&gt;"",IF(COUNTIF(E29:N29,"&lt;3"),"Не успевает","Успевает"),"")</f>
        <v/>
      </c>
      <c r="Q29" s="837" t="str">
        <f aca="false">IF(D29&lt;&gt;"",(30*(set!B$5)-D29)/(30*(set!B$5))*100,"")</f>
        <v/>
      </c>
      <c r="R29" s="117" t="str">
        <f aca="false" t="array" ref="R29:R29">IF(E29&lt;&gt;"",IF(O29&lt;1.85,"Выговор",IF(O29=1.85,"Выговор",IF(AND(O29&gt;1.85,O29&lt;3),"Предупреждение",IF(AND(O29&gt;3,O29&lt;4.65),"Нормально",IF(AND(O29&gt;4.65,O29&lt;5.1,E29:N29&gt;=4),"Благодарность","Нормально"))))),"")</f>
        <v/>
      </c>
      <c r="S29" s="118" t="n">
        <f aca="false">COUNTIF(E29:N29,2)+COUNTIF(E29:N29,1)+COUNTIF(E29:N29,0)</f>
        <v>0</v>
      </c>
      <c r="T29" s="45"/>
      <c r="U29" s="45"/>
    </row>
    <row r="30" customFormat="false" ht="15" hidden="false" customHeight="false" outlineLevel="0" collapsed="false">
      <c r="A30" s="45" t="s">
        <v>77</v>
      </c>
      <c r="B30" s="45"/>
      <c r="C30" s="45"/>
      <c r="D30" s="849"/>
      <c r="E30" s="850" t="e">
        <f aca="false">AVERAGE(E8:E29)</f>
        <v>#DIV/0!</v>
      </c>
      <c r="F30" s="850" t="e">
        <f aca="false">AVERAGE(F8:F29)</f>
        <v>#DIV/0!</v>
      </c>
      <c r="G30" s="850" t="e">
        <f aca="false">AVERAGE(G8:G29)</f>
        <v>#DIV/0!</v>
      </c>
      <c r="H30" s="850" t="e">
        <f aca="false">AVERAGE(H8:H29)</f>
        <v>#DIV/0!</v>
      </c>
      <c r="I30" s="850" t="e">
        <f aca="false">AVERAGE(I8:I29)</f>
        <v>#DIV/0!</v>
      </c>
      <c r="J30" s="850" t="e">
        <f aca="false">AVERAGE(J8:J29)</f>
        <v>#DIV/0!</v>
      </c>
      <c r="K30" s="850" t="e">
        <f aca="false">AVERAGE(K8:K29)</f>
        <v>#DIV/0!</v>
      </c>
      <c r="L30" s="850" t="e">
        <f aca="false">AVERAGE(L8:L29)</f>
        <v>#DIV/0!</v>
      </c>
      <c r="M30" s="850" t="e">
        <f aca="false">AVERAGE(M8:M29)</f>
        <v>#DIV/0!</v>
      </c>
      <c r="N30" s="850" t="e">
        <f aca="false">AVERAGE(N8:N29)</f>
        <v>#DIV/0!</v>
      </c>
      <c r="O30" s="48"/>
      <c r="P30" s="48"/>
      <c r="Q30" s="48"/>
      <c r="R30" s="48"/>
      <c r="S30" s="45"/>
      <c r="T30" s="45"/>
      <c r="U30" s="45"/>
    </row>
    <row r="31" customFormat="false" ht="15" hidden="false" customHeight="false" outlineLevel="0" collapsed="false">
      <c r="A31" s="45" t="s">
        <v>78</v>
      </c>
      <c r="B31" s="45"/>
      <c r="C31" s="45"/>
      <c r="D31" s="209"/>
      <c r="E31" s="137" t="e">
        <f aca="false">(COUNTIF(E8:E29,5)+COUNTIF(E8:E29,4)+COUNTIF(E8:E29,3))/$U$36*100</f>
        <v>#DIV/0!</v>
      </c>
      <c r="F31" s="137" t="e">
        <f aca="false">(COUNTIF(F8:F29,5)+COUNTIF(F8:F29,4)+COUNTIF(F8:F29,3))/$U$36*100</f>
        <v>#DIV/0!</v>
      </c>
      <c r="G31" s="137" t="e">
        <f aca="false">(COUNTIF(G8:G29,5)+COUNTIF(G8:G29,4)+COUNTIF(G8:G29,3))/$U$36*100</f>
        <v>#DIV/0!</v>
      </c>
      <c r="H31" s="137" t="e">
        <f aca="false">(COUNTIF(H8:H29,5)+COUNTIF(H8:H29,4)+COUNTIF(H8:H29,3))/$U$36*100</f>
        <v>#DIV/0!</v>
      </c>
      <c r="I31" s="137" t="e">
        <f aca="false">(COUNTIF(I8:I29,5)+COUNTIF(I8:I29,4)+COUNTIF(I8:I29,3))/$U$36*100</f>
        <v>#DIV/0!</v>
      </c>
      <c r="J31" s="137" t="e">
        <f aca="false">(COUNTIF(J8:J29,5)+COUNTIF(J8:J29,4)+COUNTIF(J8:J29,3))/$U$36*100</f>
        <v>#DIV/0!</v>
      </c>
      <c r="K31" s="137" t="e">
        <f aca="false">(COUNTIF(K8:K29,5)+COUNTIF(K8:K29,4)+COUNTIF(K8:K29,3))/$U$36*100</f>
        <v>#DIV/0!</v>
      </c>
      <c r="L31" s="137" t="e">
        <f aca="false">(COUNTIF(L8:L29,5)+COUNTIF(L8:L29,4)+COUNTIF(L8:L29,3))/$U$36*100</f>
        <v>#DIV/0!</v>
      </c>
      <c r="M31" s="137" t="e">
        <f aca="false">(COUNTIF(M8:M29,5)+COUNTIF(M8:M29,4)+COUNTIF(M8:M29,3))/$U$36*100</f>
        <v>#DIV/0!</v>
      </c>
      <c r="N31" s="137" t="e">
        <f aca="false">(COUNTIF(N8:N29,5)+COUNTIF(N8:N29,4)+COUNTIF(N8:N29,3))/$U$36*100</f>
        <v>#DIV/0!</v>
      </c>
      <c r="O31" s="48"/>
      <c r="P31" s="48"/>
      <c r="Q31" s="48"/>
      <c r="R31" s="48"/>
      <c r="S31" s="45"/>
      <c r="T31" s="45"/>
      <c r="U31" s="45"/>
    </row>
    <row r="32" customFormat="false" ht="15" hidden="false" customHeight="false" outlineLevel="0" collapsed="false">
      <c r="A32" s="45"/>
      <c r="B32" s="45"/>
      <c r="C32" s="45"/>
      <c r="D32" s="46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8"/>
      <c r="R32" s="48"/>
      <c r="S32" s="48"/>
      <c r="T32" s="48"/>
      <c r="U32" s="45"/>
    </row>
    <row r="33" customFormat="false" ht="15" hidden="false" customHeight="false" outlineLevel="0" collapsed="false">
      <c r="A33" s="45"/>
      <c r="B33" s="45"/>
      <c r="C33" s="45"/>
      <c r="D33" s="45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</row>
    <row r="34" customFormat="false" ht="25.35" hidden="false" customHeight="true" outlineLevel="0" collapsed="false">
      <c r="A34" s="45"/>
      <c r="B34" s="50"/>
      <c r="C34" s="50" t="s">
        <v>8</v>
      </c>
      <c r="D34" s="51" t="str">
        <f aca="false">IFERROR(AVERAGE(O8:O29),"")</f>
        <v/>
      </c>
      <c r="E34" s="52" t="s">
        <v>9</v>
      </c>
      <c r="F34" s="52"/>
      <c r="G34" s="53" t="str">
        <f aca="false">IFERROR(COUNTIF(P8:P29,"Успевает")/U36*100,"")</f>
        <v/>
      </c>
      <c r="H34" s="53"/>
      <c r="I34" s="54" t="s">
        <v>79</v>
      </c>
      <c r="J34" s="54"/>
      <c r="K34" s="55" t="str">
        <f aca="false">IFERROR(AVERAGE(Q8:Q29),"")</f>
        <v/>
      </c>
      <c r="L34" s="52"/>
      <c r="M34" s="52"/>
      <c r="N34" s="52"/>
      <c r="O34" s="52"/>
      <c r="P34" s="52"/>
      <c r="Q34" s="52"/>
      <c r="R34" s="158"/>
      <c r="S34" s="48"/>
      <c r="T34" s="48"/>
      <c r="U34" s="48"/>
    </row>
    <row r="35" customFormat="false" ht="15" hidden="false" customHeight="false" outlineLevel="0" collapsed="false">
      <c r="A35" s="45"/>
      <c r="B35" s="50"/>
      <c r="C35" s="50"/>
      <c r="D35" s="50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45"/>
      <c r="T35" s="45"/>
      <c r="U35" s="45"/>
    </row>
    <row r="36" customFormat="false" ht="15" hidden="false" customHeight="true" outlineLevel="0" collapsed="false">
      <c r="A36" s="50"/>
      <c r="B36" s="61" t="s">
        <v>81</v>
      </c>
      <c r="C36" s="61"/>
      <c r="D36" s="61"/>
      <c r="E36" s="61"/>
      <c r="F36" s="61"/>
      <c r="G36" s="61"/>
      <c r="H36" s="61"/>
      <c r="I36" s="61"/>
      <c r="J36" s="61"/>
      <c r="K36" s="61"/>
      <c r="L36" s="61" t="s">
        <v>82</v>
      </c>
      <c r="M36" s="61"/>
      <c r="N36" s="61"/>
      <c r="O36" s="61"/>
      <c r="P36" s="61"/>
      <c r="Q36" s="61"/>
      <c r="R36" s="56"/>
      <c r="S36" s="57" t="s">
        <v>80</v>
      </c>
      <c r="T36" s="57"/>
      <c r="U36" s="58" t="n">
        <f aca="false">SUM(U37,U38)</f>
        <v>0</v>
      </c>
    </row>
    <row r="37" customFormat="false" ht="15" hidden="false" customHeight="true" outlineLevel="0" collapsed="false">
      <c r="A37" s="50"/>
      <c r="B37" s="65" t="str">
        <f aca="false">$E$6</f>
        <v> Алгоритмы и структуры данных</v>
      </c>
      <c r="C37" s="65"/>
      <c r="D37" s="65"/>
      <c r="E37" s="65"/>
      <c r="F37" s="65"/>
      <c r="G37" s="65"/>
      <c r="H37" s="65"/>
      <c r="I37" s="65"/>
      <c r="J37" s="65"/>
      <c r="K37" s="65"/>
      <c r="L37" s="851"/>
      <c r="M37" s="851"/>
      <c r="N37" s="851"/>
      <c r="O37" s="851"/>
      <c r="P37" s="851"/>
      <c r="Q37" s="851"/>
      <c r="R37" s="67"/>
      <c r="S37" s="57" t="s">
        <v>83</v>
      </c>
      <c r="T37" s="57"/>
      <c r="U37" s="58" t="n">
        <f aca="false">COUNTIF(P8:P29,"Успевает")</f>
        <v>0</v>
      </c>
    </row>
    <row r="38" customFormat="false" ht="15" hidden="false" customHeight="false" outlineLevel="0" collapsed="false">
      <c r="A38" s="50"/>
      <c r="B38" s="65" t="str">
        <f aca="false">$F$6</f>
        <v> История России</v>
      </c>
      <c r="C38" s="65"/>
      <c r="D38" s="65"/>
      <c r="E38" s="65"/>
      <c r="F38" s="65"/>
      <c r="G38" s="65"/>
      <c r="H38" s="65"/>
      <c r="I38" s="65"/>
      <c r="J38" s="65"/>
      <c r="K38" s="65"/>
      <c r="L38" s="851"/>
      <c r="M38" s="851"/>
      <c r="N38" s="851"/>
      <c r="O38" s="851"/>
      <c r="P38" s="851"/>
      <c r="Q38" s="851"/>
      <c r="R38" s="67"/>
      <c r="S38" s="98" t="s">
        <v>84</v>
      </c>
      <c r="T38" s="98"/>
      <c r="U38" s="58" t="n">
        <f aca="false">COUNTIF(P8:P29,"Не успевает")</f>
        <v>0</v>
      </c>
    </row>
    <row r="39" customFormat="false" ht="15" hidden="false" customHeight="false" outlineLevel="0" collapsed="false">
      <c r="A39" s="50"/>
      <c r="B39" s="65" t="str">
        <f aca="false">$G$6</f>
        <v> Системное программирование</v>
      </c>
      <c r="C39" s="65"/>
      <c r="D39" s="65"/>
      <c r="E39" s="65"/>
      <c r="F39" s="65"/>
      <c r="G39" s="65"/>
      <c r="H39" s="65"/>
      <c r="I39" s="65"/>
      <c r="J39" s="65"/>
      <c r="K39" s="65"/>
      <c r="L39" s="851"/>
      <c r="M39" s="851"/>
      <c r="N39" s="851"/>
      <c r="O39" s="851"/>
      <c r="P39" s="851"/>
      <c r="Q39" s="851"/>
      <c r="R39" s="67"/>
      <c r="S39" s="98" t="s">
        <v>85</v>
      </c>
      <c r="T39" s="98"/>
      <c r="U39" s="58" t="n">
        <f aca="false">COUNTIF(R8:R29,"Благодарность")</f>
        <v>0</v>
      </c>
    </row>
    <row r="40" customFormat="false" ht="15" hidden="false" customHeight="false" outlineLevel="0" collapsed="false">
      <c r="A40" s="50"/>
      <c r="B40" s="65" t="str">
        <f aca="false">$H$6</f>
        <v> Физика</v>
      </c>
      <c r="C40" s="65"/>
      <c r="D40" s="65"/>
      <c r="E40" s="65"/>
      <c r="F40" s="65"/>
      <c r="G40" s="65"/>
      <c r="H40" s="65"/>
      <c r="I40" s="65"/>
      <c r="J40" s="65"/>
      <c r="K40" s="65"/>
      <c r="L40" s="851"/>
      <c r="M40" s="851"/>
      <c r="N40" s="851"/>
      <c r="O40" s="851"/>
      <c r="P40" s="851"/>
      <c r="Q40" s="851"/>
      <c r="R40" s="67"/>
      <c r="S40" s="98" t="s">
        <v>86</v>
      </c>
      <c r="T40" s="98"/>
      <c r="U40" s="58" t="n">
        <f aca="false">COUNTIF(R8:R29,"Нормально")</f>
        <v>0</v>
      </c>
    </row>
    <row r="41" customFormat="false" ht="15" hidden="false" customHeight="false" outlineLevel="0" collapsed="false">
      <c r="A41" s="50"/>
      <c r="B41" s="65" t="str">
        <f aca="false">$I$6</f>
        <v> Электротехника</v>
      </c>
      <c r="C41" s="65"/>
      <c r="D41" s="65"/>
      <c r="E41" s="65"/>
      <c r="F41" s="65"/>
      <c r="G41" s="65"/>
      <c r="H41" s="65"/>
      <c r="I41" s="65"/>
      <c r="J41" s="65"/>
      <c r="K41" s="65"/>
      <c r="L41" s="851"/>
      <c r="M41" s="851"/>
      <c r="N41" s="851"/>
      <c r="O41" s="851"/>
      <c r="P41" s="851"/>
      <c r="Q41" s="851"/>
      <c r="R41" s="67"/>
      <c r="S41" s="98" t="s">
        <v>87</v>
      </c>
      <c r="T41" s="98"/>
      <c r="U41" s="58" t="n">
        <f aca="false">COUNTIF(R8:R29,"Предупреждение")</f>
        <v>0</v>
      </c>
    </row>
    <row r="42" customFormat="false" ht="15" hidden="false" customHeight="false" outlineLevel="0" collapsed="false">
      <c r="A42" s="50"/>
      <c r="B42" s="65" t="str">
        <f aca="false">$J$6</f>
        <v>Иностранный язык</v>
      </c>
      <c r="C42" s="65"/>
      <c r="D42" s="65"/>
      <c r="E42" s="65"/>
      <c r="F42" s="65"/>
      <c r="G42" s="65"/>
      <c r="H42" s="65"/>
      <c r="I42" s="65"/>
      <c r="J42" s="65"/>
      <c r="K42" s="65"/>
      <c r="L42" s="851"/>
      <c r="M42" s="851"/>
      <c r="N42" s="851"/>
      <c r="O42" s="851"/>
      <c r="P42" s="851"/>
      <c r="Q42" s="851"/>
      <c r="R42" s="67"/>
      <c r="S42" s="98" t="s">
        <v>88</v>
      </c>
      <c r="T42" s="98"/>
      <c r="U42" s="58" t="n">
        <f aca="false">COUNTIF(R8:R29,"Выговор")</f>
        <v>0</v>
      </c>
    </row>
    <row r="43" customFormat="false" ht="15" hidden="false" customHeight="false" outlineLevel="0" collapsed="false">
      <c r="A43" s="50"/>
      <c r="B43" s="65" t="str">
        <f aca="false">$K$6</f>
        <v> Теория вероятностей и математическая статистика</v>
      </c>
      <c r="C43" s="65"/>
      <c r="D43" s="65"/>
      <c r="E43" s="65"/>
      <c r="F43" s="65"/>
      <c r="G43" s="65"/>
      <c r="H43" s="65"/>
      <c r="I43" s="65"/>
      <c r="J43" s="65"/>
      <c r="K43" s="65"/>
      <c r="L43" s="851"/>
      <c r="M43" s="851"/>
      <c r="N43" s="851"/>
      <c r="O43" s="851"/>
      <c r="P43" s="851"/>
      <c r="Q43" s="851"/>
      <c r="R43" s="67"/>
      <c r="S43" s="442" t="s">
        <v>1575</v>
      </c>
      <c r="T43" s="442"/>
      <c r="U43" s="143" t="n">
        <f aca="false">SUM(S8:S29)</f>
        <v>0</v>
      </c>
    </row>
    <row r="44" customFormat="false" ht="15" hidden="false" customHeight="false" outlineLevel="0" collapsed="false">
      <c r="A44" s="50"/>
      <c r="B44" s="65" t="str">
        <f aca="false">$L$6</f>
        <v> Теория систем и системный анализ</v>
      </c>
      <c r="C44" s="65"/>
      <c r="D44" s="65"/>
      <c r="E44" s="65"/>
      <c r="F44" s="65"/>
      <c r="G44" s="65"/>
      <c r="H44" s="65"/>
      <c r="I44" s="65"/>
      <c r="J44" s="65"/>
      <c r="K44" s="65"/>
      <c r="L44" s="851"/>
      <c r="M44" s="851"/>
      <c r="N44" s="851"/>
      <c r="O44" s="851"/>
      <c r="P44" s="851"/>
      <c r="Q44" s="851"/>
      <c r="R44" s="67"/>
      <c r="S44" s="67"/>
      <c r="T44" s="67"/>
      <c r="U44" s="48"/>
    </row>
    <row r="45" customFormat="false" ht="15" hidden="false" customHeight="false" outlineLevel="0" collapsed="false">
      <c r="A45" s="50"/>
      <c r="B45" s="65" t="str">
        <f aca="false">$M$6</f>
        <v> Философия</v>
      </c>
      <c r="C45" s="65"/>
      <c r="D45" s="65"/>
      <c r="E45" s="65"/>
      <c r="F45" s="65"/>
      <c r="G45" s="65"/>
      <c r="H45" s="65"/>
      <c r="I45" s="65"/>
      <c r="J45" s="65"/>
      <c r="K45" s="65"/>
      <c r="L45" s="851"/>
      <c r="M45" s="851"/>
      <c r="N45" s="851"/>
      <c r="O45" s="851"/>
      <c r="P45" s="851"/>
      <c r="Q45" s="851"/>
      <c r="R45" s="67"/>
      <c r="S45" s="67"/>
      <c r="T45" s="67"/>
      <c r="U45" s="48"/>
    </row>
    <row r="46" customFormat="false" ht="15" hidden="false" customHeight="false" outlineLevel="0" collapsed="false">
      <c r="A46" s="50"/>
      <c r="B46" s="852" t="str">
        <f aca="false">$N$6</f>
        <v>Физическая культура и спорт</v>
      </c>
      <c r="C46" s="852"/>
      <c r="D46" s="852"/>
      <c r="E46" s="852"/>
      <c r="F46" s="852"/>
      <c r="G46" s="852"/>
      <c r="H46" s="852"/>
      <c r="I46" s="852"/>
      <c r="J46" s="852"/>
      <c r="K46" s="852"/>
      <c r="L46" s="851"/>
      <c r="M46" s="851"/>
      <c r="N46" s="851"/>
      <c r="O46" s="851"/>
      <c r="P46" s="851"/>
      <c r="Q46" s="851"/>
      <c r="R46" s="67"/>
      <c r="S46" s="67"/>
      <c r="T46" s="67"/>
      <c r="U46" s="48"/>
    </row>
    <row r="47" customFormat="false" ht="15" hidden="false" customHeight="false" outlineLevel="0" collapsed="false">
      <c r="A47" s="50"/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0"/>
      <c r="M47" s="50"/>
      <c r="N47" s="50"/>
      <c r="O47" s="50"/>
      <c r="P47" s="50"/>
      <c r="Q47" s="50"/>
      <c r="R47" s="48"/>
      <c r="S47" s="48"/>
      <c r="T47" s="48"/>
      <c r="U47" s="48"/>
    </row>
    <row r="48" customFormat="false" ht="15" hidden="false" customHeight="true" outlineLevel="0" collapsed="false">
      <c r="A48" s="50"/>
      <c r="B48" s="52" t="s">
        <v>405</v>
      </c>
      <c r="C48" s="198" t="s">
        <v>2882</v>
      </c>
      <c r="D48" s="198"/>
      <c r="E48" s="67"/>
      <c r="F48" s="52" t="s">
        <v>369</v>
      </c>
      <c r="G48" s="300" t="s">
        <v>2837</v>
      </c>
      <c r="H48" s="300"/>
      <c r="I48" s="52"/>
      <c r="J48" s="52"/>
      <c r="K48" s="52"/>
      <c r="L48" s="52"/>
      <c r="M48" s="50"/>
      <c r="N48" s="50"/>
      <c r="O48" s="50"/>
      <c r="P48" s="50"/>
      <c r="Q48" s="50"/>
      <c r="R48" s="48"/>
      <c r="S48" s="48"/>
      <c r="T48" s="48"/>
      <c r="U48" s="48"/>
    </row>
    <row r="49" customFormat="false" ht="15" hidden="false" customHeight="false" outlineLevel="0" collapsed="false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48"/>
      <c r="S49" s="45"/>
      <c r="T49" s="45"/>
      <c r="U49" s="45"/>
    </row>
    <row r="50" customFormat="false" ht="15" hidden="false" customHeight="false" outlineLevel="0" collapsed="false">
      <c r="A50" s="50"/>
      <c r="B50" s="50" t="s">
        <v>93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48"/>
      <c r="S50" s="45"/>
      <c r="T50" s="45"/>
      <c r="U50" s="45"/>
    </row>
    <row r="51" customFormat="false" ht="15" hidden="false" customHeight="false" outlineLevel="0" collapsed="false">
      <c r="A51" s="50"/>
      <c r="B51" s="50" t="s">
        <v>94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48"/>
      <c r="S51" s="45"/>
      <c r="T51" s="45"/>
      <c r="U51" s="45"/>
    </row>
    <row r="52" customFormat="false" ht="15" hidden="false" customHeight="false" outlineLevel="0" collapsed="false">
      <c r="A52" s="50"/>
      <c r="B52" s="50" t="s">
        <v>95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48"/>
      <c r="S52" s="45"/>
      <c r="T52" s="45"/>
      <c r="U52" s="45"/>
    </row>
    <row r="53" customFormat="false" ht="15" hidden="false" customHeight="false" outlineLevel="0" collapsed="false">
      <c r="A53" s="50"/>
      <c r="B53" s="50" t="s">
        <v>96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48"/>
      <c r="S53" s="45"/>
      <c r="T53" s="45"/>
      <c r="U53" s="45"/>
    </row>
    <row r="54" customFormat="false" ht="15" hidden="false" customHeight="false" outlineLevel="0" collapsed="false">
      <c r="A54" s="50"/>
      <c r="B54" s="50" t="s">
        <v>97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48"/>
      <c r="S54" s="45"/>
      <c r="T54" s="45"/>
      <c r="U54" s="45"/>
    </row>
    <row r="55" customFormat="false" ht="15" hidden="false" customHeight="false" outlineLevel="0" collapsed="false">
      <c r="A55" s="50"/>
      <c r="B55" s="50" t="s">
        <v>98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48"/>
      <c r="S55" s="45"/>
      <c r="T55" s="45"/>
      <c r="U55" s="45"/>
    </row>
    <row r="56" customFormat="false" ht="15" hidden="false" customHeight="false" outlineLevel="0" collapsed="false">
      <c r="A56" s="50"/>
      <c r="B56" s="50" t="s">
        <v>99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48"/>
      <c r="S56" s="45"/>
      <c r="T56" s="45"/>
      <c r="U56" s="45"/>
    </row>
  </sheetData>
  <mergeCells count="43">
    <mergeCell ref="E1:I1"/>
    <mergeCell ref="A3:S3"/>
    <mergeCell ref="A5:A7"/>
    <mergeCell ref="B5:B7"/>
    <mergeCell ref="C5:C7"/>
    <mergeCell ref="D5:D7"/>
    <mergeCell ref="E5:I5"/>
    <mergeCell ref="J5:N5"/>
    <mergeCell ref="O5:O7"/>
    <mergeCell ref="P5:P7"/>
    <mergeCell ref="Q5:Q7"/>
    <mergeCell ref="R5:R7"/>
    <mergeCell ref="S5:S7"/>
    <mergeCell ref="I34:J34"/>
    <mergeCell ref="B36:K36"/>
    <mergeCell ref="L36:Q36"/>
    <mergeCell ref="S36:T36"/>
    <mergeCell ref="B37:K37"/>
    <mergeCell ref="L37:Q37"/>
    <mergeCell ref="S37:T37"/>
    <mergeCell ref="B38:K38"/>
    <mergeCell ref="L38:Q38"/>
    <mergeCell ref="S38:T38"/>
    <mergeCell ref="B39:K39"/>
    <mergeCell ref="L39:Q39"/>
    <mergeCell ref="S39:T39"/>
    <mergeCell ref="B40:K40"/>
    <mergeCell ref="L40:Q40"/>
    <mergeCell ref="S40:T40"/>
    <mergeCell ref="B41:K41"/>
    <mergeCell ref="L41:Q41"/>
    <mergeCell ref="S41:T41"/>
    <mergeCell ref="B42:K42"/>
    <mergeCell ref="L42:Q42"/>
    <mergeCell ref="S42:T42"/>
    <mergeCell ref="B43:K43"/>
    <mergeCell ref="L43:Q43"/>
    <mergeCell ref="B44:K44"/>
    <mergeCell ref="L44:Q44"/>
    <mergeCell ref="B45:K45"/>
    <mergeCell ref="L45:Q45"/>
    <mergeCell ref="B46:K46"/>
    <mergeCell ref="L46:Q46"/>
  </mergeCells>
  <conditionalFormatting sqref="H9:H29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G29 I9:N2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2:P32 E31:N31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G8 I8:N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29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40"/>
  <sheetViews>
    <sheetView showFormulas="false" showGridLines="true" showRowColHeaders="true" showZeros="true" rightToLeft="false" tabSelected="false" showOutlineSymbols="true" defaultGridColor="true" view="normal" topLeftCell="A4" colorId="64" zoomScale="140" zoomScaleNormal="140" zoomScalePageLayoutView="100" workbookViewId="0">
      <selection pane="topLeft" activeCell="M39" activeCellId="0" sqref="M39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14"/>
    <col collapsed="false" customWidth="true" hidden="false" outlineLevel="0" max="3" min="3" style="0" width="18.42"/>
    <col collapsed="false" customWidth="true" hidden="false" outlineLevel="0" max="5" min="5" style="0" width="10"/>
    <col collapsed="false" customWidth="false" hidden="false" outlineLevel="0" max="8" min="8" style="45" width="9.14"/>
    <col collapsed="false" customWidth="true" hidden="false" outlineLevel="0" max="14" min="14" style="0" width="11"/>
    <col collapsed="false" customWidth="true" hidden="false" outlineLevel="0" max="18" min="18" style="0" width="10.29"/>
    <col collapsed="false" customWidth="true" hidden="false" outlineLevel="0" max="20" min="20" style="0" width="9"/>
    <col collapsed="false" customWidth="true" hidden="false" outlineLevel="0" max="21" min="21" style="0" width="10.71"/>
    <col collapsed="false" customWidth="true" hidden="false" outlineLevel="0" max="23" min="22" style="0" width="3.29"/>
    <col collapsed="false" customWidth="true" hidden="false" outlineLevel="0" max="24" min="24" style="0" width="4.14"/>
    <col collapsed="false" customWidth="true" hidden="false" outlineLevel="0" max="25" min="25" style="0" width="4.29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1"/>
      <c r="J1" s="2" t="n">
        <f aca="false">set!B1</f>
        <v>2</v>
      </c>
      <c r="K1" s="3"/>
    </row>
    <row r="2" customFormat="false" ht="15" hidden="false" customHeight="false" outlineLevel="0" collapsed="false">
      <c r="I2" s="4"/>
      <c r="M2" s="72" t="s">
        <v>1</v>
      </c>
      <c r="O2" s="72"/>
      <c r="P2" s="72"/>
      <c r="Q2" s="72"/>
      <c r="R2" s="72"/>
      <c r="S2" s="72"/>
      <c r="T2" s="75"/>
      <c r="U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ИУК6-39 факультета ИУК МГТУ им. Н.Э. Баумана"</f>
        <v>Успеваемость студентов за 1 семестр 24/25 учебного года по группе ИУК6-39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/>
      <c r="J5" s="11" t="s">
        <v>7</v>
      </c>
      <c r="K5" s="11"/>
      <c r="L5" s="11"/>
      <c r="M5" s="11"/>
      <c r="N5" s="11"/>
      <c r="O5" s="391" t="s">
        <v>8</v>
      </c>
      <c r="P5" s="392" t="s">
        <v>9</v>
      </c>
      <c r="Q5" s="392" t="s">
        <v>10</v>
      </c>
      <c r="R5" s="14" t="s">
        <v>11</v>
      </c>
      <c r="S5" s="600" t="s">
        <v>1575</v>
      </c>
    </row>
    <row r="6" customFormat="false" ht="15" hidden="false" customHeight="false" outlineLevel="0" collapsed="false">
      <c r="A6" s="8"/>
      <c r="B6" s="8"/>
      <c r="C6" s="8"/>
      <c r="D6" s="9"/>
      <c r="E6" s="339" t="s">
        <v>2790</v>
      </c>
      <c r="F6" s="405" t="s">
        <v>144</v>
      </c>
      <c r="G6" s="340" t="s">
        <v>735</v>
      </c>
      <c r="H6" s="340" t="s">
        <v>736</v>
      </c>
      <c r="I6" s="602" t="s">
        <v>167</v>
      </c>
      <c r="J6" s="339" t="s">
        <v>18</v>
      </c>
      <c r="K6" s="340" t="s">
        <v>2883</v>
      </c>
      <c r="L6" s="340" t="s">
        <v>2791</v>
      </c>
      <c r="M6" s="340" t="s">
        <v>170</v>
      </c>
      <c r="N6" s="18" t="s">
        <v>147</v>
      </c>
      <c r="O6" s="391"/>
      <c r="P6" s="392"/>
      <c r="Q6" s="392"/>
      <c r="R6" s="14"/>
      <c r="S6" s="600"/>
    </row>
    <row r="7" customFormat="false" ht="17.9" hidden="false" customHeight="false" outlineLevel="0" collapsed="false">
      <c r="A7" s="8"/>
      <c r="B7" s="8"/>
      <c r="C7" s="8"/>
      <c r="D7" s="9"/>
      <c r="E7" s="343" t="s">
        <v>547</v>
      </c>
      <c r="F7" s="407" t="s">
        <v>149</v>
      </c>
      <c r="G7" s="344" t="s">
        <v>741</v>
      </c>
      <c r="H7" s="344" t="s">
        <v>22</v>
      </c>
      <c r="I7" s="826" t="s">
        <v>172</v>
      </c>
      <c r="J7" s="343" t="s">
        <v>27</v>
      </c>
      <c r="K7" s="344" t="s">
        <v>151</v>
      </c>
      <c r="L7" s="344" t="s">
        <v>2793</v>
      </c>
      <c r="M7" s="344" t="s">
        <v>175</v>
      </c>
      <c r="N7" s="24" t="s">
        <v>176</v>
      </c>
      <c r="O7" s="391"/>
      <c r="P7" s="392"/>
      <c r="Q7" s="392"/>
      <c r="R7" s="14"/>
      <c r="S7" s="600"/>
    </row>
    <row r="8" customFormat="false" ht="15" hidden="false" customHeight="true" outlineLevel="0" collapsed="false">
      <c r="A8" s="543" t="n">
        <v>1</v>
      </c>
      <c r="B8" s="45" t="s">
        <v>2884</v>
      </c>
      <c r="C8" s="543" t="s">
        <v>2885</v>
      </c>
      <c r="D8" s="853"/>
      <c r="E8" s="854"/>
      <c r="F8" s="855"/>
      <c r="G8" s="855"/>
      <c r="H8" s="856"/>
      <c r="I8" s="857"/>
      <c r="J8" s="854"/>
      <c r="K8" s="855"/>
      <c r="L8" s="855"/>
      <c r="M8" s="855"/>
      <c r="N8" s="857"/>
      <c r="O8" s="836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837" t="str">
        <f aca="false">IF(D8&lt;&gt;"",(30*(set!B$5)-D8)/(30*(set!B$5))*100,"")</f>
        <v/>
      </c>
      <c r="R8" s="84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36" t="n">
        <f aca="false">COUNTIF(E8:N8,2)+COUNTIF(E8:N8,1)+COUNTIF(E8:N8,0)</f>
        <v>0</v>
      </c>
    </row>
    <row r="9" customFormat="false" ht="15" hidden="false" customHeight="true" outlineLevel="0" collapsed="false">
      <c r="A9" s="37" t="n">
        <v>2</v>
      </c>
      <c r="B9" s="37" t="s">
        <v>2886</v>
      </c>
      <c r="C9" s="37" t="s">
        <v>2887</v>
      </c>
      <c r="D9" s="853"/>
      <c r="E9" s="858"/>
      <c r="F9" s="859"/>
      <c r="G9" s="859"/>
      <c r="H9" s="860"/>
      <c r="I9" s="861"/>
      <c r="J9" s="858"/>
      <c r="K9" s="859"/>
      <c r="L9" s="859"/>
      <c r="M9" s="859"/>
      <c r="N9" s="857"/>
      <c r="O9" s="836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837" t="str">
        <f aca="false">IF(D9&lt;&gt;"",(30*(set!B$5)-D9)/(30*(set!B$5))*100,"")</f>
        <v/>
      </c>
      <c r="R9" s="11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37" t="n">
        <v>3</v>
      </c>
      <c r="B10" s="37" t="s">
        <v>2888</v>
      </c>
      <c r="C10" s="37" t="s">
        <v>2889</v>
      </c>
      <c r="D10" s="853"/>
      <c r="E10" s="858"/>
      <c r="F10" s="859"/>
      <c r="G10" s="859"/>
      <c r="H10" s="860"/>
      <c r="I10" s="861"/>
      <c r="J10" s="858"/>
      <c r="K10" s="859"/>
      <c r="L10" s="859"/>
      <c r="M10" s="859"/>
      <c r="N10" s="857"/>
      <c r="O10" s="836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837" t="str">
        <f aca="false">IF(D10&lt;&gt;"",(30*(set!B$5)-D10)/(30*(set!B$5))*100,"")</f>
        <v/>
      </c>
      <c r="R10" s="11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customFormat="false" ht="15" hidden="false" customHeight="true" outlineLevel="0" collapsed="false">
      <c r="A11" s="37" t="n">
        <v>4</v>
      </c>
      <c r="B11" s="37" t="s">
        <v>2890</v>
      </c>
      <c r="C11" s="37" t="s">
        <v>2891</v>
      </c>
      <c r="D11" s="853"/>
      <c r="E11" s="858"/>
      <c r="F11" s="859"/>
      <c r="G11" s="859"/>
      <c r="H11" s="860"/>
      <c r="I11" s="861"/>
      <c r="J11" s="858"/>
      <c r="K11" s="859"/>
      <c r="L11" s="859"/>
      <c r="M11" s="859"/>
      <c r="N11" s="857"/>
      <c r="O11" s="836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837" t="str">
        <f aca="false">IF(D11&lt;&gt;"",(30*(set!B$5)-D11)/(30*(set!B$5))*100,"")</f>
        <v/>
      </c>
      <c r="R11" s="11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customFormat="false" ht="15" hidden="false" customHeight="true" outlineLevel="0" collapsed="false">
      <c r="A12" s="0" t="s">
        <v>77</v>
      </c>
      <c r="D12" s="862"/>
      <c r="E12" s="863" t="e">
        <f aca="false">AVERAGE(E8:E11)</f>
        <v>#DIV/0!</v>
      </c>
      <c r="F12" s="863" t="e">
        <f aca="false">AVERAGE(F8:F11)</f>
        <v>#DIV/0!</v>
      </c>
      <c r="G12" s="863" t="e">
        <f aca="false">AVERAGE(G8:G11)</f>
        <v>#DIV/0!</v>
      </c>
      <c r="H12" s="863" t="e">
        <f aca="false">AVERAGE(H8:H11)</f>
        <v>#DIV/0!</v>
      </c>
      <c r="I12" s="863" t="e">
        <f aca="false">AVERAGE(I8:I11)</f>
        <v>#DIV/0!</v>
      </c>
      <c r="J12" s="863" t="e">
        <f aca="false">AVERAGE(J8:J11)</f>
        <v>#DIV/0!</v>
      </c>
      <c r="K12" s="863" t="e">
        <f aca="false">AVERAGE(K8:K11)</f>
        <v>#DIV/0!</v>
      </c>
      <c r="L12" s="863" t="e">
        <f aca="false">AVERAGE(L8:L11)</f>
        <v>#DIV/0!</v>
      </c>
      <c r="M12" s="863" t="e">
        <f aca="false">AVERAGE(M8:M11)</f>
        <v>#DIV/0!</v>
      </c>
      <c r="N12" s="863" t="e">
        <f aca="false">AVERAGE(N8:N11)</f>
        <v>#DIV/0!</v>
      </c>
      <c r="O12" s="48"/>
      <c r="P12" s="48"/>
      <c r="Q12" s="48"/>
      <c r="R12" s="48"/>
    </row>
    <row r="13" customFormat="false" ht="15" hidden="false" customHeight="true" outlineLevel="0" collapsed="false">
      <c r="A13" s="0" t="s">
        <v>78</v>
      </c>
      <c r="D13" s="46"/>
      <c r="E13" s="49" t="e">
        <f aca="false">(COUNTIF(E8:E11,5)+COUNTIF(E8:E11,4)+COUNTIF(E8:E11,3))/$U$17*100</f>
        <v>#DIV/0!</v>
      </c>
      <c r="F13" s="49" t="e">
        <f aca="false">(COUNTIF(F8:F11,5)+COUNTIF(F8:F11,4)+COUNTIF(F8:F11,3))/$U$17*100</f>
        <v>#DIV/0!</v>
      </c>
      <c r="G13" s="49" t="e">
        <f aca="false">(COUNTIF(G8:G11,5)+COUNTIF(G8:G11,4)+COUNTIF(G8:G11,3))/$U$17*100</f>
        <v>#DIV/0!</v>
      </c>
      <c r="H13" s="49" t="e">
        <f aca="false">(COUNTIF(H8:H11,5)+COUNTIF(H8:H11,4)+COUNTIF(H8:H11,3))/$U$17*100</f>
        <v>#DIV/0!</v>
      </c>
      <c r="I13" s="49" t="e">
        <f aca="false">(COUNTIF(I8:I11,5)+COUNTIF(I8:I11,4)+COUNTIF(I8:I11,3))/$U$17*100</f>
        <v>#DIV/0!</v>
      </c>
      <c r="J13" s="49" t="e">
        <f aca="false">(COUNTIF(J8:J11,5)+COUNTIF(J8:J11,4)+COUNTIF(J8:J11,3))/$U$17*100</f>
        <v>#DIV/0!</v>
      </c>
      <c r="K13" s="49" t="e">
        <f aca="false">(COUNTIF(K8:K11,5)+COUNTIF(K8:K11,4)+COUNTIF(K8:K11,3))/$U$17*100</f>
        <v>#DIV/0!</v>
      </c>
      <c r="L13" s="49" t="e">
        <f aca="false">(COUNTIF(L8:L11,5)+COUNTIF(L8:L11,4)+COUNTIF(L8:L11,3))/$U$17*100</f>
        <v>#DIV/0!</v>
      </c>
      <c r="M13" s="49" t="e">
        <f aca="false">(COUNTIF(M8:M11,5)+COUNTIF(M8:M11,4)+COUNTIF(M8:M11,3))/$U$17*100</f>
        <v>#DIV/0!</v>
      </c>
      <c r="N13" s="49" t="e">
        <f aca="false">(COUNTIF(N8:N11,5)+COUNTIF(N8:N11,4)+COUNTIF(N8:N11,3))/$U$17*100</f>
        <v>#DIV/0!</v>
      </c>
      <c r="O13" s="48"/>
      <c r="P13" s="48"/>
      <c r="Q13" s="48"/>
      <c r="R13" s="48"/>
    </row>
    <row r="14" customFormat="false" ht="15" hidden="false" customHeight="true" outlineLevel="0" collapsed="false">
      <c r="D14" s="46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8"/>
      <c r="R14" s="48"/>
      <c r="S14" s="48"/>
      <c r="T14" s="48"/>
    </row>
    <row r="15" customFormat="false" ht="15" hidden="false" customHeight="true" outlineLevel="0" collapsed="false"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</row>
    <row r="16" customFormat="false" ht="15" hidden="false" customHeight="true" outlineLevel="0" collapsed="false">
      <c r="B16" s="50"/>
      <c r="C16" s="50" t="s">
        <v>8</v>
      </c>
      <c r="D16" s="51" t="str">
        <f aca="false">IFERROR(AVERAGE(O8:O11),"")</f>
        <v/>
      </c>
      <c r="E16" s="52" t="s">
        <v>9</v>
      </c>
      <c r="F16" s="52"/>
      <c r="G16" s="53" t="str">
        <f aca="false">IFERROR(COUNTIF(P8:P11,"Успевает")/U17*100,"")</f>
        <v/>
      </c>
      <c r="H16" s="53"/>
      <c r="I16" s="54" t="s">
        <v>79</v>
      </c>
      <c r="J16" s="54"/>
      <c r="K16" s="55" t="str">
        <f aca="false">IFERROR(AVERAGE(Q8:Q11),"")</f>
        <v/>
      </c>
      <c r="L16" s="52"/>
      <c r="M16" s="52"/>
      <c r="N16" s="52"/>
      <c r="O16" s="52"/>
      <c r="P16" s="52"/>
      <c r="Q16" s="52"/>
      <c r="R16" s="158"/>
      <c r="S16" s="48"/>
      <c r="T16" s="48"/>
      <c r="U16" s="48"/>
    </row>
    <row r="17" customFormat="false" ht="15" hidden="false" customHeight="true" outlineLevel="0" collapsed="false">
      <c r="B17" s="50"/>
      <c r="C17" s="50"/>
      <c r="D17" s="50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7" t="s">
        <v>80</v>
      </c>
      <c r="T17" s="57"/>
      <c r="U17" s="58" t="n">
        <f aca="false">SUM(U18,U19)</f>
        <v>0</v>
      </c>
    </row>
    <row r="18" customFormat="false" ht="15" hidden="false" customHeight="true" outlineLevel="0" collapsed="false">
      <c r="A18" s="50"/>
      <c r="B18" s="61" t="s">
        <v>81</v>
      </c>
      <c r="C18" s="61"/>
      <c r="D18" s="61"/>
      <c r="E18" s="61"/>
      <c r="F18" s="61"/>
      <c r="G18" s="61"/>
      <c r="H18" s="61"/>
      <c r="I18" s="61"/>
      <c r="J18" s="61"/>
      <c r="K18" s="61"/>
      <c r="L18" s="61" t="s">
        <v>82</v>
      </c>
      <c r="M18" s="61"/>
      <c r="N18" s="61"/>
      <c r="O18" s="61"/>
      <c r="P18" s="61"/>
      <c r="Q18" s="61"/>
      <c r="R18" s="56"/>
      <c r="S18" s="57" t="s">
        <v>83</v>
      </c>
      <c r="T18" s="57"/>
      <c r="U18" s="58" t="n">
        <f aca="false">COUNTIF(P8:P11,"Успевает")</f>
        <v>0</v>
      </c>
    </row>
    <row r="19" customFormat="false" ht="15" hidden="false" customHeight="true" outlineLevel="0" collapsed="false">
      <c r="A19" s="50"/>
      <c r="B19" s="65" t="str">
        <f aca="false">$E$6</f>
        <v> Алгоритмы и структуры данных</v>
      </c>
      <c r="C19" s="65"/>
      <c r="D19" s="65"/>
      <c r="E19" s="65"/>
      <c r="F19" s="65"/>
      <c r="G19" s="65"/>
      <c r="H19" s="65"/>
      <c r="I19" s="65"/>
      <c r="J19" s="65"/>
      <c r="K19" s="65"/>
      <c r="L19" s="864"/>
      <c r="M19" s="864"/>
      <c r="N19" s="864"/>
      <c r="O19" s="864"/>
      <c r="P19" s="864"/>
      <c r="Q19" s="864"/>
      <c r="R19" s="67"/>
      <c r="S19" s="98" t="s">
        <v>84</v>
      </c>
      <c r="T19" s="98"/>
      <c r="U19" s="58" t="n">
        <f aca="false">COUNTIF(P8:P11,"Не успевает")</f>
        <v>0</v>
      </c>
    </row>
    <row r="20" customFormat="false" ht="15" hidden="false" customHeight="true" outlineLevel="0" collapsed="false">
      <c r="A20" s="50"/>
      <c r="B20" s="65" t="str">
        <f aca="false">$F$6</f>
        <v> История России</v>
      </c>
      <c r="C20" s="65"/>
      <c r="D20" s="65"/>
      <c r="E20" s="65"/>
      <c r="F20" s="65"/>
      <c r="G20" s="65"/>
      <c r="H20" s="65"/>
      <c r="I20" s="65"/>
      <c r="J20" s="65"/>
      <c r="K20" s="65"/>
      <c r="L20" s="864"/>
      <c r="M20" s="864"/>
      <c r="N20" s="864"/>
      <c r="O20" s="864"/>
      <c r="P20" s="864"/>
      <c r="Q20" s="864"/>
      <c r="R20" s="67"/>
      <c r="S20" s="98" t="s">
        <v>85</v>
      </c>
      <c r="T20" s="98"/>
      <c r="U20" s="58" t="n">
        <f aca="false">COUNTIF(R8:R11,"Благодарность")</f>
        <v>0</v>
      </c>
    </row>
    <row r="21" customFormat="false" ht="15" hidden="false" customHeight="true" outlineLevel="0" collapsed="false">
      <c r="A21" s="50"/>
      <c r="B21" s="65" t="str">
        <f aca="false">$G$6</f>
        <v> Системное программирование</v>
      </c>
      <c r="C21" s="65"/>
      <c r="D21" s="65"/>
      <c r="E21" s="65"/>
      <c r="F21" s="65"/>
      <c r="G21" s="65"/>
      <c r="H21" s="65"/>
      <c r="I21" s="65"/>
      <c r="J21" s="65"/>
      <c r="K21" s="65"/>
      <c r="L21" s="864"/>
      <c r="M21" s="864"/>
      <c r="N21" s="864"/>
      <c r="O21" s="864"/>
      <c r="P21" s="864"/>
      <c r="Q21" s="864"/>
      <c r="R21" s="67"/>
      <c r="S21" s="98" t="s">
        <v>86</v>
      </c>
      <c r="T21" s="98"/>
      <c r="U21" s="58" t="n">
        <f aca="false">COUNTIF(R8:R11,"Нормально")</f>
        <v>0</v>
      </c>
    </row>
    <row r="22" customFormat="false" ht="15" hidden="false" customHeight="true" outlineLevel="0" collapsed="false">
      <c r="A22" s="50"/>
      <c r="B22" s="65" t="str">
        <f aca="false">$H$6</f>
        <v> Физика</v>
      </c>
      <c r="C22" s="65"/>
      <c r="D22" s="65"/>
      <c r="E22" s="65"/>
      <c r="F22" s="65"/>
      <c r="G22" s="65"/>
      <c r="H22" s="65"/>
      <c r="I22" s="65"/>
      <c r="J22" s="65"/>
      <c r="K22" s="65"/>
      <c r="L22" s="864"/>
      <c r="M22" s="864"/>
      <c r="N22" s="864"/>
      <c r="O22" s="864"/>
      <c r="P22" s="864"/>
      <c r="Q22" s="864"/>
      <c r="R22" s="67"/>
      <c r="S22" s="98" t="s">
        <v>87</v>
      </c>
      <c r="T22" s="98"/>
      <c r="U22" s="58" t="n">
        <f aca="false">COUNTIF(R8:R11,"Предупреждение")</f>
        <v>0</v>
      </c>
    </row>
    <row r="23" customFormat="false" ht="15" hidden="false" customHeight="true" outlineLevel="0" collapsed="false">
      <c r="A23" s="50"/>
      <c r="B23" s="65" t="str">
        <f aca="false">$I$6</f>
        <v> Электротехника</v>
      </c>
      <c r="C23" s="65"/>
      <c r="D23" s="65"/>
      <c r="E23" s="65"/>
      <c r="F23" s="65"/>
      <c r="G23" s="65"/>
      <c r="H23" s="65"/>
      <c r="I23" s="65"/>
      <c r="J23" s="65"/>
      <c r="K23" s="65"/>
      <c r="L23" s="864"/>
      <c r="M23" s="864"/>
      <c r="N23" s="864"/>
      <c r="O23" s="864"/>
      <c r="P23" s="864"/>
      <c r="Q23" s="864"/>
      <c r="R23" s="67"/>
      <c r="S23" s="98" t="s">
        <v>88</v>
      </c>
      <c r="T23" s="98"/>
      <c r="U23" s="58" t="n">
        <f aca="false">COUNTIF(R8:R11,"Выговор")</f>
        <v>0</v>
      </c>
    </row>
    <row r="24" customFormat="false" ht="15" hidden="false" customHeight="true" outlineLevel="0" collapsed="false">
      <c r="A24" s="50"/>
      <c r="B24" s="65" t="str">
        <f aca="false">$J$6</f>
        <v>Иностранный язык</v>
      </c>
      <c r="C24" s="65"/>
      <c r="D24" s="65"/>
      <c r="E24" s="65"/>
      <c r="F24" s="65"/>
      <c r="G24" s="65"/>
      <c r="H24" s="65"/>
      <c r="I24" s="65"/>
      <c r="J24" s="65"/>
      <c r="K24" s="65"/>
      <c r="L24" s="864"/>
      <c r="M24" s="864"/>
      <c r="N24" s="864"/>
      <c r="O24" s="864"/>
      <c r="P24" s="864"/>
      <c r="Q24" s="864"/>
      <c r="R24" s="67"/>
      <c r="S24" s="865" t="s">
        <v>1575</v>
      </c>
      <c r="T24" s="865"/>
      <c r="U24" s="866" t="n">
        <f aca="false">SUM(S8:S11)</f>
        <v>0</v>
      </c>
    </row>
    <row r="25" customFormat="false" ht="15" hidden="false" customHeight="true" outlineLevel="0" collapsed="false">
      <c r="A25" s="50"/>
      <c r="B25" s="65" t="str">
        <f aca="false">$K$6</f>
        <v> Строевая подготовка</v>
      </c>
      <c r="C25" s="65"/>
      <c r="D25" s="65"/>
      <c r="E25" s="65"/>
      <c r="F25" s="65"/>
      <c r="G25" s="65"/>
      <c r="H25" s="65"/>
      <c r="I25" s="65"/>
      <c r="J25" s="65"/>
      <c r="K25" s="65"/>
      <c r="L25" s="864"/>
      <c r="M25" s="864"/>
      <c r="N25" s="864"/>
      <c r="O25" s="864"/>
      <c r="P25" s="864"/>
      <c r="Q25" s="864"/>
      <c r="R25" s="67"/>
      <c r="S25" s="67"/>
      <c r="T25" s="67"/>
      <c r="U25" s="48"/>
    </row>
    <row r="26" customFormat="false" ht="15" hidden="false" customHeight="true" outlineLevel="0" collapsed="false">
      <c r="A26" s="50"/>
      <c r="B26" s="65" t="str">
        <f aca="false">$L$6</f>
        <v> Теория вероятностей и математическая статистика</v>
      </c>
      <c r="C26" s="65"/>
      <c r="D26" s="65"/>
      <c r="E26" s="65"/>
      <c r="F26" s="65"/>
      <c r="G26" s="65"/>
      <c r="H26" s="65"/>
      <c r="I26" s="65"/>
      <c r="J26" s="65"/>
      <c r="K26" s="65"/>
      <c r="L26" s="864"/>
      <c r="M26" s="864"/>
      <c r="N26" s="864"/>
      <c r="O26" s="864"/>
      <c r="P26" s="864"/>
      <c r="Q26" s="864"/>
      <c r="R26" s="67"/>
      <c r="S26" s="67"/>
      <c r="T26" s="67"/>
      <c r="U26" s="48"/>
    </row>
    <row r="27" customFormat="false" ht="15" hidden="false" customHeight="true" outlineLevel="0" collapsed="false">
      <c r="A27" s="50"/>
      <c r="B27" s="867" t="str">
        <f aca="false">$M$6</f>
        <v> Философия</v>
      </c>
      <c r="C27" s="867"/>
      <c r="D27" s="867"/>
      <c r="E27" s="867"/>
      <c r="F27" s="867"/>
      <c r="G27" s="867"/>
      <c r="H27" s="867"/>
      <c r="I27" s="867"/>
      <c r="J27" s="867"/>
      <c r="K27" s="867"/>
      <c r="L27" s="864"/>
      <c r="M27" s="864"/>
      <c r="N27" s="864"/>
      <c r="O27" s="864"/>
      <c r="P27" s="864"/>
      <c r="Q27" s="864"/>
      <c r="R27" s="67"/>
      <c r="S27" s="67"/>
      <c r="T27" s="67"/>
      <c r="U27" s="48"/>
    </row>
    <row r="28" customFormat="false" ht="15" hidden="false" customHeight="true" outlineLevel="0" collapsed="false">
      <c r="A28" s="50"/>
      <c r="B28" s="852" t="str">
        <f aca="false">$N$6</f>
        <v>Физическая культура и спорт</v>
      </c>
      <c r="C28" s="852"/>
      <c r="D28" s="852"/>
      <c r="E28" s="852"/>
      <c r="F28" s="852"/>
      <c r="G28" s="852"/>
      <c r="H28" s="852"/>
      <c r="I28" s="852"/>
      <c r="J28" s="852"/>
      <c r="K28" s="852"/>
      <c r="L28" s="864"/>
      <c r="M28" s="864"/>
      <c r="N28" s="864"/>
      <c r="O28" s="864"/>
      <c r="P28" s="864"/>
      <c r="Q28" s="864"/>
      <c r="R28" s="67"/>
      <c r="S28" s="67"/>
      <c r="T28" s="67"/>
      <c r="U28" s="48"/>
    </row>
    <row r="29" customFormat="false" ht="15" hidden="false" customHeight="true" outlineLevel="0" collapsed="false">
      <c r="A29" s="50"/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0"/>
      <c r="M29" s="50"/>
      <c r="N29" s="50"/>
      <c r="O29" s="50"/>
      <c r="P29" s="50"/>
      <c r="Q29" s="50"/>
      <c r="R29" s="48"/>
      <c r="S29" s="48"/>
      <c r="T29" s="48"/>
      <c r="U29" s="48"/>
    </row>
    <row r="30" customFormat="false" ht="15" hidden="false" customHeight="true" outlineLevel="0" collapsed="false">
      <c r="A30" s="50"/>
      <c r="B30" s="73" t="s">
        <v>405</v>
      </c>
      <c r="C30" s="123" t="s">
        <v>2892</v>
      </c>
      <c r="D30" s="123"/>
      <c r="E30" s="67"/>
      <c r="F30" s="52" t="s">
        <v>369</v>
      </c>
      <c r="G30" s="300" t="s">
        <v>288</v>
      </c>
      <c r="H30" s="300"/>
      <c r="I30" s="52"/>
      <c r="J30" s="52"/>
      <c r="K30" s="52"/>
      <c r="L30" s="52"/>
      <c r="M30" s="50"/>
      <c r="N30" s="50"/>
      <c r="O30" s="50"/>
      <c r="P30" s="50"/>
      <c r="Q30" s="50"/>
      <c r="R30" s="48"/>
      <c r="S30" s="48"/>
      <c r="T30" s="48"/>
      <c r="U30" s="48"/>
    </row>
    <row r="31" customFormat="false" ht="15" hidden="false" customHeight="true" outlineLevel="0" collapsed="false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48"/>
      <c r="S31" s="48"/>
      <c r="T31" s="48"/>
      <c r="U31" s="48"/>
    </row>
    <row r="32" customFormat="false" ht="15" hidden="false" customHeight="true" outlineLevel="0" collapsed="false">
      <c r="A32" s="50"/>
      <c r="B32" s="50" t="s">
        <v>93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48"/>
      <c r="S32" s="48"/>
      <c r="T32" s="48"/>
      <c r="U32" s="48"/>
    </row>
    <row r="33" customFormat="false" ht="15" hidden="false" customHeight="true" outlineLevel="0" collapsed="false">
      <c r="A33" s="50"/>
      <c r="B33" s="50" t="s">
        <v>94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48"/>
      <c r="S33" s="48"/>
      <c r="T33" s="48"/>
      <c r="U33" s="48"/>
    </row>
    <row r="34" customFormat="false" ht="15" hidden="false" customHeight="true" outlineLevel="0" collapsed="false">
      <c r="A34" s="50"/>
      <c r="B34" s="50" t="s">
        <v>95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48"/>
      <c r="S34" s="48"/>
      <c r="T34" s="48"/>
      <c r="U34" s="48"/>
    </row>
    <row r="35" customFormat="false" ht="15" hidden="false" customHeight="true" outlineLevel="0" collapsed="false">
      <c r="A35" s="50"/>
      <c r="B35" s="50" t="s">
        <v>96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48"/>
      <c r="S35" s="48"/>
      <c r="T35" s="48"/>
      <c r="U35" s="48"/>
    </row>
    <row r="36" customFormat="false" ht="15" hidden="false" customHeight="true" outlineLevel="0" collapsed="false">
      <c r="A36" s="50"/>
      <c r="B36" s="50" t="s">
        <v>97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48"/>
      <c r="S36" s="48"/>
      <c r="T36" s="48"/>
      <c r="U36" s="48"/>
    </row>
    <row r="37" customFormat="false" ht="15" hidden="false" customHeight="true" outlineLevel="0" collapsed="false">
      <c r="A37" s="50"/>
      <c r="B37" s="50" t="s">
        <v>98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48"/>
      <c r="S37" s="48"/>
      <c r="T37" s="48"/>
      <c r="U37" s="48"/>
    </row>
    <row r="38" customFormat="false" ht="15" hidden="false" customHeight="true" outlineLevel="0" collapsed="false">
      <c r="A38" s="50"/>
      <c r="B38" s="50" t="s">
        <v>99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48"/>
      <c r="S38" s="48"/>
      <c r="T38" s="48"/>
      <c r="U38" s="48"/>
    </row>
    <row r="39" customFormat="false" ht="15" hidden="false" customHeight="true" outlineLevel="0" collapsed="false"/>
    <row r="40" customFormat="false" ht="15" hidden="false" customHeight="true" outlineLevel="0" collapsed="false"/>
  </sheetData>
  <mergeCells count="43">
    <mergeCell ref="E1:I1"/>
    <mergeCell ref="A3:S3"/>
    <mergeCell ref="A5:A7"/>
    <mergeCell ref="B5:B7"/>
    <mergeCell ref="C5:C7"/>
    <mergeCell ref="D5:D7"/>
    <mergeCell ref="E5:I5"/>
    <mergeCell ref="J5:N5"/>
    <mergeCell ref="O5:O7"/>
    <mergeCell ref="P5:P7"/>
    <mergeCell ref="Q5:Q7"/>
    <mergeCell ref="R5:R7"/>
    <mergeCell ref="S5:S7"/>
    <mergeCell ref="I16:J16"/>
    <mergeCell ref="S17:T17"/>
    <mergeCell ref="B18:K18"/>
    <mergeCell ref="L18:Q18"/>
    <mergeCell ref="S18:T18"/>
    <mergeCell ref="B19:K19"/>
    <mergeCell ref="L19:Q19"/>
    <mergeCell ref="S19:T19"/>
    <mergeCell ref="B20:K20"/>
    <mergeCell ref="L20:Q20"/>
    <mergeCell ref="S20:T20"/>
    <mergeCell ref="B21:K21"/>
    <mergeCell ref="L21:Q21"/>
    <mergeCell ref="S21:T21"/>
    <mergeCell ref="B22:K22"/>
    <mergeCell ref="L22:Q22"/>
    <mergeCell ref="S22:T22"/>
    <mergeCell ref="B23:K23"/>
    <mergeCell ref="L23:Q23"/>
    <mergeCell ref="S23:T23"/>
    <mergeCell ref="B24:K24"/>
    <mergeCell ref="L24:Q24"/>
    <mergeCell ref="B25:K25"/>
    <mergeCell ref="L25:Q25"/>
    <mergeCell ref="B26:K26"/>
    <mergeCell ref="L26:Q26"/>
    <mergeCell ref="B27:K27"/>
    <mergeCell ref="L27:Q27"/>
    <mergeCell ref="B28:K28"/>
    <mergeCell ref="L28:Q28"/>
  </mergeCells>
  <conditionalFormatting sqref="E14:P14 E13:N1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1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N1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59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71"/>
    <col collapsed="false" customWidth="true" hidden="false" outlineLevel="0" max="3" min="3" style="0" width="20.14"/>
    <col collapsed="false" customWidth="false" hidden="false" outlineLevel="0" max="5" min="5" style="45" width="9.14"/>
    <col collapsed="false" customWidth="true" hidden="false" outlineLevel="0" max="6" min="6" style="0" width="10"/>
    <col collapsed="false" customWidth="true" hidden="false" outlineLevel="0" max="12" min="12" style="0" width="10.71"/>
    <col collapsed="false" customWidth="true" hidden="false" outlineLevel="0" max="13" min="13" style="0" width="11.71"/>
    <col collapsed="false" customWidth="true" hidden="false" outlineLevel="0" max="15" min="15" style="0" width="11.29"/>
    <col collapsed="false" customWidth="true" hidden="false" outlineLevel="0" max="16" min="16" style="0" width="10.29"/>
    <col collapsed="false" customWidth="true" hidden="false" outlineLevel="0" max="17" min="17" style="0" width="17.71"/>
    <col collapsed="false" customWidth="true" hidden="false" outlineLevel="0" max="18" min="18" style="0" width="7.42"/>
    <col collapsed="false" customWidth="true" hidden="false" outlineLevel="0" max="19" min="19" style="0" width="4.57"/>
  </cols>
  <sheetData>
    <row r="1" customFormat="false" ht="19.7" hidden="false" customHeight="false" outlineLevel="0" collapsed="false">
      <c r="F1" s="1" t="s">
        <v>0</v>
      </c>
      <c r="G1" s="1"/>
      <c r="H1" s="1"/>
      <c r="I1" s="1"/>
      <c r="J1" s="2" t="n">
        <f aca="false">set!B1</f>
        <v>2</v>
      </c>
      <c r="K1" s="3"/>
    </row>
    <row r="2" customFormat="false" ht="15" hidden="false" customHeight="false" outlineLevel="0" collapsed="false">
      <c r="I2" s="4"/>
      <c r="M2" s="5" t="s">
        <v>1</v>
      </c>
      <c r="N2" s="5"/>
      <c r="O2" s="75" t="n">
        <f aca="false">set!B4</f>
        <v>45608</v>
      </c>
      <c r="P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ИУК6-51 факультета ИУК МГТУ им. Н.Э. Баумана"</f>
        <v>Успеваемость студентов за 1 семестр 24/25 учебного года по группе ИУК6-51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00" t="s">
        <v>1575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882</v>
      </c>
      <c r="F6" s="340" t="s">
        <v>2893</v>
      </c>
      <c r="G6" s="340" t="s">
        <v>2404</v>
      </c>
      <c r="H6" s="342" t="s">
        <v>2894</v>
      </c>
      <c r="I6" s="340" t="s">
        <v>18</v>
      </c>
      <c r="J6" s="340" t="s">
        <v>2895</v>
      </c>
      <c r="K6" s="340" t="s">
        <v>2896</v>
      </c>
      <c r="L6" s="340" t="s">
        <v>2897</v>
      </c>
      <c r="M6" s="342" t="s">
        <v>147</v>
      </c>
      <c r="N6" s="391"/>
      <c r="O6" s="392"/>
      <c r="P6" s="392"/>
      <c r="Q6" s="14"/>
      <c r="R6" s="600"/>
    </row>
    <row r="7" customFormat="false" ht="17.9" hidden="false" customHeight="false" outlineLevel="0" collapsed="false">
      <c r="A7" s="8"/>
      <c r="B7" s="8"/>
      <c r="C7" s="8"/>
      <c r="D7" s="9"/>
      <c r="E7" s="343" t="s">
        <v>299</v>
      </c>
      <c r="F7" s="344" t="s">
        <v>2646</v>
      </c>
      <c r="G7" s="344" t="s">
        <v>299</v>
      </c>
      <c r="H7" s="346" t="s">
        <v>2898</v>
      </c>
      <c r="I7" s="344" t="s">
        <v>1456</v>
      </c>
      <c r="J7" s="344" t="s">
        <v>2648</v>
      </c>
      <c r="K7" s="344" t="s">
        <v>2899</v>
      </c>
      <c r="L7" s="344" t="s">
        <v>2899</v>
      </c>
      <c r="M7" s="346" t="s">
        <v>176</v>
      </c>
      <c r="N7" s="391"/>
      <c r="O7" s="392"/>
      <c r="P7" s="392"/>
      <c r="Q7" s="14"/>
      <c r="R7" s="600"/>
    </row>
    <row r="8" customFormat="false" ht="15" hidden="false" customHeight="false" outlineLevel="0" collapsed="false">
      <c r="A8" s="368" t="n">
        <v>1</v>
      </c>
      <c r="B8" s="25" t="s">
        <v>2900</v>
      </c>
      <c r="C8" s="368" t="s">
        <v>2901</v>
      </c>
      <c r="D8" s="868"/>
      <c r="E8" s="869"/>
      <c r="F8" s="725"/>
      <c r="G8" s="725"/>
      <c r="H8" s="870"/>
      <c r="I8" s="724"/>
      <c r="J8" s="725"/>
      <c r="K8" s="725"/>
      <c r="L8" s="725"/>
      <c r="M8" s="720"/>
      <c r="N8" s="33" t="str">
        <f aca="false">IFERROR(AVERAGE(F8:M8),"")</f>
        <v/>
      </c>
      <c r="O8" s="84" t="str">
        <f aca="false">IF(F8&lt;&gt;"",IF(COUNTIF(F8:M8,"&lt;3"),"Не успевает","Успевает"),"")</f>
        <v/>
      </c>
      <c r="P8" s="241" t="str">
        <f aca="false">IF(D8&lt;&gt;"",(30*(set!B$5)-D8)/(30*(set!B$5))*100,"")</f>
        <v/>
      </c>
      <c r="Q8" s="85" t="str">
        <f aca="false" t="array" ref="Q8:Q8">IF(F8&lt;&gt;"",IF(N8&lt;1.85,"Выговор",IF(N8=1.85,"Выговор",IF(AND(N8&gt;1.85,N8&lt;3),"Предупреждение",IF(AND(N8&gt;3,N8&lt;4.65),"Нормально",IF(AND(N8&gt;4.65,N8&lt;5.1,F8:M8&gt;=4),"Благодарность","Нормально"))))),"")</f>
        <v/>
      </c>
      <c r="R8" s="118" t="n">
        <f aca="false">COUNTIF(F8:M8,2)+COUNTIF(F8:M8,1)+COUNTIF(F8:M8,0)</f>
        <v>0</v>
      </c>
    </row>
    <row r="9" customFormat="false" ht="15" hidden="false" customHeight="false" outlineLevel="0" collapsed="false">
      <c r="A9" s="871" t="n">
        <v>2</v>
      </c>
      <c r="B9" s="37" t="s">
        <v>2902</v>
      </c>
      <c r="C9" s="871" t="s">
        <v>2903</v>
      </c>
      <c r="D9" s="868"/>
      <c r="E9" s="869"/>
      <c r="F9" s="725"/>
      <c r="G9" s="725"/>
      <c r="H9" s="870"/>
      <c r="I9" s="724"/>
      <c r="J9" s="725"/>
      <c r="K9" s="725"/>
      <c r="L9" s="725"/>
      <c r="M9" s="726"/>
      <c r="N9" s="33" t="str">
        <f aca="false">IFERROR(AVERAGE(F9:M9),"")</f>
        <v/>
      </c>
      <c r="O9" s="84" t="str">
        <f aca="false">IF(F9&lt;&gt;"",IF(COUNTIF(F9:M9,"&lt;3"),"Не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F9&lt;&gt;"",IF(N9&lt;1.85,"Выговор",IF(N9=1.85,"Выговор",IF(AND(N9&gt;1.85,N9&lt;3),"Предупреждение",IF(AND(N9&gt;3,N9&lt;4.65),"Нормально",IF(AND(N9&gt;4.65,N9&lt;5.1,F9:M9&gt;=4),"Благодарность","Нормально"))))),"")</f>
        <v/>
      </c>
      <c r="R9" s="118" t="n">
        <f aca="false">COUNTIF(F9:M9,2)+COUNTIF(F9:M9,1)+COUNTIF(F9:M9,0)</f>
        <v>0</v>
      </c>
    </row>
    <row r="10" customFormat="false" ht="15" hidden="false" customHeight="false" outlineLevel="0" collapsed="false">
      <c r="A10" s="871" t="n">
        <v>3</v>
      </c>
      <c r="B10" s="37" t="s">
        <v>2904</v>
      </c>
      <c r="C10" s="871" t="s">
        <v>2905</v>
      </c>
      <c r="D10" s="868"/>
      <c r="E10" s="869"/>
      <c r="F10" s="725"/>
      <c r="G10" s="725"/>
      <c r="H10" s="870"/>
      <c r="I10" s="724"/>
      <c r="J10" s="725"/>
      <c r="K10" s="725"/>
      <c r="L10" s="725"/>
      <c r="M10" s="726"/>
      <c r="N10" s="33" t="str">
        <f aca="false">IFERROR(AVERAGE(F10:M10),"")</f>
        <v/>
      </c>
      <c r="O10" s="84" t="str">
        <f aca="false">IF(F10&lt;&gt;"",IF(COUNTIF(F10:M10,"&lt;3"),"Не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F10&lt;&gt;"",IF(N10&lt;1.85,"Выговор",IF(N10=1.85,"Выговор",IF(AND(N10&gt;1.85,N10&lt;3),"Предупреждение",IF(AND(N10&gt;3,N10&lt;4.65),"Нормально",IF(AND(N10&gt;4.65,N10&lt;5.1,F10:M10&gt;=4),"Благодарность","Нормально"))))),"")</f>
        <v/>
      </c>
      <c r="R10" s="118" t="n">
        <f aca="false">COUNTIF(F10:M10,2)+COUNTIF(F10:M10,1)+COUNTIF(F10:M10,0)</f>
        <v>0</v>
      </c>
    </row>
    <row r="11" customFormat="false" ht="15" hidden="false" customHeight="false" outlineLevel="0" collapsed="false">
      <c r="A11" s="871" t="n">
        <v>4</v>
      </c>
      <c r="B11" s="37" t="s">
        <v>2906</v>
      </c>
      <c r="C11" s="871" t="s">
        <v>2907</v>
      </c>
      <c r="D11" s="868"/>
      <c r="E11" s="869"/>
      <c r="F11" s="725"/>
      <c r="G11" s="725"/>
      <c r="H11" s="870"/>
      <c r="I11" s="724"/>
      <c r="J11" s="725"/>
      <c r="K11" s="725"/>
      <c r="L11" s="725"/>
      <c r="M11" s="726"/>
      <c r="N11" s="33" t="str">
        <f aca="false">IFERROR(AVERAGE(F11:M11),"")</f>
        <v/>
      </c>
      <c r="O11" s="84" t="str">
        <f aca="false">IF(F11&lt;&gt;"",IF(COUNTIF(F11:M11,"&lt;3"),"Не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F11&lt;&gt;"",IF(N11&lt;1.85,"Выговор",IF(N11=1.85,"Выговор",IF(AND(N11&gt;1.85,N11&lt;3),"Предупреждение",IF(AND(N11&gt;3,N11&lt;4.65),"Нормально",IF(AND(N11&gt;4.65,N11&lt;5.1,F11:M11&gt;=4),"Благодарность","Нормально"))))),"")</f>
        <v/>
      </c>
      <c r="R11" s="118" t="n">
        <f aca="false">COUNTIF(F11:M11,2)+COUNTIF(F11:M11,1)+COUNTIF(F11:M11,0)</f>
        <v>0</v>
      </c>
    </row>
    <row r="12" customFormat="false" ht="15" hidden="false" customHeight="false" outlineLevel="0" collapsed="false">
      <c r="A12" s="871" t="n">
        <v>5</v>
      </c>
      <c r="B12" s="37" t="s">
        <v>2908</v>
      </c>
      <c r="C12" s="871" t="s">
        <v>2909</v>
      </c>
      <c r="D12" s="868"/>
      <c r="E12" s="869"/>
      <c r="F12" s="725"/>
      <c r="G12" s="725"/>
      <c r="H12" s="870"/>
      <c r="I12" s="724"/>
      <c r="J12" s="725"/>
      <c r="K12" s="725"/>
      <c r="L12" s="725"/>
      <c r="M12" s="726"/>
      <c r="N12" s="33" t="str">
        <f aca="false">IFERROR(AVERAGE(F12:M12),"")</f>
        <v/>
      </c>
      <c r="O12" s="84" t="str">
        <f aca="false">IF(F12&lt;&gt;"",IF(COUNTIF(F12:M12,"&lt;3"),"Не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F12&lt;&gt;"",IF(N12&lt;1.85,"Выговор",IF(N12=1.85,"Выговор",IF(AND(N12&gt;1.85,N12&lt;3),"Предупреждение",IF(AND(N12&gt;3,N12&lt;4.65),"Нормально",IF(AND(N12&gt;4.65,N12&lt;5.1,F12:M12&gt;=4),"Благодарность","Нормально"))))),"")</f>
        <v/>
      </c>
      <c r="R12" s="118" t="n">
        <f aca="false">COUNTIF(F12:M12,2)+COUNTIF(F12:M12,1)+COUNTIF(F12:M12,0)</f>
        <v>0</v>
      </c>
    </row>
    <row r="13" customFormat="false" ht="15" hidden="false" customHeight="false" outlineLevel="0" collapsed="false">
      <c r="A13" s="871" t="n">
        <v>6</v>
      </c>
      <c r="B13" s="37" t="s">
        <v>2910</v>
      </c>
      <c r="C13" s="871" t="s">
        <v>2911</v>
      </c>
      <c r="D13" s="868"/>
      <c r="E13" s="869"/>
      <c r="F13" s="725"/>
      <c r="G13" s="725"/>
      <c r="H13" s="870"/>
      <c r="I13" s="724"/>
      <c r="J13" s="725"/>
      <c r="K13" s="725"/>
      <c r="L13" s="725"/>
      <c r="M13" s="726"/>
      <c r="N13" s="33" t="str">
        <f aca="false">IFERROR(AVERAGE(F13:M13),"")</f>
        <v/>
      </c>
      <c r="O13" s="84" t="str">
        <f aca="false">IF(F13&lt;&gt;"",IF(COUNTIF(F13:M13,"&lt;3"),"Не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F13&lt;&gt;"",IF(N13&lt;1.85,"Выговор",IF(N13=1.85,"Выговор",IF(AND(N13&gt;1.85,N13&lt;3),"Предупреждение",IF(AND(N13&gt;3,N13&lt;4.65),"Нормально",IF(AND(N13&gt;4.65,N13&lt;5.1,F13:M13&gt;=4),"Благодарность","Нормально"))))),"")</f>
        <v/>
      </c>
      <c r="R13" s="118" t="n">
        <f aca="false">COUNTIF(F13:M13,2)+COUNTIF(F13:M13,1)+COUNTIF(F13:M13,0)</f>
        <v>0</v>
      </c>
    </row>
    <row r="14" customFormat="false" ht="15" hidden="false" customHeight="false" outlineLevel="0" collapsed="false">
      <c r="A14" s="871" t="n">
        <v>7</v>
      </c>
      <c r="B14" s="37" t="s">
        <v>2912</v>
      </c>
      <c r="C14" s="871" t="s">
        <v>2913</v>
      </c>
      <c r="D14" s="868"/>
      <c r="E14" s="869"/>
      <c r="F14" s="725"/>
      <c r="G14" s="725"/>
      <c r="H14" s="870"/>
      <c r="I14" s="724"/>
      <c r="J14" s="725"/>
      <c r="K14" s="725"/>
      <c r="L14" s="725"/>
      <c r="M14" s="726"/>
      <c r="N14" s="33" t="str">
        <f aca="false">IFERROR(AVERAGE(F14:M14),"")</f>
        <v/>
      </c>
      <c r="O14" s="84" t="str">
        <f aca="false">IF(F14&lt;&gt;"",IF(COUNTIF(F14:M14,"&lt;3"),"Не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F14&lt;&gt;"",IF(N14&lt;1.85,"Выговор",IF(N14=1.85,"Выговор",IF(AND(N14&gt;1.85,N14&lt;3),"Предупреждение",IF(AND(N14&gt;3,N14&lt;4.65),"Нормально",IF(AND(N14&gt;4.65,N14&lt;5.1,F14:M14&gt;=4),"Благодарность","Нормально"))))),"")</f>
        <v/>
      </c>
      <c r="R14" s="118" t="n">
        <f aca="false">COUNTIF(F14:M14,2)+COUNTIF(F14:M14,1)+COUNTIF(F14:M14,0)</f>
        <v>0</v>
      </c>
    </row>
    <row r="15" customFormat="false" ht="15" hidden="false" customHeight="false" outlineLevel="0" collapsed="false">
      <c r="A15" s="871" t="n">
        <v>8</v>
      </c>
      <c r="B15" s="37" t="s">
        <v>2914</v>
      </c>
      <c r="C15" s="871" t="s">
        <v>2915</v>
      </c>
      <c r="D15" s="868"/>
      <c r="E15" s="869"/>
      <c r="F15" s="725"/>
      <c r="G15" s="725"/>
      <c r="H15" s="870"/>
      <c r="I15" s="724"/>
      <c r="J15" s="725"/>
      <c r="K15" s="725"/>
      <c r="L15" s="725"/>
      <c r="M15" s="726"/>
      <c r="N15" s="33" t="str">
        <f aca="false">IFERROR(AVERAGE(F15:M15),"")</f>
        <v/>
      </c>
      <c r="O15" s="84" t="str">
        <f aca="false">IF(F15&lt;&gt;"",IF(COUNTIF(F15:M15,"&lt;3"),"Не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F15&lt;&gt;"",IF(N15&lt;1.85,"Выговор",IF(N15=1.85,"Выговор",IF(AND(N15&gt;1.85,N15&lt;3),"Предупреждение",IF(AND(N15&gt;3,N15&lt;4.65),"Нормально",IF(AND(N15&gt;4.65,N15&lt;5.1,F15:M15&gt;=4),"Благодарность","Нормально"))))),"")</f>
        <v/>
      </c>
      <c r="R15" s="118" t="n">
        <f aca="false">COUNTIF(F15:M15,2)+COUNTIF(F15:M15,1)+COUNTIF(F15:M15,0)</f>
        <v>0</v>
      </c>
    </row>
    <row r="16" customFormat="false" ht="15" hidden="false" customHeight="false" outlineLevel="0" collapsed="false">
      <c r="A16" s="871" t="n">
        <v>9</v>
      </c>
      <c r="B16" s="37" t="s">
        <v>2916</v>
      </c>
      <c r="C16" s="871" t="s">
        <v>2917</v>
      </c>
      <c r="D16" s="868"/>
      <c r="E16" s="869"/>
      <c r="F16" s="725"/>
      <c r="G16" s="725"/>
      <c r="H16" s="870"/>
      <c r="I16" s="724"/>
      <c r="J16" s="725"/>
      <c r="K16" s="725"/>
      <c r="L16" s="725"/>
      <c r="M16" s="726"/>
      <c r="N16" s="33" t="str">
        <f aca="false">IFERROR(AVERAGE(F16:M16),"")</f>
        <v/>
      </c>
      <c r="O16" s="84" t="str">
        <f aca="false">IF(F16&lt;&gt;"",IF(COUNTIF(F16:M16,"&lt;3"),"Не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F16&lt;&gt;"",IF(N16&lt;1.85,"Выговор",IF(N16=1.85,"Выговор",IF(AND(N16&gt;1.85,N16&lt;3),"Предупреждение",IF(AND(N16&gt;3,N16&lt;4.65),"Нормально",IF(AND(N16&gt;4.65,N16&lt;5.1,F16:M16&gt;=4),"Благодарность","Нормально"))))),"")</f>
        <v/>
      </c>
      <c r="R16" s="118" t="n">
        <f aca="false">COUNTIF(F16:M16,2)+COUNTIF(F16:M16,1)+COUNTIF(F16:M16,0)</f>
        <v>0</v>
      </c>
    </row>
    <row r="17" customFormat="false" ht="15" hidden="false" customHeight="false" outlineLevel="0" collapsed="false">
      <c r="A17" s="871" t="n">
        <v>10</v>
      </c>
      <c r="B17" s="37" t="s">
        <v>2918</v>
      </c>
      <c r="C17" s="871" t="s">
        <v>2919</v>
      </c>
      <c r="D17" s="868"/>
      <c r="E17" s="869"/>
      <c r="F17" s="725"/>
      <c r="G17" s="725"/>
      <c r="H17" s="870"/>
      <c r="I17" s="724"/>
      <c r="J17" s="725"/>
      <c r="K17" s="725"/>
      <c r="L17" s="725"/>
      <c r="M17" s="726"/>
      <c r="N17" s="33" t="str">
        <f aca="false">IFERROR(AVERAGE(F17:M17),"")</f>
        <v/>
      </c>
      <c r="O17" s="84" t="str">
        <f aca="false">IF(F17&lt;&gt;"",IF(COUNTIF(F17:M17,"&lt;3"),"Не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F17&lt;&gt;"",IF(N17&lt;1.85,"Выговор",IF(N17=1.85,"Выговор",IF(AND(N17&gt;1.85,N17&lt;3),"Предупреждение",IF(AND(N17&gt;3,N17&lt;4.65),"Нормально",IF(AND(N17&gt;4.65,N17&lt;5.1,F17:M17&gt;=4),"Благодарность","Нормально"))))),"")</f>
        <v/>
      </c>
      <c r="R17" s="118" t="n">
        <f aca="false">COUNTIF(F17:M17,2)+COUNTIF(F17:M17,1)+COUNTIF(F17:M17,0)</f>
        <v>0</v>
      </c>
    </row>
    <row r="18" customFormat="false" ht="15" hidden="false" customHeight="false" outlineLevel="0" collapsed="false">
      <c r="A18" s="871" t="n">
        <v>11</v>
      </c>
      <c r="B18" s="37" t="s">
        <v>2920</v>
      </c>
      <c r="C18" s="871" t="s">
        <v>2921</v>
      </c>
      <c r="D18" s="868"/>
      <c r="E18" s="869"/>
      <c r="F18" s="725"/>
      <c r="G18" s="725"/>
      <c r="H18" s="870"/>
      <c r="I18" s="724"/>
      <c r="J18" s="725"/>
      <c r="K18" s="725"/>
      <c r="L18" s="725"/>
      <c r="M18" s="726"/>
      <c r="N18" s="33" t="str">
        <f aca="false">IFERROR(AVERAGE(F18:M18),"")</f>
        <v/>
      </c>
      <c r="O18" s="84" t="str">
        <f aca="false">IF(F18&lt;&gt;"",IF(COUNTIF(F18:M18,"&lt;3"),"Не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F18&lt;&gt;"",IF(N18&lt;1.85,"Выговор",IF(N18=1.85,"Выговор",IF(AND(N18&gt;1.85,N18&lt;3),"Предупреждение",IF(AND(N18&gt;3,N18&lt;4.65),"Нормально",IF(AND(N18&gt;4.65,N18&lt;5.1,F18:M18&gt;=4),"Благодарность","Нормально"))))),"")</f>
        <v/>
      </c>
      <c r="R18" s="118" t="n">
        <f aca="false">COUNTIF(F18:M18,2)+COUNTIF(F18:M18,1)+COUNTIF(F18:M18,0)</f>
        <v>0</v>
      </c>
    </row>
    <row r="19" customFormat="false" ht="15" hidden="false" customHeight="false" outlineLevel="0" collapsed="false">
      <c r="A19" s="871" t="n">
        <v>12</v>
      </c>
      <c r="B19" s="37" t="s">
        <v>2922</v>
      </c>
      <c r="C19" s="871" t="s">
        <v>2923</v>
      </c>
      <c r="D19" s="868"/>
      <c r="E19" s="869"/>
      <c r="F19" s="725"/>
      <c r="G19" s="725"/>
      <c r="H19" s="870"/>
      <c r="I19" s="724"/>
      <c r="J19" s="725"/>
      <c r="K19" s="725"/>
      <c r="L19" s="725"/>
      <c r="M19" s="726"/>
      <c r="N19" s="33" t="str">
        <f aca="false">IFERROR(AVERAGE(F19:M19),"")</f>
        <v/>
      </c>
      <c r="O19" s="84" t="str">
        <f aca="false">IF(F19&lt;&gt;"",IF(COUNTIF(F19:M19,"&lt;3"),"Не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F19&lt;&gt;"",IF(N19&lt;1.85,"Выговор",IF(N19=1.85,"Выговор",IF(AND(N19&gt;1.85,N19&lt;3),"Предупреждение",IF(AND(N19&gt;3,N19&lt;4.65),"Нормально",IF(AND(N19&gt;4.65,N19&lt;5.1,F19:M19&gt;=4),"Благодарность","Нормально"))))),"")</f>
        <v/>
      </c>
      <c r="R19" s="118" t="n">
        <f aca="false">COUNTIF(F19:M19,2)+COUNTIF(F19:M19,1)+COUNTIF(F19:M19,0)</f>
        <v>0</v>
      </c>
    </row>
    <row r="20" customFormat="false" ht="15" hidden="false" customHeight="false" outlineLevel="0" collapsed="false">
      <c r="A20" s="871" t="n">
        <v>13</v>
      </c>
      <c r="B20" s="37" t="s">
        <v>2924</v>
      </c>
      <c r="C20" s="871" t="s">
        <v>2925</v>
      </c>
      <c r="D20" s="868"/>
      <c r="E20" s="869"/>
      <c r="F20" s="725"/>
      <c r="G20" s="725"/>
      <c r="H20" s="870"/>
      <c r="I20" s="724"/>
      <c r="J20" s="725"/>
      <c r="K20" s="725"/>
      <c r="L20" s="725"/>
      <c r="M20" s="726"/>
      <c r="N20" s="33" t="str">
        <f aca="false">IFERROR(AVERAGE(F20:M20),"")</f>
        <v/>
      </c>
      <c r="O20" s="84" t="str">
        <f aca="false">IF(F20&lt;&gt;"",IF(COUNTIF(F20:M20,"&lt;3"),"Не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F20&lt;&gt;"",IF(N20&lt;1.85,"Выговор",IF(N20=1.85,"Выговор",IF(AND(N20&gt;1.85,N20&lt;3),"Предупреждение",IF(AND(N20&gt;3,N20&lt;4.65),"Нормально",IF(AND(N20&gt;4.65,N20&lt;5.1,F20:M20&gt;=4),"Благодарность","Нормально"))))),"")</f>
        <v/>
      </c>
      <c r="R20" s="118" t="n">
        <f aca="false">COUNTIF(F20:M20,2)+COUNTIF(F20:M20,1)+COUNTIF(F20:M20,0)</f>
        <v>0</v>
      </c>
    </row>
    <row r="21" customFormat="false" ht="15" hidden="false" customHeight="false" outlineLevel="0" collapsed="false">
      <c r="A21" s="871" t="n">
        <v>14</v>
      </c>
      <c r="B21" s="37" t="s">
        <v>2926</v>
      </c>
      <c r="C21" s="871" t="s">
        <v>2927</v>
      </c>
      <c r="D21" s="868"/>
      <c r="E21" s="869"/>
      <c r="F21" s="725"/>
      <c r="G21" s="725"/>
      <c r="H21" s="870"/>
      <c r="I21" s="724"/>
      <c r="J21" s="725"/>
      <c r="K21" s="725"/>
      <c r="L21" s="725"/>
      <c r="M21" s="726"/>
      <c r="N21" s="33" t="str">
        <f aca="false">IFERROR(AVERAGE(F21:M21),"")</f>
        <v/>
      </c>
      <c r="O21" s="84" t="str">
        <f aca="false">IF(F21&lt;&gt;"",IF(COUNTIF(F21:M21,"&lt;3"),"Не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F21&lt;&gt;"",IF(N21&lt;1.85,"Выговор",IF(N21=1.85,"Выговор",IF(AND(N21&gt;1.85,N21&lt;3),"Предупреждение",IF(AND(N21&gt;3,N21&lt;4.65),"Нормально",IF(AND(N21&gt;4.65,N21&lt;5.1,F21:M21&gt;=4),"Благодарность","Нормально"))))),"")</f>
        <v/>
      </c>
      <c r="R21" s="118" t="n">
        <f aca="false">COUNTIF(F21:M21,2)+COUNTIF(F21:M21,1)+COUNTIF(F21:M21,0)</f>
        <v>0</v>
      </c>
    </row>
    <row r="22" s="45" customFormat="true" ht="15" hidden="false" customHeight="false" outlineLevel="0" collapsed="false">
      <c r="A22" s="871" t="n">
        <v>15</v>
      </c>
      <c r="B22" s="37" t="s">
        <v>2928</v>
      </c>
      <c r="C22" s="37" t="s">
        <v>2929</v>
      </c>
      <c r="D22" s="868"/>
      <c r="E22" s="869"/>
      <c r="F22" s="725"/>
      <c r="G22" s="725"/>
      <c r="H22" s="870"/>
      <c r="I22" s="724"/>
      <c r="J22" s="725"/>
      <c r="K22" s="725"/>
      <c r="L22" s="725"/>
      <c r="M22" s="726"/>
      <c r="N22" s="33" t="str">
        <f aca="false">IFERROR(AVERAGE(F22:M22),"")</f>
        <v/>
      </c>
      <c r="O22" s="84" t="str">
        <f aca="false">IF(F22&lt;&gt;"",IF(COUNTIF(F22:M22,"&lt;3"),"Не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F22&lt;&gt;"",IF(N22&lt;1.85,"Выговор",IF(N22=1.85,"Выговор",IF(AND(N22&gt;1.85,N22&lt;3),"Предупреждение",IF(AND(N22&gt;3,N22&lt;4.65),"Нормально",IF(AND(N22&gt;4.65,N22&lt;5.1,F22:M22&gt;=4),"Благодарность","Нормально"))))),"")</f>
        <v/>
      </c>
      <c r="R22" s="118" t="n">
        <f aca="false">COUNTIF(F22:M22,2)+COUNTIF(F22:M22,1)+COUNTIF(F22:M22,0)</f>
        <v>0</v>
      </c>
    </row>
    <row r="23" customFormat="false" ht="15" hidden="false" customHeight="false" outlineLevel="0" collapsed="false">
      <c r="A23" s="871" t="n">
        <v>16</v>
      </c>
      <c r="B23" s="37" t="s">
        <v>2930</v>
      </c>
      <c r="C23" s="871" t="s">
        <v>2931</v>
      </c>
      <c r="D23" s="868"/>
      <c r="E23" s="869"/>
      <c r="F23" s="725"/>
      <c r="G23" s="725"/>
      <c r="H23" s="870"/>
      <c r="I23" s="724"/>
      <c r="J23" s="725"/>
      <c r="K23" s="725"/>
      <c r="L23" s="725"/>
      <c r="M23" s="726"/>
      <c r="N23" s="33" t="str">
        <f aca="false">IFERROR(AVERAGE(F23:M23),"")</f>
        <v/>
      </c>
      <c r="O23" s="84" t="str">
        <f aca="false">IF(F23&lt;&gt;"",IF(COUNTIF(F23:M23,"&lt;3"),"Не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F23&lt;&gt;"",IF(N23&lt;1.85,"Выговор",IF(N23=1.85,"Выговор",IF(AND(N23&gt;1.85,N23&lt;3),"Предупреждение",IF(AND(N23&gt;3,N23&lt;4.65),"Нормально",IF(AND(N23&gt;4.65,N23&lt;5.1,F23:M23&gt;=4),"Благодарность","Нормально"))))),"")</f>
        <v/>
      </c>
      <c r="R23" s="118" t="n">
        <f aca="false">COUNTIF(F23:M23,2)+COUNTIF(F23:M23,1)+COUNTIF(F23:M23,0)</f>
        <v>0</v>
      </c>
    </row>
    <row r="24" customFormat="false" ht="15" hidden="false" customHeight="false" outlineLevel="0" collapsed="false">
      <c r="A24" s="871" t="n">
        <v>17</v>
      </c>
      <c r="B24" s="37" t="s">
        <v>2932</v>
      </c>
      <c r="C24" s="871" t="s">
        <v>2933</v>
      </c>
      <c r="D24" s="868"/>
      <c r="E24" s="869"/>
      <c r="F24" s="725"/>
      <c r="G24" s="725"/>
      <c r="H24" s="870"/>
      <c r="I24" s="724"/>
      <c r="J24" s="725"/>
      <c r="K24" s="725"/>
      <c r="L24" s="725"/>
      <c r="M24" s="726"/>
      <c r="N24" s="33" t="str">
        <f aca="false">IFERROR(AVERAGE(F24:M24),"")</f>
        <v/>
      </c>
      <c r="O24" s="84" t="str">
        <f aca="false">IF(F24&lt;&gt;"",IF(COUNTIF(F24:M24,"&lt;3"),"Не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F24&lt;&gt;"",IF(N24&lt;1.85,"Выговор",IF(N24=1.85,"Выговор",IF(AND(N24&gt;1.85,N24&lt;3),"Предупреждение",IF(AND(N24&gt;3,N24&lt;4.65),"Нормально",IF(AND(N24&gt;4.65,N24&lt;5.1,F24:M24&gt;=4),"Благодарность","Нормально"))))),"")</f>
        <v/>
      </c>
      <c r="R24" s="118" t="n">
        <f aca="false">COUNTIF(F24:M24,2)+COUNTIF(F24:M24,1)+COUNTIF(F24:M24,0)</f>
        <v>0</v>
      </c>
    </row>
    <row r="25" customFormat="false" ht="15" hidden="false" customHeight="false" outlineLevel="0" collapsed="false">
      <c r="A25" s="871" t="n">
        <v>18</v>
      </c>
      <c r="B25" s="37" t="s">
        <v>2934</v>
      </c>
      <c r="C25" s="871" t="s">
        <v>2935</v>
      </c>
      <c r="D25" s="868"/>
      <c r="E25" s="869"/>
      <c r="F25" s="725"/>
      <c r="G25" s="725"/>
      <c r="H25" s="870"/>
      <c r="I25" s="724"/>
      <c r="J25" s="725"/>
      <c r="K25" s="725"/>
      <c r="L25" s="725"/>
      <c r="M25" s="726"/>
      <c r="N25" s="33" t="str">
        <f aca="false">IFERROR(AVERAGE(F25:M25),"")</f>
        <v/>
      </c>
      <c r="O25" s="84" t="str">
        <f aca="false">IF(F25&lt;&gt;"",IF(COUNTIF(F25:M25,"&lt;3"),"Не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F25&lt;&gt;"",IF(N25&lt;1.85,"Выговор",IF(N25=1.85,"Выговор",IF(AND(N25&gt;1.85,N25&lt;3),"Предупреждение",IF(AND(N25&gt;3,N25&lt;4.65),"Нормально",IF(AND(N25&gt;4.65,N25&lt;5.1,F25:M25&gt;=4),"Благодарность","Нормально"))))),"")</f>
        <v/>
      </c>
      <c r="R25" s="118" t="n">
        <f aca="false">COUNTIF(F25:M25,2)+COUNTIF(F25:M25,1)+COUNTIF(F25:M25,0)</f>
        <v>0</v>
      </c>
    </row>
    <row r="26" customFormat="false" ht="15" hidden="false" customHeight="false" outlineLevel="0" collapsed="false">
      <c r="A26" s="871" t="n">
        <v>19</v>
      </c>
      <c r="B26" s="37" t="s">
        <v>2936</v>
      </c>
      <c r="C26" s="871" t="s">
        <v>2937</v>
      </c>
      <c r="D26" s="868"/>
      <c r="E26" s="869"/>
      <c r="F26" s="725"/>
      <c r="G26" s="725"/>
      <c r="H26" s="870"/>
      <c r="I26" s="724"/>
      <c r="J26" s="725"/>
      <c r="K26" s="725"/>
      <c r="L26" s="725"/>
      <c r="M26" s="726"/>
      <c r="N26" s="33" t="str">
        <f aca="false">IFERROR(AVERAGE(F26:M26),"")</f>
        <v/>
      </c>
      <c r="O26" s="84" t="str">
        <f aca="false">IF(F26&lt;&gt;"",IF(COUNTIF(F26:M26,"&lt;3"),"Не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F26&lt;&gt;"",IF(N26&lt;1.85,"Выговор",IF(N26=1.85,"Выговор",IF(AND(N26&gt;1.85,N26&lt;3),"Предупреждение",IF(AND(N26&gt;3,N26&lt;4.65),"Нормально",IF(AND(N26&gt;4.65,N26&lt;5.1,F26:M26&gt;=4),"Благодарность","Нормально"))))),"")</f>
        <v/>
      </c>
      <c r="R26" s="118" t="n">
        <f aca="false">COUNTIF(F26:M26,2)+COUNTIF(F26:M26,1)+COUNTIF(F26:M26,0)</f>
        <v>0</v>
      </c>
    </row>
    <row r="27" customFormat="false" ht="15" hidden="false" customHeight="false" outlineLevel="0" collapsed="false">
      <c r="A27" s="871" t="n">
        <v>20</v>
      </c>
      <c r="B27" s="37" t="s">
        <v>2938</v>
      </c>
      <c r="C27" s="871" t="s">
        <v>2939</v>
      </c>
      <c r="D27" s="868"/>
      <c r="E27" s="869"/>
      <c r="F27" s="725"/>
      <c r="G27" s="725"/>
      <c r="H27" s="870"/>
      <c r="I27" s="724"/>
      <c r="J27" s="725"/>
      <c r="K27" s="725"/>
      <c r="L27" s="725"/>
      <c r="M27" s="726"/>
      <c r="N27" s="33" t="str">
        <f aca="false">IFERROR(AVERAGE(F27:M27),"")</f>
        <v/>
      </c>
      <c r="O27" s="84" t="str">
        <f aca="false">IF(F27&lt;&gt;"",IF(COUNTIF(F27:M27,"&lt;3"),"Не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F27&lt;&gt;"",IF(N27&lt;1.85,"Выговор",IF(N27=1.85,"Выговор",IF(AND(N27&gt;1.85,N27&lt;3),"Предупреждение",IF(AND(N27&gt;3,N27&lt;4.65),"Нормально",IF(AND(N27&gt;4.65,N27&lt;5.1,F27:M27&gt;=4),"Благодарность","Нормально"))))),"")</f>
        <v/>
      </c>
      <c r="R27" s="118" t="n">
        <f aca="false">COUNTIF(F27:M27,2)+COUNTIF(F27:M27,1)+COUNTIF(F27:M27,0)</f>
        <v>0</v>
      </c>
    </row>
    <row r="28" customFormat="false" ht="15" hidden="false" customHeight="false" outlineLevel="0" collapsed="false">
      <c r="A28" s="871" t="n">
        <v>21</v>
      </c>
      <c r="B28" s="37" t="s">
        <v>2940</v>
      </c>
      <c r="C28" s="871" t="s">
        <v>2941</v>
      </c>
      <c r="D28" s="868"/>
      <c r="E28" s="869"/>
      <c r="F28" s="725"/>
      <c r="G28" s="725"/>
      <c r="H28" s="870"/>
      <c r="I28" s="724"/>
      <c r="J28" s="725"/>
      <c r="K28" s="725"/>
      <c r="L28" s="725"/>
      <c r="M28" s="726"/>
      <c r="N28" s="33" t="str">
        <f aca="false">IFERROR(AVERAGE(F28:M28),"")</f>
        <v/>
      </c>
      <c r="O28" s="84" t="str">
        <f aca="false">IF(F28&lt;&gt;"",IF(COUNTIF(F28:M28,"&lt;3"),"Не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F28&lt;&gt;"",IF(N28&lt;1.85,"Выговор",IF(N28=1.85,"Выговор",IF(AND(N28&gt;1.85,N28&lt;3),"Предупреждение",IF(AND(N28&gt;3,N28&lt;4.65),"Нормально",IF(AND(N28&gt;4.65,N28&lt;5.1,F28:M28&gt;=4),"Благодарность","Нормально"))))),"")</f>
        <v/>
      </c>
      <c r="R28" s="118" t="n">
        <f aca="false">COUNTIF(F28:M28,2)+COUNTIF(F28:M28,1)+COUNTIF(F28:M28,0)</f>
        <v>0</v>
      </c>
    </row>
    <row r="29" customFormat="false" ht="15" hidden="false" customHeight="false" outlineLevel="0" collapsed="false">
      <c r="A29" s="871" t="n">
        <v>22</v>
      </c>
      <c r="B29" s="37" t="s">
        <v>2942</v>
      </c>
      <c r="C29" s="871" t="s">
        <v>2943</v>
      </c>
      <c r="D29" s="868"/>
      <c r="E29" s="869"/>
      <c r="F29" s="725"/>
      <c r="G29" s="725"/>
      <c r="H29" s="870"/>
      <c r="I29" s="724"/>
      <c r="J29" s="725"/>
      <c r="K29" s="725"/>
      <c r="L29" s="725"/>
      <c r="M29" s="726"/>
      <c r="N29" s="33" t="str">
        <f aca="false">IFERROR(AVERAGE(F29:M29),"")</f>
        <v/>
      </c>
      <c r="O29" s="84" t="str">
        <f aca="false">IF(F29&lt;&gt;"",IF(COUNTIF(F29:M29,"&lt;3"),"Не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F29&lt;&gt;"",IF(N29&lt;1.85,"Выговор",IF(N29=1.85,"Выговор",IF(AND(N29&gt;1.85,N29&lt;3),"Предупреждение",IF(AND(N29&gt;3,N29&lt;4.65),"Нормально",IF(AND(N29&gt;4.65,N29&lt;5.1,F29:M29&gt;=4),"Благодарность","Нормально"))))),"")</f>
        <v/>
      </c>
      <c r="R29" s="118" t="n">
        <f aca="false">COUNTIF(F29:M29,2)+COUNTIF(F29:M29,1)+COUNTIF(F29:M29,0)</f>
        <v>0</v>
      </c>
    </row>
    <row r="30" customFormat="false" ht="15" hidden="false" customHeight="false" outlineLevel="0" collapsed="false">
      <c r="A30" s="871" t="n">
        <v>23</v>
      </c>
      <c r="B30" s="37" t="s">
        <v>2944</v>
      </c>
      <c r="C30" s="871" t="s">
        <v>2945</v>
      </c>
      <c r="D30" s="868"/>
      <c r="E30" s="869"/>
      <c r="F30" s="725"/>
      <c r="G30" s="725"/>
      <c r="H30" s="870"/>
      <c r="I30" s="724"/>
      <c r="J30" s="725"/>
      <c r="K30" s="725"/>
      <c r="L30" s="725"/>
      <c r="M30" s="726"/>
      <c r="N30" s="33" t="str">
        <f aca="false">IFERROR(AVERAGE(F30:M30),"")</f>
        <v/>
      </c>
      <c r="O30" s="84" t="str">
        <f aca="false">IF(F30&lt;&gt;"",IF(COUNTIF(F30:M30,"&lt;3"),"Не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F30&lt;&gt;"",IF(N30&lt;1.85,"Выговор",IF(N30=1.85,"Выговор",IF(AND(N30&gt;1.85,N30&lt;3),"Предупреждение",IF(AND(N30&gt;3,N30&lt;4.65),"Нормально",IF(AND(N30&gt;4.65,N30&lt;5.1,F30:M30&gt;=4),"Благодарность","Нормально"))))),"")</f>
        <v/>
      </c>
      <c r="R30" s="118" t="n">
        <f aca="false">COUNTIF(F30:M30,2)+COUNTIF(F30:M30,1)+COUNTIF(F30:M30,0)</f>
        <v>0</v>
      </c>
    </row>
    <row r="31" customFormat="false" ht="14.25" hidden="false" customHeight="true" outlineLevel="0" collapsed="false">
      <c r="A31" s="871" t="n">
        <v>24</v>
      </c>
      <c r="B31" s="37" t="s">
        <v>2946</v>
      </c>
      <c r="C31" s="871" t="s">
        <v>2947</v>
      </c>
      <c r="D31" s="868"/>
      <c r="E31" s="869"/>
      <c r="F31" s="725"/>
      <c r="G31" s="725"/>
      <c r="H31" s="870"/>
      <c r="I31" s="725"/>
      <c r="J31" s="725"/>
      <c r="K31" s="725"/>
      <c r="L31" s="725"/>
      <c r="M31" s="726"/>
      <c r="N31" s="33" t="str">
        <f aca="false">IFERROR(AVERAGE(F31:M31),"")</f>
        <v/>
      </c>
      <c r="O31" s="84" t="str">
        <f aca="false">IF(F31&lt;&gt;"",IF(COUNTIF(F31:M31,"&lt;3"),"Не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F31&lt;&gt;"",IF(N31&lt;1.85,"Выговор",IF(N31=1.85,"Выговор",IF(AND(N31&gt;1.85,N31&lt;3),"Предупреждение",IF(AND(N31&gt;3,N31&lt;4.65),"Нормально",IF(AND(N31&gt;4.65,N31&lt;5.1,F31:M31&gt;=4),"Благодарность","Нормально"))))),"")</f>
        <v/>
      </c>
      <c r="R31" s="118" t="n">
        <f aca="false">COUNTIF(F31:M31,2)+COUNTIF(F31:M31,1)+COUNTIF(F31:M31,0)</f>
        <v>0</v>
      </c>
    </row>
    <row r="32" customFormat="false" ht="15" hidden="false" customHeight="false" outlineLevel="0" collapsed="false">
      <c r="A32" s="871" t="n">
        <v>25</v>
      </c>
      <c r="B32" s="37" t="s">
        <v>2948</v>
      </c>
      <c r="C32" s="871" t="s">
        <v>2949</v>
      </c>
      <c r="D32" s="868"/>
      <c r="E32" s="869"/>
      <c r="F32" s="725"/>
      <c r="G32" s="725"/>
      <c r="H32" s="870"/>
      <c r="I32" s="724"/>
      <c r="J32" s="725"/>
      <c r="K32" s="725"/>
      <c r="L32" s="725"/>
      <c r="M32" s="726"/>
      <c r="N32" s="33" t="str">
        <f aca="false">IFERROR(AVERAGE(F32:M32),"")</f>
        <v/>
      </c>
      <c r="O32" s="84" t="str">
        <f aca="false">IF(F32&lt;&gt;"",IF(COUNTIF(F32:M32,"&lt;3"),"Не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F32&lt;&gt;"",IF(N32&lt;1.85,"Выговор",IF(N32=1.85,"Выговор",IF(AND(N32&gt;1.85,N32&lt;3),"Предупреждение",IF(AND(N32&gt;3,N32&lt;4.65),"Нормально",IF(AND(N32&gt;4.65,N32&lt;5.1,F32:M32&gt;=4),"Благодарность","Нормально"))))),"")</f>
        <v/>
      </c>
      <c r="R32" s="118" t="n">
        <f aca="false">COUNTIF(F32:M32,2)+COUNTIF(F32:M32,1)+COUNTIF(F32:M32,0)</f>
        <v>0</v>
      </c>
    </row>
    <row r="33" customFormat="false" ht="14.25" hidden="false" customHeight="true" outlineLevel="0" collapsed="false">
      <c r="A33" s="871" t="n">
        <v>27</v>
      </c>
      <c r="B33" s="37" t="s">
        <v>2950</v>
      </c>
      <c r="C33" s="871" t="s">
        <v>2951</v>
      </c>
      <c r="D33" s="868"/>
      <c r="E33" s="869"/>
      <c r="F33" s="725"/>
      <c r="G33" s="725"/>
      <c r="H33" s="870"/>
      <c r="I33" s="724"/>
      <c r="J33" s="725"/>
      <c r="K33" s="725"/>
      <c r="L33" s="725"/>
      <c r="M33" s="726"/>
      <c r="N33" s="33" t="str">
        <f aca="false">IFERROR(AVERAGE(F33:M33),"")</f>
        <v/>
      </c>
      <c r="O33" s="84" t="str">
        <f aca="false">IF(F33&lt;&gt;"",IF(COUNTIF(F33:M33,"&lt;3"),"Не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F33&lt;&gt;"",IF(N33&lt;1.85,"Выговор",IF(N33=1.85,"Выговор",IF(AND(N33&gt;1.85,N33&lt;3),"Предупреждение",IF(AND(N33&gt;3,N33&lt;4.65),"Нормально",IF(AND(N33&gt;4.65,N33&lt;5.1,F33:M33&gt;=4),"Благодарность","Нормально"))))),"")</f>
        <v/>
      </c>
      <c r="R33" s="118" t="n">
        <f aca="false">COUNTIF(F33:M33,2)+COUNTIF(F33:M33,1)+COUNTIF(F33:M33,0)</f>
        <v>0</v>
      </c>
    </row>
    <row r="34" customFormat="false" ht="15.75" hidden="false" customHeight="true" outlineLevel="0" collapsed="false">
      <c r="A34" s="0" t="s">
        <v>77</v>
      </c>
      <c r="E34" s="260" t="e">
        <f aca="false">AVERAGE(E8:E33)</f>
        <v>#DIV/0!</v>
      </c>
      <c r="F34" s="260" t="e">
        <f aca="false">AVERAGE(F8:F33)</f>
        <v>#DIV/0!</v>
      </c>
      <c r="G34" s="260" t="e">
        <f aca="false">AVERAGE(G8:G33)</f>
        <v>#DIV/0!</v>
      </c>
      <c r="H34" s="260" t="e">
        <f aca="false">AVERAGE(H8:H33)</f>
        <v>#DIV/0!</v>
      </c>
      <c r="I34" s="260" t="e">
        <f aca="false">AVERAGE(I8:I33)</f>
        <v>#DIV/0!</v>
      </c>
      <c r="J34" s="260" t="e">
        <f aca="false">AVERAGE(J8:J33)</f>
        <v>#DIV/0!</v>
      </c>
      <c r="K34" s="260" t="e">
        <f aca="false">AVERAGE(K8:K33)</f>
        <v>#DIV/0!</v>
      </c>
      <c r="L34" s="260" t="e">
        <f aca="false">AVERAGE(L8:L33)</f>
        <v>#DIV/0!</v>
      </c>
      <c r="M34" s="260" t="e">
        <f aca="false">AVERAGE(M8:M33)</f>
        <v>#DIV/0!</v>
      </c>
      <c r="N34" s="48"/>
      <c r="O34" s="48"/>
      <c r="P34" s="48"/>
      <c r="Q34" s="48"/>
    </row>
    <row r="35" customFormat="false" ht="15.75" hidden="false" customHeight="true" outlineLevel="0" collapsed="false">
      <c r="A35" s="0" t="s">
        <v>78</v>
      </c>
      <c r="E35" s="137" t="e">
        <f aca="false">(COUNTIF(E8:E33,5)+COUNTIF(E8:E33,4)+COUNTIF(E8:E33,3))/$P$39*100</f>
        <v>#DIV/0!</v>
      </c>
      <c r="F35" s="137" t="e">
        <f aca="false">(COUNTIF(F8:F33,5)+COUNTIF(F8:F33,4)+COUNTIF(F8:F33,3))/$P$39*100</f>
        <v>#DIV/0!</v>
      </c>
      <c r="G35" s="137" t="e">
        <f aca="false">(COUNTIF(G8:G33,5)+COUNTIF(G8:G33,4)+COUNTIF(G8:G33,3))/$P$39*100</f>
        <v>#DIV/0!</v>
      </c>
      <c r="H35" s="137" t="e">
        <f aca="false">(COUNTIF(H8:H33,5)+COUNTIF(H8:H33,4)+COUNTIF(H8:H33,3))/$P$39*100</f>
        <v>#DIV/0!</v>
      </c>
      <c r="I35" s="137" t="e">
        <f aca="false">(COUNTIF(I8:I33,5)+COUNTIF(I8:I33,4)+COUNTIF(I8:I33,3))/$P$39*100</f>
        <v>#DIV/0!</v>
      </c>
      <c r="J35" s="137" t="e">
        <f aca="false">(COUNTIF(J8:J33,5)+COUNTIF(J8:J33,4)+COUNTIF(J8:J33,3))/$P$39*100</f>
        <v>#DIV/0!</v>
      </c>
      <c r="K35" s="137" t="e">
        <f aca="false">(COUNTIF(K8:K33,5)+COUNTIF(K8:K33,4)+COUNTIF(K8:K33,3))/$P$39*100</f>
        <v>#DIV/0!</v>
      </c>
      <c r="L35" s="137" t="e">
        <f aca="false">(COUNTIF(L8:L33,5)+COUNTIF(L8:L33,4)+COUNTIF(L8:L33,3))/$P$39*100</f>
        <v>#DIV/0!</v>
      </c>
      <c r="M35" s="137" t="e">
        <f aca="false">(COUNTIF(M8:M33,5)+COUNTIF(M8:M33,4)+COUNTIF(M8:M33,3))/$P$39*100</f>
        <v>#DIV/0!</v>
      </c>
      <c r="N35" s="48"/>
      <c r="O35" s="48"/>
      <c r="P35" s="48"/>
      <c r="Q35" s="48"/>
    </row>
    <row r="36" customFormat="false" ht="15.75" hidden="false" customHeight="true" outlineLevel="0" collapsed="false">
      <c r="F36" s="229"/>
      <c r="G36" s="229"/>
      <c r="H36" s="229"/>
      <c r="I36" s="229"/>
      <c r="J36" s="229"/>
      <c r="K36" s="229"/>
      <c r="L36" s="229"/>
      <c r="M36" s="229"/>
      <c r="N36" s="48"/>
      <c r="O36" s="48"/>
      <c r="P36" s="48"/>
      <c r="Q36" s="48"/>
      <c r="R36" s="48"/>
    </row>
    <row r="37" customFormat="false" ht="15.75" hidden="false" customHeight="true" outlineLevel="0" collapsed="false">
      <c r="B37" s="50"/>
      <c r="C37" s="50" t="s">
        <v>8</v>
      </c>
      <c r="D37" s="51" t="str">
        <f aca="false">IFERROR(AVERAGE(N8:N23),"")</f>
        <v/>
      </c>
      <c r="E37" s="51"/>
      <c r="F37" s="52" t="s">
        <v>9</v>
      </c>
      <c r="G37" s="52"/>
      <c r="H37" s="53" t="str">
        <f aca="false">IFERROR(COUNTIF(O8:O23,"Успевает")/P39*100,"")</f>
        <v/>
      </c>
      <c r="I37" s="54" t="s">
        <v>79</v>
      </c>
      <c r="J37" s="54"/>
      <c r="K37" s="55" t="str">
        <f aca="false">IFERROR(AVERAGE(P8:P23),"")</f>
        <v/>
      </c>
      <c r="L37" s="52"/>
      <c r="M37" s="52"/>
      <c r="N37" s="48"/>
      <c r="O37" s="48"/>
      <c r="P37" s="48"/>
      <c r="Q37" s="48"/>
      <c r="R37" s="48"/>
    </row>
    <row r="38" customFormat="false" ht="14.25" hidden="false" customHeight="true" outlineLevel="0" collapsed="false">
      <c r="B38" s="50"/>
      <c r="C38" s="50"/>
      <c r="D38" s="50"/>
      <c r="E38" s="50"/>
      <c r="F38" s="56"/>
      <c r="G38" s="56"/>
      <c r="H38" s="56"/>
      <c r="I38" s="56"/>
      <c r="J38" s="56"/>
      <c r="K38" s="56"/>
      <c r="L38" s="56"/>
      <c r="M38" s="56"/>
      <c r="Q38" s="183"/>
      <c r="R38" s="183"/>
    </row>
    <row r="39" customFormat="false" ht="13.5" hidden="false" customHeight="true" outlineLevel="0" collapsed="false">
      <c r="A39" s="50"/>
      <c r="B39" s="61" t="s">
        <v>81</v>
      </c>
      <c r="C39" s="61"/>
      <c r="D39" s="61"/>
      <c r="E39" s="61"/>
      <c r="F39" s="61"/>
      <c r="G39" s="61"/>
      <c r="H39" s="61"/>
      <c r="I39" s="61"/>
      <c r="J39" s="61"/>
      <c r="K39" s="61"/>
      <c r="L39" s="61" t="s">
        <v>82</v>
      </c>
      <c r="M39" s="61"/>
      <c r="N39" s="57" t="s">
        <v>80</v>
      </c>
      <c r="O39" s="57"/>
      <c r="P39" s="58" t="n">
        <f aca="false">SUM(P40,P41)</f>
        <v>0</v>
      </c>
      <c r="Q39" s="64"/>
      <c r="R39" s="64"/>
    </row>
    <row r="40" customFormat="false" ht="15.75" hidden="false" customHeight="true" outlineLevel="0" collapsed="false">
      <c r="A40" s="50"/>
      <c r="B40" s="65" t="str">
        <f aca="false">$E$6</f>
        <v> Операционные системы</v>
      </c>
      <c r="C40" s="65"/>
      <c r="D40" s="65"/>
      <c r="E40" s="65"/>
      <c r="F40" s="65"/>
      <c r="G40" s="65"/>
      <c r="H40" s="65"/>
      <c r="I40" s="65"/>
      <c r="J40" s="65"/>
      <c r="K40" s="65"/>
      <c r="L40" s="872"/>
      <c r="M40" s="872"/>
      <c r="N40" s="57" t="s">
        <v>83</v>
      </c>
      <c r="O40" s="57"/>
      <c r="P40" s="58" t="n">
        <f aca="false">COUNTIF(O8:O33,"Успевает")</f>
        <v>0</v>
      </c>
      <c r="Q40" s="99"/>
      <c r="R40" s="69"/>
    </row>
    <row r="41" customFormat="false" ht="15.75" hidden="false" customHeight="true" outlineLevel="0" collapsed="false">
      <c r="A41" s="50"/>
      <c r="B41" s="65" t="str">
        <f aca="false">$F$6</f>
        <v> Основы информационной безопасности</v>
      </c>
      <c r="C41" s="65"/>
      <c r="D41" s="65"/>
      <c r="E41" s="65"/>
      <c r="F41" s="65"/>
      <c r="G41" s="65"/>
      <c r="H41" s="65"/>
      <c r="I41" s="65"/>
      <c r="J41" s="65"/>
      <c r="K41" s="65"/>
      <c r="L41" s="872"/>
      <c r="M41" s="872"/>
      <c r="N41" s="98" t="s">
        <v>84</v>
      </c>
      <c r="O41" s="98"/>
      <c r="P41" s="58" t="n">
        <f aca="false">COUNTIF(O8:O33,"Не успевает")</f>
        <v>0</v>
      </c>
      <c r="Q41" s="64"/>
      <c r="R41" s="64"/>
    </row>
    <row r="42" customFormat="false" ht="15.75" hidden="false" customHeight="true" outlineLevel="0" collapsed="false">
      <c r="A42" s="50"/>
      <c r="B42" s="65" t="str">
        <f aca="false">$G$6</f>
        <v> Программирование на языке Java</v>
      </c>
      <c r="C42" s="65"/>
      <c r="D42" s="65"/>
      <c r="E42" s="65"/>
      <c r="F42" s="65"/>
      <c r="G42" s="65"/>
      <c r="H42" s="65"/>
      <c r="I42" s="65"/>
      <c r="J42" s="65"/>
      <c r="K42" s="65"/>
      <c r="L42" s="872"/>
      <c r="M42" s="872"/>
      <c r="N42" s="98" t="s">
        <v>85</v>
      </c>
      <c r="O42" s="98"/>
      <c r="P42" s="58" t="n">
        <f aca="false">COUNTIF(Q8:Q33,"Благодарность")</f>
        <v>0</v>
      </c>
      <c r="Q42" s="48"/>
      <c r="R42" s="48"/>
    </row>
    <row r="43" customFormat="false" ht="15.75" hidden="false" customHeight="true" outlineLevel="0" collapsed="false">
      <c r="A43" s="50"/>
      <c r="B43" s="65" t="str">
        <f aca="false">$H$6</f>
        <v> Схемотехника аппаратных средств защиты информации (к.р.)</v>
      </c>
      <c r="C43" s="65"/>
      <c r="D43" s="65"/>
      <c r="E43" s="65"/>
      <c r="F43" s="65"/>
      <c r="G43" s="65"/>
      <c r="H43" s="65"/>
      <c r="I43" s="65"/>
      <c r="J43" s="65"/>
      <c r="K43" s="65"/>
      <c r="L43" s="872"/>
      <c r="M43" s="872"/>
      <c r="N43" s="98" t="s">
        <v>86</v>
      </c>
      <c r="O43" s="98"/>
      <c r="P43" s="58" t="n">
        <f aca="false">COUNTIF(Q8:Q33,"Нормально")</f>
        <v>0</v>
      </c>
      <c r="Q43" s="48"/>
      <c r="R43" s="48"/>
    </row>
    <row r="44" customFormat="false" ht="15.75" hidden="false" customHeight="true" outlineLevel="0" collapsed="false">
      <c r="A44" s="50"/>
      <c r="B44" s="65" t="str">
        <f aca="false">$I$6</f>
        <v>Иностранный язык</v>
      </c>
      <c r="C44" s="65"/>
      <c r="D44" s="65"/>
      <c r="E44" s="65"/>
      <c r="F44" s="65"/>
      <c r="G44" s="65"/>
      <c r="H44" s="65"/>
      <c r="I44" s="65"/>
      <c r="J44" s="65"/>
      <c r="K44" s="65"/>
      <c r="L44" s="872"/>
      <c r="M44" s="872"/>
      <c r="N44" s="98" t="s">
        <v>87</v>
      </c>
      <c r="O44" s="98"/>
      <c r="P44" s="58" t="n">
        <f aca="false">COUNTIF(Q8:Q33,"Предупреждение")</f>
        <v>0</v>
      </c>
      <c r="Q44" s="48"/>
      <c r="R44" s="48"/>
    </row>
    <row r="45" customFormat="false" ht="15.75" hidden="false" customHeight="true" outlineLevel="0" collapsed="false">
      <c r="A45" s="50"/>
      <c r="B45" s="65" t="str">
        <f aca="false">$J$6</f>
        <v> Основы микро- и радиоэлектроники</v>
      </c>
      <c r="C45" s="65"/>
      <c r="D45" s="65"/>
      <c r="E45" s="65"/>
      <c r="F45" s="65"/>
      <c r="G45" s="65"/>
      <c r="H45" s="65"/>
      <c r="I45" s="65"/>
      <c r="J45" s="65"/>
      <c r="K45" s="65"/>
      <c r="L45" s="872"/>
      <c r="M45" s="872"/>
      <c r="N45" s="98" t="s">
        <v>88</v>
      </c>
      <c r="O45" s="98"/>
      <c r="P45" s="58" t="n">
        <f aca="false">COUNTIF(Q8:Q33,"Выговор")</f>
        <v>0</v>
      </c>
      <c r="Q45" s="48"/>
      <c r="R45" s="48"/>
    </row>
    <row r="46" customFormat="false" ht="15.75" hidden="false" customHeight="true" outlineLevel="0" collapsed="false">
      <c r="A46" s="50"/>
      <c r="B46" s="65" t="str">
        <f aca="false">$K$6</f>
        <v> Теория информации</v>
      </c>
      <c r="C46" s="65"/>
      <c r="D46" s="65"/>
      <c r="E46" s="65"/>
      <c r="F46" s="65"/>
      <c r="G46" s="65"/>
      <c r="H46" s="65"/>
      <c r="I46" s="65"/>
      <c r="J46" s="65"/>
      <c r="K46" s="65"/>
      <c r="L46" s="872"/>
      <c r="M46" s="872"/>
      <c r="N46" s="442" t="s">
        <v>1575</v>
      </c>
      <c r="O46" s="380"/>
      <c r="P46" s="143" t="n">
        <f aca="false">SUM(R8:R33)</f>
        <v>0</v>
      </c>
      <c r="Q46" s="48"/>
      <c r="R46" s="48"/>
    </row>
    <row r="47" customFormat="false" ht="15.75" hidden="false" customHeight="true" outlineLevel="0" collapsed="false">
      <c r="A47" s="50"/>
      <c r="B47" s="867" t="str">
        <f aca="false">$L$6</f>
        <v> Теория принятия решений в условиях информационных конфликтов</v>
      </c>
      <c r="C47" s="867"/>
      <c r="D47" s="867"/>
      <c r="E47" s="867"/>
      <c r="F47" s="867"/>
      <c r="G47" s="867"/>
      <c r="H47" s="867"/>
      <c r="I47" s="867"/>
      <c r="J47" s="867"/>
      <c r="K47" s="867"/>
      <c r="L47" s="872"/>
      <c r="M47" s="872"/>
      <c r="N47" s="67"/>
      <c r="O47" s="67"/>
      <c r="P47" s="48"/>
      <c r="Q47" s="48"/>
      <c r="R47" s="48"/>
    </row>
    <row r="48" customFormat="false" ht="15.75" hidden="false" customHeight="true" outlineLevel="0" collapsed="false">
      <c r="A48" s="50"/>
      <c r="B48" s="852" t="str">
        <f aca="false">$M$6</f>
        <v>Физическая культура и спорт</v>
      </c>
      <c r="C48" s="852"/>
      <c r="D48" s="852"/>
      <c r="E48" s="852"/>
      <c r="F48" s="852"/>
      <c r="G48" s="852"/>
      <c r="H48" s="852"/>
      <c r="I48" s="852"/>
      <c r="J48" s="852"/>
      <c r="K48" s="852"/>
      <c r="L48" s="872"/>
      <c r="M48" s="872"/>
      <c r="N48" s="67"/>
      <c r="O48" s="67"/>
      <c r="P48" s="48"/>
      <c r="Q48" s="48"/>
      <c r="R48" s="48"/>
    </row>
    <row r="49" customFormat="false" ht="15.75" hidden="false" customHeight="true" outlineLevel="0" collapsed="false">
      <c r="A49" s="50"/>
      <c r="B49" s="873"/>
      <c r="C49" s="873"/>
      <c r="D49" s="873"/>
      <c r="E49" s="873"/>
      <c r="F49" s="873"/>
      <c r="G49" s="873"/>
      <c r="H49" s="873"/>
      <c r="I49" s="873"/>
      <c r="J49" s="873"/>
      <c r="K49" s="873"/>
      <c r="L49" s="67"/>
      <c r="M49" s="67"/>
      <c r="N49" s="48"/>
      <c r="O49" s="48"/>
      <c r="P49" s="48"/>
      <c r="Q49" s="48"/>
      <c r="R49" s="48"/>
    </row>
    <row r="50" customFormat="false" ht="15.75" hidden="false" customHeight="true" outlineLevel="0" collapsed="false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48"/>
      <c r="O50" s="48"/>
      <c r="P50" s="48"/>
      <c r="Q50" s="48"/>
      <c r="R50" s="48"/>
    </row>
    <row r="51" customFormat="false" ht="15.75" hidden="false" customHeight="true" outlineLevel="0" collapsed="false">
      <c r="A51" s="50"/>
      <c r="B51" s="73" t="s">
        <v>405</v>
      </c>
      <c r="C51" s="74" t="s">
        <v>2952</v>
      </c>
      <c r="D51" s="74"/>
      <c r="E51" s="197"/>
      <c r="F51" s="67"/>
      <c r="G51" s="52" t="s">
        <v>369</v>
      </c>
      <c r="H51" s="381" t="s">
        <v>2953</v>
      </c>
      <c r="I51" s="52"/>
      <c r="J51" s="52"/>
      <c r="K51" s="52"/>
      <c r="L51" s="52"/>
      <c r="M51" s="50"/>
      <c r="N51" s="48"/>
      <c r="O51" s="48"/>
      <c r="P51" s="48"/>
      <c r="Q51" s="48"/>
      <c r="R51" s="48"/>
    </row>
    <row r="52" customFormat="false" ht="15.75" hidden="false" customHeight="tru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48"/>
      <c r="O52" s="48"/>
      <c r="P52" s="48"/>
      <c r="Q52" s="48"/>
      <c r="R52" s="48"/>
    </row>
    <row r="53" customFormat="false" ht="15.75" hidden="false" customHeight="true" outlineLevel="0" collapsed="false">
      <c r="A53" s="50"/>
      <c r="B53" s="50" t="s">
        <v>93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Q53" s="48"/>
      <c r="R53" s="48"/>
    </row>
    <row r="54" customFormat="false" ht="15.75" hidden="false" customHeight="true" outlineLevel="0" collapsed="false">
      <c r="A54" s="50"/>
      <c r="B54" s="50" t="s">
        <v>94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Q54" s="48"/>
      <c r="R54" s="48"/>
    </row>
    <row r="55" customFormat="false" ht="15.75" hidden="false" customHeight="true" outlineLevel="0" collapsed="false">
      <c r="A55" s="50"/>
      <c r="B55" s="50" t="s">
        <v>95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Q55" s="48"/>
      <c r="R55" s="48"/>
    </row>
    <row r="56" customFormat="false" ht="15.75" hidden="false" customHeight="true" outlineLevel="0" collapsed="false">
      <c r="A56" s="50"/>
      <c r="B56" s="50" t="s">
        <v>96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Q56" s="48"/>
      <c r="R56" s="48"/>
    </row>
    <row r="57" customFormat="false" ht="15.75" hidden="false" customHeight="true" outlineLevel="0" collapsed="false">
      <c r="A57" s="50"/>
      <c r="B57" s="50" t="s">
        <v>97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Q57" s="48"/>
      <c r="R57" s="48"/>
    </row>
    <row r="58" customFormat="false" ht="15" hidden="false" customHeight="false" outlineLevel="0" collapsed="false">
      <c r="B58" s="50" t="s">
        <v>98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</row>
    <row r="59" customFormat="false" ht="15" hidden="false" customHeight="false" outlineLevel="0" collapsed="false">
      <c r="B59" s="50" t="s">
        <v>99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</row>
  </sheetData>
  <mergeCells count="42">
    <mergeCell ref="F1:I1"/>
    <mergeCell ref="A3:N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I37:J37"/>
    <mergeCell ref="Q38:R38"/>
    <mergeCell ref="B39:K39"/>
    <mergeCell ref="L39:M39"/>
    <mergeCell ref="N39:O39"/>
    <mergeCell ref="B40:K40"/>
    <mergeCell ref="L40:M40"/>
    <mergeCell ref="N40:O40"/>
    <mergeCell ref="B41:K41"/>
    <mergeCell ref="L41:M41"/>
    <mergeCell ref="N41:O41"/>
    <mergeCell ref="B42:K42"/>
    <mergeCell ref="L42:M42"/>
    <mergeCell ref="N42:O42"/>
    <mergeCell ref="B43:K43"/>
    <mergeCell ref="L43:M43"/>
    <mergeCell ref="N43:O43"/>
    <mergeCell ref="B44:K44"/>
    <mergeCell ref="L44:M44"/>
    <mergeCell ref="N44:O44"/>
    <mergeCell ref="B45:K45"/>
    <mergeCell ref="L45:M45"/>
    <mergeCell ref="N45:O45"/>
    <mergeCell ref="B46:K46"/>
    <mergeCell ref="L46:M46"/>
    <mergeCell ref="B47:K47"/>
    <mergeCell ref="L47:M47"/>
    <mergeCell ref="B48:K48"/>
    <mergeCell ref="L48:M48"/>
  </mergeCells>
  <conditionalFormatting sqref="M23:M33 M8:M2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21 E23:E33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L21 F23:L33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2:L22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3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S15" activeCellId="0" sqref="S15"/>
    </sheetView>
  </sheetViews>
  <sheetFormatPr defaultColWidth="8.6796875" defaultRowHeight="15" zeroHeight="false" outlineLevelRow="0" outlineLevelCol="0"/>
  <cols>
    <col collapsed="false" customWidth="true" hidden="false" outlineLevel="0" max="2" min="2" style="0" width="10.71"/>
    <col collapsed="false" customWidth="true" hidden="false" outlineLevel="0" max="3" min="3" style="0" width="16.29"/>
    <col collapsed="false" customWidth="true" hidden="false" outlineLevel="0" max="8" min="8" style="45" width="8.86"/>
    <col collapsed="false" customWidth="true" hidden="false" outlineLevel="0" max="12" min="12" style="0" width="10.85"/>
    <col collapsed="false" customWidth="true" hidden="false" outlineLevel="0" max="13" min="13" style="0" width="11.29"/>
    <col collapsed="false" customWidth="true" hidden="false" outlineLevel="0" max="15" min="15" style="0" width="11.29"/>
  </cols>
  <sheetData>
    <row r="1" customFormat="false" ht="19.7" hidden="false" customHeight="false" outlineLevel="0" collapsed="false">
      <c r="A1" s="45"/>
      <c r="B1" s="45"/>
      <c r="C1" s="45"/>
      <c r="D1" s="45"/>
      <c r="E1" s="1" t="s">
        <v>0</v>
      </c>
      <c r="F1" s="1"/>
      <c r="G1" s="1"/>
      <c r="H1" s="1"/>
      <c r="I1" s="1"/>
      <c r="J1" s="2" t="n">
        <f aca="false">set!B1</f>
        <v>2</v>
      </c>
      <c r="K1" s="3"/>
      <c r="L1" s="45"/>
      <c r="M1" s="45"/>
      <c r="N1" s="45"/>
      <c r="O1" s="45"/>
      <c r="P1" s="45"/>
      <c r="Q1" s="45"/>
      <c r="R1" s="45"/>
    </row>
    <row r="2" customFormat="false" ht="15" hidden="false" customHeight="false" outlineLevel="0" collapsed="false">
      <c r="A2" s="45"/>
      <c r="B2" s="45"/>
      <c r="C2" s="45"/>
      <c r="D2" s="45"/>
      <c r="E2" s="45"/>
      <c r="F2" s="45"/>
      <c r="G2" s="45"/>
      <c r="I2" s="4"/>
      <c r="J2" s="45"/>
      <c r="K2" s="45"/>
      <c r="L2" s="45"/>
      <c r="M2" s="5" t="s">
        <v>1</v>
      </c>
      <c r="N2" s="5"/>
      <c r="O2" s="75" t="n">
        <f aca="false">set!B4</f>
        <v>45608</v>
      </c>
      <c r="P2" s="72"/>
      <c r="Q2" s="45"/>
      <c r="R2" s="45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ИУК6-59 факультета ИУК МГТУ им. Н.Э. Баумана"</f>
        <v>Успеваемость студентов за 1 семестр 24/25 учебного года по группе ИУК6-59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45"/>
      <c r="P3" s="45"/>
      <c r="Q3" s="45"/>
      <c r="R3" s="45"/>
    </row>
    <row r="4" customFormat="false" ht="15" hidden="false" customHeight="false" outlineLevel="0" collapsed="false">
      <c r="A4" s="45"/>
      <c r="B4" s="7"/>
      <c r="C4" s="7"/>
      <c r="D4" s="45"/>
      <c r="E4" s="45"/>
      <c r="F4" s="45"/>
      <c r="G4" s="45"/>
      <c r="I4" s="45"/>
      <c r="J4" s="45"/>
      <c r="K4" s="45"/>
      <c r="L4" s="45"/>
      <c r="M4" s="45"/>
      <c r="N4" s="45"/>
      <c r="O4" s="45"/>
      <c r="P4" s="45"/>
      <c r="Q4" s="45"/>
      <c r="R4" s="45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/>
      <c r="F5" s="11"/>
      <c r="G5" s="11"/>
      <c r="H5" s="11" t="s">
        <v>7</v>
      </c>
      <c r="I5" s="11"/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00" t="s">
        <v>1575</v>
      </c>
    </row>
    <row r="6" customFormat="false" ht="132" hidden="false" customHeight="true" outlineLevel="0" collapsed="false">
      <c r="A6" s="8"/>
      <c r="B6" s="8"/>
      <c r="C6" s="8"/>
      <c r="D6" s="9"/>
      <c r="E6" s="339" t="s">
        <v>882</v>
      </c>
      <c r="F6" s="340" t="s">
        <v>2893</v>
      </c>
      <c r="G6" s="342" t="s">
        <v>2894</v>
      </c>
      <c r="H6" s="341" t="s">
        <v>2954</v>
      </c>
      <c r="I6" s="340" t="s">
        <v>18</v>
      </c>
      <c r="J6" s="340" t="s">
        <v>146</v>
      </c>
      <c r="K6" s="340" t="s">
        <v>2896</v>
      </c>
      <c r="L6" s="340" t="s">
        <v>2897</v>
      </c>
      <c r="M6" s="342" t="s">
        <v>147</v>
      </c>
      <c r="N6" s="391"/>
      <c r="O6" s="392"/>
      <c r="P6" s="392"/>
      <c r="Q6" s="14"/>
      <c r="R6" s="600"/>
    </row>
    <row r="7" customFormat="false" ht="17.9" hidden="false" customHeight="false" outlineLevel="0" collapsed="false">
      <c r="A7" s="8"/>
      <c r="B7" s="8"/>
      <c r="C7" s="8"/>
      <c r="D7" s="9"/>
      <c r="E7" s="343" t="s">
        <v>299</v>
      </c>
      <c r="F7" s="344" t="s">
        <v>2646</v>
      </c>
      <c r="G7" s="346" t="s">
        <v>2898</v>
      </c>
      <c r="H7" s="345" t="s">
        <v>151</v>
      </c>
      <c r="I7" s="344" t="s">
        <v>1456</v>
      </c>
      <c r="J7" s="344" t="s">
        <v>151</v>
      </c>
      <c r="K7" s="344" t="s">
        <v>2899</v>
      </c>
      <c r="L7" s="344" t="s">
        <v>2899</v>
      </c>
      <c r="M7" s="346" t="s">
        <v>176</v>
      </c>
      <c r="N7" s="391"/>
      <c r="O7" s="392"/>
      <c r="P7" s="392"/>
      <c r="Q7" s="14"/>
      <c r="R7" s="600"/>
    </row>
    <row r="8" customFormat="false" ht="15" hidden="false" customHeight="false" outlineLevel="0" collapsed="false">
      <c r="A8" s="77" t="n">
        <v>1</v>
      </c>
      <c r="B8" s="77" t="s">
        <v>2955</v>
      </c>
      <c r="C8" s="77" t="s">
        <v>2956</v>
      </c>
      <c r="D8" s="868"/>
      <c r="E8" s="869"/>
      <c r="F8" s="725"/>
      <c r="G8" s="870"/>
      <c r="H8" s="724"/>
      <c r="I8" s="725"/>
      <c r="J8" s="725"/>
      <c r="K8" s="725"/>
      <c r="L8" s="725"/>
      <c r="M8" s="720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85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118" t="n">
        <f aca="false">COUNTIF(E8:M8,2)+COUNTIF(E8:M8,1)+COUNTIF(E8:M8,0)</f>
        <v>0</v>
      </c>
    </row>
    <row r="9" customFormat="false" ht="15" hidden="false" customHeight="false" outlineLevel="0" collapsed="false">
      <c r="A9" s="37" t="n">
        <v>2</v>
      </c>
      <c r="B9" s="37" t="s">
        <v>2957</v>
      </c>
      <c r="C9" s="37" t="s">
        <v>2958</v>
      </c>
      <c r="D9" s="868"/>
      <c r="E9" s="869"/>
      <c r="F9" s="725"/>
      <c r="G9" s="870"/>
      <c r="H9" s="724"/>
      <c r="I9" s="725"/>
      <c r="J9" s="725"/>
      <c r="K9" s="725"/>
      <c r="L9" s="725"/>
      <c r="M9" s="720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false" outlineLevel="0" collapsed="false">
      <c r="A10" s="37" t="n">
        <v>3</v>
      </c>
      <c r="B10" s="37" t="s">
        <v>2959</v>
      </c>
      <c r="C10" s="37" t="s">
        <v>2960</v>
      </c>
      <c r="D10" s="868"/>
      <c r="E10" s="869"/>
      <c r="F10" s="725"/>
      <c r="G10" s="870"/>
      <c r="H10" s="724"/>
      <c r="I10" s="725"/>
      <c r="J10" s="725"/>
      <c r="K10" s="725"/>
      <c r="L10" s="725"/>
      <c r="M10" s="720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false" outlineLevel="0" collapsed="false">
      <c r="A11" s="37" t="n">
        <v>4</v>
      </c>
      <c r="B11" s="37" t="s">
        <v>2961</v>
      </c>
      <c r="C11" s="37" t="s">
        <v>2962</v>
      </c>
      <c r="D11" s="868"/>
      <c r="E11" s="869"/>
      <c r="F11" s="725"/>
      <c r="G11" s="870"/>
      <c r="H11" s="724"/>
      <c r="I11" s="725"/>
      <c r="J11" s="725"/>
      <c r="K11" s="725"/>
      <c r="L11" s="725"/>
      <c r="M11" s="720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false" outlineLevel="0" collapsed="false">
      <c r="A12" s="45" t="s">
        <v>77</v>
      </c>
      <c r="B12" s="45"/>
      <c r="C12" s="45"/>
      <c r="D12" s="45"/>
      <c r="E12" s="260" t="e">
        <f aca="false">AVERAGE(E8:E11)</f>
        <v>#DIV/0!</v>
      </c>
      <c r="F12" s="260" t="e">
        <f aca="false">AVERAGE(F8:F11)</f>
        <v>#DIV/0!</v>
      </c>
      <c r="G12" s="260" t="e">
        <f aca="false">AVERAGE(G8:G11)</f>
        <v>#DIV/0!</v>
      </c>
      <c r="H12" s="260" t="e">
        <f aca="false">AVERAGE(H8:H11)</f>
        <v>#DIV/0!</v>
      </c>
      <c r="I12" s="260" t="e">
        <f aca="false">AVERAGE(I8:I11)</f>
        <v>#DIV/0!</v>
      </c>
      <c r="J12" s="260" t="e">
        <f aca="false">AVERAGE(J8:J11)</f>
        <v>#DIV/0!</v>
      </c>
      <c r="K12" s="260" t="e">
        <f aca="false">AVERAGE(K8:K11)</f>
        <v>#DIV/0!</v>
      </c>
      <c r="L12" s="260" t="e">
        <f aca="false">AVERAGE(L8:L11)</f>
        <v>#DIV/0!</v>
      </c>
      <c r="M12" s="260" t="e">
        <f aca="false">AVERAGE(M8:M11)</f>
        <v>#DIV/0!</v>
      </c>
      <c r="N12" s="48"/>
      <c r="O12" s="48"/>
      <c r="P12" s="48"/>
      <c r="Q12" s="48"/>
      <c r="R12" s="45"/>
    </row>
    <row r="13" customFormat="false" ht="15" hidden="false" customHeight="false" outlineLevel="0" collapsed="false">
      <c r="A13" s="45" t="s">
        <v>78</v>
      </c>
      <c r="B13" s="45"/>
      <c r="C13" s="45"/>
      <c r="D13" s="45"/>
      <c r="E13" s="137" t="e">
        <f aca="false">(COUNTIF(E8:E11,5)+COUNTIF(E8:E11,4)+COUNTIF(E8:E11,3))/$P$17*100</f>
        <v>#DIV/0!</v>
      </c>
      <c r="F13" s="137" t="e">
        <f aca="false">(COUNTIF(F8:F11,5)+COUNTIF(F8:F11,4)+COUNTIF(F8:F11,3))/$P$17*100</f>
        <v>#DIV/0!</v>
      </c>
      <c r="G13" s="137" t="e">
        <f aca="false">(COUNTIF(G8:G11,5)+COUNTIF(G8:G11,4)+COUNTIF(G8:G11,3))/$P$17*100</f>
        <v>#DIV/0!</v>
      </c>
      <c r="H13" s="137" t="e">
        <f aca="false">(COUNTIF(H8:H11,5)+COUNTIF(H8:H11,4)+COUNTIF(H8:H11,3))/$P$17*100</f>
        <v>#DIV/0!</v>
      </c>
      <c r="I13" s="137" t="e">
        <f aca="false">(COUNTIF(I8:I11,5)+COUNTIF(I8:I11,4)+COUNTIF(I8:I11,3))/$P$17*100</f>
        <v>#DIV/0!</v>
      </c>
      <c r="J13" s="137" t="e">
        <f aca="false">(COUNTIF(J8:J11,5)+COUNTIF(J8:J11,4)+COUNTIF(J8:J11,3))/$P$17*100</f>
        <v>#DIV/0!</v>
      </c>
      <c r="K13" s="137" t="e">
        <f aca="false">(COUNTIF(K8:K11,5)+COUNTIF(K8:K11,4)+COUNTIF(K8:K11,3))/$P$17*100</f>
        <v>#DIV/0!</v>
      </c>
      <c r="L13" s="137" t="e">
        <f aca="false">(COUNTIF(L8:L11,5)+COUNTIF(L8:L11,4)+COUNTIF(L8:L11,3))/$P$17*100</f>
        <v>#DIV/0!</v>
      </c>
      <c r="M13" s="137" t="e">
        <f aca="false">(COUNTIF(M8:M11,5)+COUNTIF(M8:M11,4)+COUNTIF(M8:M11,3))/$P$17*100</f>
        <v>#DIV/0!</v>
      </c>
      <c r="N13" s="48"/>
      <c r="O13" s="48"/>
      <c r="P13" s="48"/>
      <c r="Q13" s="48"/>
      <c r="R13" s="45"/>
    </row>
    <row r="14" customFormat="false" ht="15" hidden="false" customHeight="false" outlineLevel="0" collapsed="false">
      <c r="A14" s="45"/>
      <c r="B14" s="45"/>
      <c r="C14" s="45"/>
      <c r="D14" s="45"/>
      <c r="E14" s="229"/>
      <c r="F14" s="229"/>
      <c r="G14" s="229"/>
      <c r="H14" s="229"/>
      <c r="I14" s="229"/>
      <c r="J14" s="229"/>
      <c r="K14" s="229"/>
      <c r="L14" s="229"/>
      <c r="M14" s="229"/>
      <c r="N14" s="48"/>
      <c r="O14" s="48"/>
      <c r="P14" s="48"/>
      <c r="Q14" s="48"/>
      <c r="R14" s="48"/>
    </row>
    <row r="15" customFormat="false" ht="25.35" hidden="false" customHeight="true" outlineLevel="0" collapsed="false">
      <c r="A15" s="45"/>
      <c r="B15" s="50"/>
      <c r="C15" s="50" t="s">
        <v>8</v>
      </c>
      <c r="D15" s="51" t="str">
        <f aca="false">IFERROR(AVERAGE(N8:N11),"")</f>
        <v/>
      </c>
      <c r="E15" s="52" t="s">
        <v>9</v>
      </c>
      <c r="F15" s="52"/>
      <c r="G15" s="53" t="str">
        <f aca="false">IFERROR(COUNTIF(O8:O11,"Успевает")/P17*100,"")</f>
        <v/>
      </c>
      <c r="H15" s="53"/>
      <c r="I15" s="54" t="s">
        <v>79</v>
      </c>
      <c r="J15" s="54"/>
      <c r="K15" s="55" t="str">
        <f aca="false">IFERROR(AVERAGE(P8:P11),"")</f>
        <v/>
      </c>
      <c r="L15" s="52"/>
      <c r="M15" s="52"/>
      <c r="N15" s="48"/>
      <c r="O15" s="48"/>
      <c r="P15" s="48"/>
      <c r="Q15" s="48"/>
      <c r="R15" s="48"/>
    </row>
    <row r="16" customFormat="false" ht="15" hidden="false" customHeight="false" outlineLevel="0" collapsed="false">
      <c r="A16" s="45"/>
      <c r="B16" s="50"/>
      <c r="C16" s="50"/>
      <c r="D16" s="50"/>
      <c r="E16" s="56"/>
      <c r="F16" s="56"/>
      <c r="G16" s="56"/>
      <c r="H16" s="56"/>
      <c r="I16" s="56"/>
      <c r="J16" s="56"/>
      <c r="K16" s="56"/>
      <c r="L16" s="56"/>
      <c r="M16" s="56"/>
      <c r="N16" s="45"/>
      <c r="O16" s="45"/>
      <c r="P16" s="45"/>
      <c r="Q16" s="183"/>
      <c r="R16" s="183"/>
    </row>
    <row r="17" customFormat="false" ht="15" hidden="false" customHeight="true" outlineLevel="0" collapsed="false">
      <c r="A17" s="50"/>
      <c r="B17" s="61" t="s">
        <v>81</v>
      </c>
      <c r="C17" s="61"/>
      <c r="D17" s="61"/>
      <c r="E17" s="61"/>
      <c r="F17" s="61"/>
      <c r="G17" s="61"/>
      <c r="H17" s="61"/>
      <c r="I17" s="61"/>
      <c r="J17" s="61"/>
      <c r="K17" s="61"/>
      <c r="L17" s="61" t="s">
        <v>82</v>
      </c>
      <c r="M17" s="61"/>
      <c r="N17" s="57" t="s">
        <v>80</v>
      </c>
      <c r="O17" s="57"/>
      <c r="P17" s="58" t="n">
        <f aca="false">SUM(P18,P19)</f>
        <v>0</v>
      </c>
      <c r="Q17" s="64"/>
      <c r="R17" s="64"/>
    </row>
    <row r="18" customFormat="false" ht="15" hidden="false" customHeight="true" outlineLevel="0" collapsed="false">
      <c r="A18" s="50"/>
      <c r="B18" s="65" t="str">
        <f aca="false">$E$6</f>
        <v> Операционные системы</v>
      </c>
      <c r="C18" s="65"/>
      <c r="D18" s="65"/>
      <c r="E18" s="65"/>
      <c r="F18" s="65"/>
      <c r="G18" s="65"/>
      <c r="H18" s="65"/>
      <c r="I18" s="65"/>
      <c r="J18" s="65"/>
      <c r="K18" s="65"/>
      <c r="L18" s="872"/>
      <c r="M18" s="872"/>
      <c r="N18" s="57" t="s">
        <v>83</v>
      </c>
      <c r="O18" s="57"/>
      <c r="P18" s="58" t="n">
        <f aca="false">COUNTIF(O8:O11,"Успевает")</f>
        <v>0</v>
      </c>
      <c r="Q18" s="99"/>
      <c r="R18" s="69"/>
    </row>
    <row r="19" customFormat="false" ht="15" hidden="false" customHeight="false" outlineLevel="0" collapsed="false">
      <c r="A19" s="50"/>
      <c r="B19" s="65" t="str">
        <f aca="false">$F$6</f>
        <v> Основы информационной безопасности</v>
      </c>
      <c r="C19" s="65"/>
      <c r="D19" s="65"/>
      <c r="E19" s="65"/>
      <c r="F19" s="65"/>
      <c r="G19" s="65"/>
      <c r="H19" s="65"/>
      <c r="I19" s="65"/>
      <c r="J19" s="65"/>
      <c r="K19" s="65"/>
      <c r="L19" s="872"/>
      <c r="M19" s="872"/>
      <c r="N19" s="98" t="s">
        <v>84</v>
      </c>
      <c r="O19" s="98"/>
      <c r="P19" s="58" t="n">
        <f aca="false">COUNTIF(O8:O11,"Не успевает")</f>
        <v>0</v>
      </c>
      <c r="Q19" s="64"/>
      <c r="R19" s="64"/>
    </row>
    <row r="20" customFormat="false" ht="15" hidden="false" customHeight="false" outlineLevel="0" collapsed="false">
      <c r="A20" s="50"/>
      <c r="B20" s="65" t="str">
        <f aca="false">$G$6</f>
        <v> Схемотехника аппаратных средств защиты информации (к.р.)</v>
      </c>
      <c r="C20" s="65"/>
      <c r="D20" s="65"/>
      <c r="E20" s="65"/>
      <c r="F20" s="65"/>
      <c r="G20" s="65"/>
      <c r="H20" s="65"/>
      <c r="I20" s="65"/>
      <c r="J20" s="65"/>
      <c r="K20" s="65"/>
      <c r="L20" s="872"/>
      <c r="M20" s="872"/>
      <c r="N20" s="98" t="s">
        <v>85</v>
      </c>
      <c r="O20" s="98"/>
      <c r="P20" s="58" t="n">
        <f aca="false">COUNTIF(Q8:Q11,"Благодарность")</f>
        <v>0</v>
      </c>
      <c r="Q20" s="48"/>
      <c r="R20" s="48"/>
    </row>
    <row r="21" customFormat="false" ht="15" hidden="false" customHeight="false" outlineLevel="0" collapsed="false">
      <c r="A21" s="50"/>
      <c r="B21" s="65" t="str">
        <f aca="false">$H$6</f>
        <v> Военно-политическая работа в Вооруженных Силах Российской Федерации</v>
      </c>
      <c r="C21" s="65"/>
      <c r="D21" s="65"/>
      <c r="E21" s="65"/>
      <c r="F21" s="65"/>
      <c r="G21" s="65"/>
      <c r="H21" s="65"/>
      <c r="I21" s="65"/>
      <c r="J21" s="65"/>
      <c r="K21" s="65"/>
      <c r="L21" s="872"/>
      <c r="M21" s="872"/>
      <c r="N21" s="98" t="s">
        <v>86</v>
      </c>
      <c r="O21" s="98"/>
      <c r="P21" s="58" t="n">
        <f aca="false">COUNTIF(Q8:Q11,"Нормально")</f>
        <v>0</v>
      </c>
      <c r="Q21" s="48"/>
      <c r="R21" s="48"/>
    </row>
    <row r="22" customFormat="false" ht="15" hidden="false" customHeight="false" outlineLevel="0" collapsed="false">
      <c r="A22" s="50"/>
      <c r="B22" s="65" t="str">
        <f aca="false">$I$6</f>
        <v>Иностранный язык</v>
      </c>
      <c r="C22" s="65"/>
      <c r="D22" s="65"/>
      <c r="E22" s="65"/>
      <c r="F22" s="65"/>
      <c r="G22" s="65"/>
      <c r="H22" s="65"/>
      <c r="I22" s="65"/>
      <c r="J22" s="65"/>
      <c r="K22" s="65"/>
      <c r="L22" s="872"/>
      <c r="M22" s="872"/>
      <c r="N22" s="98" t="s">
        <v>87</v>
      </c>
      <c r="O22" s="98"/>
      <c r="P22" s="58" t="n">
        <f aca="false">COUNTIF(Q8:Q11,"Предупреждение")</f>
        <v>0</v>
      </c>
      <c r="Q22" s="48"/>
      <c r="R22" s="48"/>
    </row>
    <row r="23" customFormat="false" ht="15" hidden="false" customHeight="false" outlineLevel="0" collapsed="false">
      <c r="A23" s="50"/>
      <c r="B23" s="65" t="str">
        <f aca="false">$J$6</f>
        <v> Радиационная, химическая и биологическая защита</v>
      </c>
      <c r="C23" s="65"/>
      <c r="D23" s="65"/>
      <c r="E23" s="65"/>
      <c r="F23" s="65"/>
      <c r="G23" s="65"/>
      <c r="H23" s="65"/>
      <c r="I23" s="65"/>
      <c r="J23" s="65"/>
      <c r="K23" s="65"/>
      <c r="L23" s="872"/>
      <c r="M23" s="872"/>
      <c r="N23" s="98" t="s">
        <v>88</v>
      </c>
      <c r="O23" s="98"/>
      <c r="P23" s="58" t="n">
        <f aca="false">COUNTIF(Q8:Q11,"Выговор")</f>
        <v>0</v>
      </c>
      <c r="Q23" s="48"/>
      <c r="R23" s="48"/>
    </row>
    <row r="24" customFormat="false" ht="15" hidden="false" customHeight="false" outlineLevel="0" collapsed="false">
      <c r="A24" s="50"/>
      <c r="B24" s="65" t="str">
        <f aca="false">$K$6</f>
        <v> Теория информации</v>
      </c>
      <c r="C24" s="65"/>
      <c r="D24" s="65"/>
      <c r="E24" s="65"/>
      <c r="F24" s="65"/>
      <c r="G24" s="65"/>
      <c r="H24" s="65"/>
      <c r="I24" s="65"/>
      <c r="J24" s="65"/>
      <c r="K24" s="65"/>
      <c r="L24" s="872"/>
      <c r="M24" s="872"/>
      <c r="N24" s="442" t="s">
        <v>1575</v>
      </c>
      <c r="O24" s="380"/>
      <c r="P24" s="143" t="n">
        <f aca="false">SUM(R8:R11)</f>
        <v>0</v>
      </c>
      <c r="Q24" s="48"/>
      <c r="R24" s="48"/>
    </row>
    <row r="25" customFormat="false" ht="15" hidden="false" customHeight="false" outlineLevel="0" collapsed="false">
      <c r="A25" s="50"/>
      <c r="B25" s="867" t="str">
        <f aca="false">$L$6</f>
        <v> Теория принятия решений в условиях информационных конфликтов</v>
      </c>
      <c r="C25" s="867"/>
      <c r="D25" s="867"/>
      <c r="E25" s="867"/>
      <c r="F25" s="867"/>
      <c r="G25" s="867"/>
      <c r="H25" s="867"/>
      <c r="I25" s="867"/>
      <c r="J25" s="867"/>
      <c r="K25" s="867"/>
      <c r="L25" s="872"/>
      <c r="M25" s="872"/>
      <c r="N25" s="67"/>
      <c r="O25" s="67"/>
      <c r="P25" s="48"/>
      <c r="Q25" s="48"/>
      <c r="R25" s="48"/>
    </row>
    <row r="26" customFormat="false" ht="15" hidden="false" customHeight="false" outlineLevel="0" collapsed="false">
      <c r="A26" s="50"/>
      <c r="B26" s="852" t="str">
        <f aca="false">$M$6</f>
        <v>Физическая культура и спорт</v>
      </c>
      <c r="C26" s="852"/>
      <c r="D26" s="852"/>
      <c r="E26" s="852"/>
      <c r="F26" s="852"/>
      <c r="G26" s="852"/>
      <c r="H26" s="852"/>
      <c r="I26" s="852"/>
      <c r="J26" s="852"/>
      <c r="K26" s="852"/>
      <c r="L26" s="872"/>
      <c r="M26" s="872"/>
      <c r="N26" s="67"/>
      <c r="O26" s="67"/>
      <c r="P26" s="48"/>
      <c r="Q26" s="48"/>
      <c r="R26" s="48"/>
    </row>
    <row r="27" customFormat="false" ht="15" hidden="false" customHeight="false" outlineLevel="0" collapsed="false">
      <c r="A27" s="50"/>
      <c r="B27" s="873"/>
      <c r="C27" s="873"/>
      <c r="D27" s="873"/>
      <c r="E27" s="873"/>
      <c r="F27" s="873"/>
      <c r="G27" s="873"/>
      <c r="H27" s="873"/>
      <c r="I27" s="873"/>
      <c r="J27" s="873"/>
      <c r="K27" s="873"/>
      <c r="L27" s="67"/>
      <c r="M27" s="67"/>
      <c r="N27" s="48"/>
      <c r="O27" s="48"/>
      <c r="P27" s="48"/>
      <c r="Q27" s="48"/>
      <c r="R27" s="48"/>
    </row>
    <row r="28" customFormat="false" ht="15" hidden="false" customHeight="false" outlineLevel="0" collapsed="false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48"/>
      <c r="O28" s="48"/>
      <c r="P28" s="48"/>
      <c r="Q28" s="48"/>
      <c r="R28" s="48"/>
    </row>
    <row r="29" customFormat="false" ht="15" hidden="false" customHeight="true" outlineLevel="0" collapsed="false">
      <c r="A29" s="50"/>
      <c r="B29" s="73" t="s">
        <v>405</v>
      </c>
      <c r="C29" s="74" t="s">
        <v>2963</v>
      </c>
      <c r="D29" s="74"/>
      <c r="E29" s="67"/>
      <c r="F29" s="52" t="s">
        <v>369</v>
      </c>
      <c r="G29" s="381" t="s">
        <v>2964</v>
      </c>
      <c r="H29" s="381"/>
      <c r="I29" s="52"/>
      <c r="J29" s="52"/>
      <c r="K29" s="52"/>
      <c r="L29" s="52"/>
      <c r="M29" s="50"/>
      <c r="N29" s="48"/>
      <c r="O29" s="48"/>
      <c r="P29" s="48"/>
      <c r="Q29" s="48"/>
      <c r="R29" s="48"/>
    </row>
    <row r="30" customFormat="false" ht="15" hidden="false" customHeight="false" outlineLevel="0" collapsed="false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48"/>
      <c r="O30" s="48"/>
      <c r="P30" s="48"/>
      <c r="Q30" s="48"/>
      <c r="R30" s="48"/>
    </row>
    <row r="31" customFormat="false" ht="15" hidden="false" customHeight="false" outlineLevel="0" collapsed="false">
      <c r="A31" s="50"/>
      <c r="B31" s="50" t="s">
        <v>93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45"/>
      <c r="O31" s="45"/>
      <c r="P31" s="45"/>
      <c r="Q31" s="48"/>
      <c r="R31" s="48"/>
    </row>
    <row r="32" customFormat="false" ht="15" hidden="false" customHeight="false" outlineLevel="0" collapsed="false">
      <c r="A32" s="50"/>
      <c r="B32" s="50" t="s">
        <v>94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45"/>
      <c r="O32" s="45"/>
      <c r="P32" s="45"/>
      <c r="Q32" s="48"/>
      <c r="R32" s="48"/>
    </row>
    <row r="33" customFormat="false" ht="15" hidden="false" customHeight="false" outlineLevel="0" collapsed="false">
      <c r="A33" s="50"/>
      <c r="B33" s="50" t="s">
        <v>95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45"/>
      <c r="O33" s="45"/>
      <c r="P33" s="45"/>
      <c r="Q33" s="48"/>
      <c r="R33" s="48"/>
    </row>
    <row r="34" customFormat="false" ht="15" hidden="false" customHeight="false" outlineLevel="0" collapsed="false">
      <c r="A34" s="50"/>
      <c r="B34" s="50" t="s">
        <v>96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45"/>
      <c r="O34" s="45"/>
      <c r="P34" s="45"/>
      <c r="Q34" s="48"/>
      <c r="R34" s="48"/>
    </row>
    <row r="35" customFormat="false" ht="15" hidden="false" customHeight="false" outlineLevel="0" collapsed="false">
      <c r="A35" s="50"/>
      <c r="B35" s="50" t="s">
        <v>97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45"/>
      <c r="O35" s="45"/>
      <c r="P35" s="45"/>
      <c r="Q35" s="48"/>
      <c r="R35" s="48"/>
    </row>
    <row r="36" customFormat="false" ht="15" hidden="false" customHeight="false" outlineLevel="0" collapsed="false">
      <c r="A36" s="45"/>
      <c r="B36" s="50" t="s">
        <v>98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45"/>
      <c r="O36" s="45"/>
      <c r="P36" s="45"/>
      <c r="Q36" s="45"/>
      <c r="R36" s="45"/>
    </row>
    <row r="37" customFormat="false" ht="15" hidden="false" customHeight="false" outlineLevel="0" collapsed="false">
      <c r="A37" s="45"/>
      <c r="B37" s="50" t="s">
        <v>99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45"/>
      <c r="O37" s="45"/>
      <c r="P37" s="45"/>
      <c r="Q37" s="45"/>
      <c r="R37" s="45"/>
    </row>
  </sheetData>
  <mergeCells count="42">
    <mergeCell ref="E1:I1"/>
    <mergeCell ref="A3:N3"/>
    <mergeCell ref="A5:A7"/>
    <mergeCell ref="B5:B7"/>
    <mergeCell ref="C5:C7"/>
    <mergeCell ref="D5:D7"/>
    <mergeCell ref="E5:G5"/>
    <mergeCell ref="H5:M5"/>
    <mergeCell ref="N5:N7"/>
    <mergeCell ref="O5:O7"/>
    <mergeCell ref="P5:P7"/>
    <mergeCell ref="Q5:Q7"/>
    <mergeCell ref="R5:R7"/>
    <mergeCell ref="I15:J15"/>
    <mergeCell ref="Q16:R16"/>
    <mergeCell ref="B17:K17"/>
    <mergeCell ref="L17:M17"/>
    <mergeCell ref="N17:O17"/>
    <mergeCell ref="B18:K18"/>
    <mergeCell ref="L18:M18"/>
    <mergeCell ref="N18:O18"/>
    <mergeCell ref="B19:K19"/>
    <mergeCell ref="L19:M19"/>
    <mergeCell ref="N19:O19"/>
    <mergeCell ref="B20:K20"/>
    <mergeCell ref="L20:M20"/>
    <mergeCell ref="N20:O20"/>
    <mergeCell ref="B21:K21"/>
    <mergeCell ref="L21:M21"/>
    <mergeCell ref="N21:O21"/>
    <mergeCell ref="B22:K22"/>
    <mergeCell ref="L22:M22"/>
    <mergeCell ref="N22:O22"/>
    <mergeCell ref="B23:K23"/>
    <mergeCell ref="L23:M23"/>
    <mergeCell ref="N23:O23"/>
    <mergeCell ref="B24:K24"/>
    <mergeCell ref="L24:M24"/>
    <mergeCell ref="B25:K25"/>
    <mergeCell ref="L25:M25"/>
    <mergeCell ref="B26:K26"/>
    <mergeCell ref="L26:M26"/>
  </mergeCells>
  <conditionalFormatting sqref="E8:E1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1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L1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11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73"/>
  <sheetViews>
    <sheetView showFormulas="false" showGridLines="true" showRowColHeaders="true" showZeros="true" rightToLeft="false" tabSelected="false" showOutlineSymbols="true" defaultGridColor="true" view="normal" topLeftCell="A7" colorId="64" zoomScale="140" zoomScaleNormal="140" zoomScalePageLayoutView="100" workbookViewId="0">
      <selection pane="topLeft" activeCell="C34" activeCellId="0" sqref="C34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71"/>
    <col collapsed="false" customWidth="true" hidden="false" outlineLevel="0" max="3" min="3" style="0" width="20.14"/>
    <col collapsed="false" customWidth="true" hidden="false" outlineLevel="0" max="5" min="5" style="0" width="10"/>
    <col collapsed="false" customWidth="true" hidden="false" outlineLevel="0" max="7" min="7" style="0" width="9"/>
    <col collapsed="false" customWidth="true" hidden="false" outlineLevel="0" max="15" min="15" style="0" width="10"/>
    <col collapsed="false" customWidth="true" hidden="false" outlineLevel="0" max="16" min="16" style="0" width="11.29"/>
    <col collapsed="false" customWidth="true" hidden="false" outlineLevel="0" max="17" min="17" style="0" width="16.57"/>
    <col collapsed="false" customWidth="true" hidden="false" outlineLevel="0" max="18" min="18" style="0" width="6.57"/>
    <col collapsed="false" customWidth="true" hidden="false" outlineLevel="0" max="19" min="19" style="0" width="4.1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5" t="s">
        <v>1</v>
      </c>
      <c r="M2" s="5"/>
      <c r="N2" s="5"/>
      <c r="O2" s="5"/>
      <c r="P2" s="75" t="n">
        <f aca="false">set!B4</f>
        <v>45608</v>
      </c>
      <c r="Q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ИУК6-71 факультета ИУК МГТУ им. Н.Э. Баумана"</f>
        <v>Успеваемость студентов за 1 семестр 24/25 учебного года по группе ИУК6-71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743" t="s">
        <v>1575</v>
      </c>
    </row>
    <row r="6" customFormat="false" ht="127.5" hidden="false" customHeight="true" outlineLevel="0" collapsed="false">
      <c r="A6" s="8"/>
      <c r="B6" s="8"/>
      <c r="C6" s="8"/>
      <c r="D6" s="9"/>
      <c r="E6" s="339" t="s">
        <v>2514</v>
      </c>
      <c r="F6" s="340" t="s">
        <v>2515</v>
      </c>
      <c r="G6" s="340" t="s">
        <v>2965</v>
      </c>
      <c r="H6" s="342" t="s">
        <v>1920</v>
      </c>
      <c r="I6" s="601" t="s">
        <v>2966</v>
      </c>
      <c r="J6" s="340" t="s">
        <v>2967</v>
      </c>
      <c r="K6" s="340" t="s">
        <v>2968</v>
      </c>
      <c r="L6" s="340" t="s">
        <v>2969</v>
      </c>
      <c r="M6" s="342" t="s">
        <v>1002</v>
      </c>
      <c r="N6" s="391"/>
      <c r="O6" s="392"/>
      <c r="P6" s="392"/>
      <c r="Q6" s="14"/>
      <c r="R6" s="743"/>
    </row>
    <row r="7" customFormat="false" ht="17.9" hidden="false" customHeight="false" outlineLevel="0" collapsed="false">
      <c r="A7" s="8"/>
      <c r="B7" s="8"/>
      <c r="C7" s="8"/>
      <c r="D7" s="9"/>
      <c r="E7" s="343" t="s">
        <v>299</v>
      </c>
      <c r="F7" s="344" t="s">
        <v>299</v>
      </c>
      <c r="G7" s="344" t="s">
        <v>2899</v>
      </c>
      <c r="H7" s="346" t="s">
        <v>741</v>
      </c>
      <c r="I7" s="826" t="s">
        <v>2648</v>
      </c>
      <c r="J7" s="344" t="s">
        <v>300</v>
      </c>
      <c r="K7" s="344" t="s">
        <v>2648</v>
      </c>
      <c r="L7" s="344" t="s">
        <v>175</v>
      </c>
      <c r="M7" s="346" t="s">
        <v>380</v>
      </c>
      <c r="N7" s="391"/>
      <c r="O7" s="392"/>
      <c r="P7" s="392"/>
      <c r="Q7" s="14"/>
      <c r="R7" s="743"/>
    </row>
    <row r="8" customFormat="false" ht="15" hidden="false" customHeight="true" outlineLevel="0" collapsed="false">
      <c r="A8" s="547" t="n">
        <v>1</v>
      </c>
      <c r="B8" s="45" t="s">
        <v>2970</v>
      </c>
      <c r="C8" s="547" t="s">
        <v>2971</v>
      </c>
      <c r="D8" s="874"/>
      <c r="E8" s="875"/>
      <c r="F8" s="876"/>
      <c r="G8" s="876"/>
      <c r="H8" s="877"/>
      <c r="I8" s="875"/>
      <c r="J8" s="876"/>
      <c r="K8" s="876"/>
      <c r="L8" s="876"/>
      <c r="M8" s="877"/>
      <c r="N8" s="878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77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2972</v>
      </c>
      <c r="C9" s="37" t="s">
        <v>2973</v>
      </c>
      <c r="D9" s="879"/>
      <c r="E9" s="880"/>
      <c r="F9" s="881"/>
      <c r="G9" s="881"/>
      <c r="H9" s="882"/>
      <c r="I9" s="880"/>
      <c r="J9" s="881"/>
      <c r="K9" s="881"/>
      <c r="L9" s="881"/>
      <c r="M9" s="882"/>
      <c r="N9" s="878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85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2974</v>
      </c>
      <c r="C10" s="37" t="s">
        <v>2975</v>
      </c>
      <c r="D10" s="879"/>
      <c r="E10" s="880"/>
      <c r="F10" s="881"/>
      <c r="G10" s="881"/>
      <c r="H10" s="882"/>
      <c r="I10" s="880"/>
      <c r="J10" s="881"/>
      <c r="K10" s="881"/>
      <c r="L10" s="881"/>
      <c r="M10" s="882"/>
      <c r="N10" s="878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85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2976</v>
      </c>
      <c r="C11" s="37" t="s">
        <v>2977</v>
      </c>
      <c r="D11" s="879"/>
      <c r="E11" s="880"/>
      <c r="F11" s="881"/>
      <c r="G11" s="881"/>
      <c r="H11" s="882"/>
      <c r="I11" s="880"/>
      <c r="J11" s="881"/>
      <c r="K11" s="881"/>
      <c r="L11" s="881"/>
      <c r="M11" s="882"/>
      <c r="N11" s="878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85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2978</v>
      </c>
      <c r="C12" s="37" t="s">
        <v>2979</v>
      </c>
      <c r="D12" s="879"/>
      <c r="E12" s="880"/>
      <c r="F12" s="881"/>
      <c r="G12" s="881"/>
      <c r="H12" s="882"/>
      <c r="I12" s="880"/>
      <c r="J12" s="881"/>
      <c r="K12" s="881"/>
      <c r="L12" s="881"/>
      <c r="M12" s="882"/>
      <c r="N12" s="878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85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2980</v>
      </c>
      <c r="C13" s="37" t="s">
        <v>2981</v>
      </c>
      <c r="D13" s="879"/>
      <c r="E13" s="880"/>
      <c r="F13" s="881"/>
      <c r="G13" s="881"/>
      <c r="H13" s="882"/>
      <c r="I13" s="880"/>
      <c r="J13" s="881"/>
      <c r="K13" s="881"/>
      <c r="L13" s="881"/>
      <c r="M13" s="882"/>
      <c r="N13" s="878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85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2982</v>
      </c>
      <c r="C14" s="37" t="s">
        <v>2983</v>
      </c>
      <c r="D14" s="879"/>
      <c r="E14" s="880"/>
      <c r="F14" s="881"/>
      <c r="G14" s="881"/>
      <c r="H14" s="882"/>
      <c r="I14" s="880"/>
      <c r="J14" s="881"/>
      <c r="K14" s="881"/>
      <c r="L14" s="881"/>
      <c r="M14" s="882"/>
      <c r="N14" s="878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85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2984</v>
      </c>
      <c r="C15" s="37" t="s">
        <v>2985</v>
      </c>
      <c r="D15" s="879"/>
      <c r="E15" s="880"/>
      <c r="F15" s="881"/>
      <c r="G15" s="881"/>
      <c r="H15" s="882"/>
      <c r="I15" s="880"/>
      <c r="J15" s="881"/>
      <c r="K15" s="881"/>
      <c r="L15" s="881"/>
      <c r="M15" s="882"/>
      <c r="N15" s="878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85" t="n">
        <f aca="false">COUNTIF(E15:M15,2)+COUNTIF(E15:M15,1)+COUNTIF(E15:M15,0)</f>
        <v>0</v>
      </c>
    </row>
    <row r="16" s="45" customFormat="true" ht="15" hidden="false" customHeight="true" outlineLevel="0" collapsed="false">
      <c r="A16" s="37" t="n">
        <v>9</v>
      </c>
      <c r="B16" s="37" t="s">
        <v>2986</v>
      </c>
      <c r="C16" s="37" t="s">
        <v>2987</v>
      </c>
      <c r="D16" s="879"/>
      <c r="E16" s="880"/>
      <c r="F16" s="881"/>
      <c r="G16" s="881"/>
      <c r="H16" s="882"/>
      <c r="I16" s="880"/>
      <c r="J16" s="881"/>
      <c r="K16" s="881"/>
      <c r="L16" s="881"/>
      <c r="M16" s="882"/>
      <c r="N16" s="878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85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2988</v>
      </c>
      <c r="C17" s="37" t="s">
        <v>2989</v>
      </c>
      <c r="D17" s="879"/>
      <c r="E17" s="880"/>
      <c r="F17" s="881"/>
      <c r="G17" s="881"/>
      <c r="H17" s="882"/>
      <c r="I17" s="880"/>
      <c r="J17" s="881"/>
      <c r="K17" s="881"/>
      <c r="L17" s="881"/>
      <c r="M17" s="882"/>
      <c r="N17" s="878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85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2990</v>
      </c>
      <c r="C18" s="37" t="s">
        <v>2991</v>
      </c>
      <c r="D18" s="879"/>
      <c r="E18" s="880"/>
      <c r="F18" s="881"/>
      <c r="G18" s="881"/>
      <c r="H18" s="882"/>
      <c r="I18" s="880"/>
      <c r="J18" s="881"/>
      <c r="K18" s="881"/>
      <c r="L18" s="881"/>
      <c r="M18" s="882"/>
      <c r="N18" s="878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85" t="n">
        <f aca="false">COUNTIF(E18:M18,2)+COUNTIF(E18:M18,1)+COUNTIF(E18:M18,0)</f>
        <v>0</v>
      </c>
    </row>
    <row r="19" customFormat="false" ht="15" hidden="false" customHeight="true" outlineLevel="0" collapsed="false">
      <c r="A19" s="37" t="n">
        <v>12</v>
      </c>
      <c r="B19" s="37" t="s">
        <v>2992</v>
      </c>
      <c r="C19" s="37" t="s">
        <v>2993</v>
      </c>
      <c r="D19" s="879"/>
      <c r="E19" s="880"/>
      <c r="F19" s="881"/>
      <c r="G19" s="881"/>
      <c r="H19" s="882"/>
      <c r="I19" s="880"/>
      <c r="J19" s="881"/>
      <c r="K19" s="881"/>
      <c r="L19" s="881"/>
      <c r="M19" s="882"/>
      <c r="N19" s="878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85" t="n">
        <f aca="false">COUNTIF(E19:M19,2)+COUNTIF(E19:M19,1)+COUNTIF(E19:M19,0)</f>
        <v>0</v>
      </c>
    </row>
    <row r="20" customFormat="false" ht="15" hidden="false" customHeight="true" outlineLevel="0" collapsed="false">
      <c r="A20" s="37" t="n">
        <v>13</v>
      </c>
      <c r="B20" s="37" t="s">
        <v>2994</v>
      </c>
      <c r="C20" s="37" t="s">
        <v>2995</v>
      </c>
      <c r="D20" s="879"/>
      <c r="E20" s="880"/>
      <c r="F20" s="881"/>
      <c r="G20" s="881"/>
      <c r="H20" s="882"/>
      <c r="I20" s="880"/>
      <c r="J20" s="881"/>
      <c r="K20" s="881"/>
      <c r="L20" s="881"/>
      <c r="M20" s="882"/>
      <c r="N20" s="878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85" t="n">
        <f aca="false">COUNTIF(E20:M20,2)+COUNTIF(E20:M20,1)+COUNTIF(E20:M20,0)</f>
        <v>0</v>
      </c>
    </row>
    <row r="21" customFormat="false" ht="15" hidden="false" customHeight="true" outlineLevel="0" collapsed="false">
      <c r="A21" s="37" t="n">
        <v>14</v>
      </c>
      <c r="B21" s="37" t="s">
        <v>2996</v>
      </c>
      <c r="C21" s="37" t="s">
        <v>2997</v>
      </c>
      <c r="D21" s="879"/>
      <c r="E21" s="880"/>
      <c r="F21" s="881"/>
      <c r="G21" s="881"/>
      <c r="H21" s="882"/>
      <c r="I21" s="880"/>
      <c r="J21" s="881"/>
      <c r="K21" s="881"/>
      <c r="L21" s="881"/>
      <c r="M21" s="882"/>
      <c r="N21" s="878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85" t="n">
        <f aca="false">COUNTIF(E21:M21,2)+COUNTIF(E21:M21,1)+COUNTIF(E21:M21,0)</f>
        <v>0</v>
      </c>
    </row>
    <row r="22" customFormat="false" ht="15" hidden="false" customHeight="true" outlineLevel="0" collapsed="false">
      <c r="A22" s="37" t="n">
        <v>15</v>
      </c>
      <c r="B22" s="37" t="s">
        <v>2998</v>
      </c>
      <c r="C22" s="37" t="s">
        <v>2999</v>
      </c>
      <c r="D22" s="879"/>
      <c r="E22" s="880"/>
      <c r="F22" s="881"/>
      <c r="G22" s="881"/>
      <c r="H22" s="882"/>
      <c r="I22" s="880"/>
      <c r="J22" s="881"/>
      <c r="K22" s="881"/>
      <c r="L22" s="881"/>
      <c r="M22" s="882"/>
      <c r="N22" s="878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85" t="n">
        <f aca="false">COUNTIF(E22:M22,2)+COUNTIF(E22:M22,1)+COUNTIF(E22:M22,0)</f>
        <v>0</v>
      </c>
    </row>
    <row r="23" customFormat="false" ht="15" hidden="false" customHeight="true" outlineLevel="0" collapsed="false">
      <c r="A23" s="37" t="n">
        <v>16</v>
      </c>
      <c r="B23" s="37" t="s">
        <v>3000</v>
      </c>
      <c r="C23" s="37" t="s">
        <v>3001</v>
      </c>
      <c r="D23" s="879"/>
      <c r="E23" s="880"/>
      <c r="F23" s="881"/>
      <c r="G23" s="881"/>
      <c r="H23" s="882"/>
      <c r="I23" s="880"/>
      <c r="J23" s="881"/>
      <c r="K23" s="881"/>
      <c r="L23" s="881"/>
      <c r="M23" s="882"/>
      <c r="N23" s="878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85" t="n">
        <f aca="false">COUNTIF(E23:M23,2)+COUNTIF(E23:M23,1)+COUNTIF(E23:M23,0)</f>
        <v>0</v>
      </c>
    </row>
    <row r="24" customFormat="false" ht="15" hidden="false" customHeight="true" outlineLevel="0" collapsed="false">
      <c r="A24" s="37" t="n">
        <v>17</v>
      </c>
      <c r="B24" s="37" t="s">
        <v>3002</v>
      </c>
      <c r="C24" s="37" t="s">
        <v>3003</v>
      </c>
      <c r="D24" s="879"/>
      <c r="E24" s="880"/>
      <c r="F24" s="881"/>
      <c r="G24" s="881"/>
      <c r="H24" s="882"/>
      <c r="I24" s="880"/>
      <c r="J24" s="881"/>
      <c r="K24" s="881"/>
      <c r="L24" s="881"/>
      <c r="M24" s="882"/>
      <c r="N24" s="878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85" t="n">
        <f aca="false">COUNTIF(E24:M24,2)+COUNTIF(E24:M24,1)+COUNTIF(E24:M24,0)</f>
        <v>0</v>
      </c>
    </row>
    <row r="25" customFormat="false" ht="15" hidden="false" customHeight="true" outlineLevel="0" collapsed="false">
      <c r="A25" s="37" t="n">
        <v>18</v>
      </c>
      <c r="B25" s="37" t="s">
        <v>3004</v>
      </c>
      <c r="C25" s="37" t="s">
        <v>3005</v>
      </c>
      <c r="D25" s="879"/>
      <c r="E25" s="880"/>
      <c r="F25" s="881"/>
      <c r="G25" s="881"/>
      <c r="H25" s="882"/>
      <c r="I25" s="880"/>
      <c r="J25" s="881"/>
      <c r="K25" s="881"/>
      <c r="L25" s="881"/>
      <c r="M25" s="882"/>
      <c r="N25" s="878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85" t="n">
        <f aca="false">COUNTIF(E25:M25,2)+COUNTIF(E25:M25,1)+COUNTIF(E25:M25,0)</f>
        <v>0</v>
      </c>
    </row>
    <row r="26" customFormat="false" ht="15" hidden="false" customHeight="true" outlineLevel="0" collapsed="false">
      <c r="A26" s="37" t="n">
        <v>19</v>
      </c>
      <c r="B26" s="37" t="s">
        <v>3006</v>
      </c>
      <c r="C26" s="37" t="s">
        <v>3007</v>
      </c>
      <c r="D26" s="879"/>
      <c r="E26" s="880"/>
      <c r="F26" s="881"/>
      <c r="G26" s="881"/>
      <c r="H26" s="882"/>
      <c r="I26" s="880"/>
      <c r="J26" s="881"/>
      <c r="K26" s="881"/>
      <c r="L26" s="881"/>
      <c r="M26" s="882"/>
      <c r="N26" s="878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85" t="n">
        <f aca="false">COUNTIF(E26:M26,2)+COUNTIF(E26:M26,1)+COUNTIF(E26:M26,0)</f>
        <v>0</v>
      </c>
    </row>
    <row r="27" customFormat="false" ht="15" hidden="false" customHeight="true" outlineLevel="0" collapsed="false">
      <c r="A27" s="37" t="n">
        <v>20</v>
      </c>
      <c r="B27" s="37" t="s">
        <v>3008</v>
      </c>
      <c r="C27" s="37" t="s">
        <v>3009</v>
      </c>
      <c r="D27" s="879"/>
      <c r="E27" s="880"/>
      <c r="F27" s="881"/>
      <c r="G27" s="881"/>
      <c r="H27" s="882"/>
      <c r="I27" s="880"/>
      <c r="J27" s="881"/>
      <c r="K27" s="881"/>
      <c r="L27" s="881"/>
      <c r="M27" s="882"/>
      <c r="N27" s="878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85" t="n">
        <f aca="false">COUNTIF(E27:M27,2)+COUNTIF(E27:M27,1)+COUNTIF(E27:M27,0)</f>
        <v>0</v>
      </c>
    </row>
    <row r="28" customFormat="false" ht="15" hidden="false" customHeight="true" outlineLevel="0" collapsed="false">
      <c r="A28" s="37" t="n">
        <v>21</v>
      </c>
      <c r="B28" s="37" t="s">
        <v>3010</v>
      </c>
      <c r="C28" s="37" t="s">
        <v>3011</v>
      </c>
      <c r="D28" s="883"/>
      <c r="E28" s="884"/>
      <c r="F28" s="885"/>
      <c r="G28" s="885"/>
      <c r="H28" s="886"/>
      <c r="I28" s="884"/>
      <c r="J28" s="885"/>
      <c r="K28" s="885"/>
      <c r="L28" s="885"/>
      <c r="M28" s="886"/>
      <c r="N28" s="878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85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3012</v>
      </c>
      <c r="C29" s="37" t="s">
        <v>3013</v>
      </c>
      <c r="D29" s="879"/>
      <c r="E29" s="880"/>
      <c r="F29" s="881"/>
      <c r="G29" s="881"/>
      <c r="H29" s="882"/>
      <c r="I29" s="880"/>
      <c r="J29" s="881"/>
      <c r="K29" s="881"/>
      <c r="L29" s="881"/>
      <c r="M29" s="882"/>
      <c r="N29" s="878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85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23</v>
      </c>
      <c r="B30" s="37" t="s">
        <v>3014</v>
      </c>
      <c r="C30" s="37" t="s">
        <v>3015</v>
      </c>
      <c r="D30" s="879"/>
      <c r="E30" s="880"/>
      <c r="F30" s="881"/>
      <c r="G30" s="881"/>
      <c r="H30" s="882"/>
      <c r="I30" s="880"/>
      <c r="J30" s="881"/>
      <c r="K30" s="881"/>
      <c r="L30" s="881"/>
      <c r="M30" s="882"/>
      <c r="N30" s="878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85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24</v>
      </c>
      <c r="B31" s="37" t="s">
        <v>3016</v>
      </c>
      <c r="C31" s="37" t="s">
        <v>3017</v>
      </c>
      <c r="D31" s="879"/>
      <c r="E31" s="880"/>
      <c r="F31" s="881"/>
      <c r="G31" s="881"/>
      <c r="H31" s="882"/>
      <c r="I31" s="880"/>
      <c r="J31" s="881"/>
      <c r="K31" s="881"/>
      <c r="L31" s="881"/>
      <c r="M31" s="882"/>
      <c r="N31" s="878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85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25</v>
      </c>
      <c r="B32" s="37" t="s">
        <v>3018</v>
      </c>
      <c r="C32" s="37" t="s">
        <v>3019</v>
      </c>
      <c r="D32" s="879"/>
      <c r="E32" s="880"/>
      <c r="F32" s="881"/>
      <c r="G32" s="881"/>
      <c r="H32" s="882"/>
      <c r="I32" s="880"/>
      <c r="J32" s="881"/>
      <c r="K32" s="881"/>
      <c r="L32" s="881"/>
      <c r="M32" s="882"/>
      <c r="N32" s="878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85" t="n">
        <f aca="false">COUNTIF(E32:M32,2)+COUNTIF(E32:M32,1)+COUNTIF(E32:M32,0)</f>
        <v>0</v>
      </c>
    </row>
    <row r="33" s="45" customFormat="true" ht="15" hidden="false" customHeight="true" outlineLevel="0" collapsed="false">
      <c r="A33" s="37" t="n">
        <v>26</v>
      </c>
      <c r="B33" s="37" t="s">
        <v>3020</v>
      </c>
      <c r="C33" s="37" t="s">
        <v>3021</v>
      </c>
      <c r="D33" s="883"/>
      <c r="E33" s="884"/>
      <c r="F33" s="885"/>
      <c r="G33" s="885"/>
      <c r="H33" s="886"/>
      <c r="I33" s="884"/>
      <c r="J33" s="885"/>
      <c r="K33" s="885"/>
      <c r="L33" s="885"/>
      <c r="M33" s="886"/>
      <c r="N33" s="878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85" t="n">
        <f aca="false">COUNTIF(E33:M33,2)+COUNTIF(E33:M33,1)+COUNTIF(E33:M33,0)</f>
        <v>0</v>
      </c>
    </row>
    <row r="34" customFormat="false" ht="15" hidden="false" customHeight="true" outlineLevel="0" collapsed="false">
      <c r="A34" s="37" t="n">
        <v>27</v>
      </c>
      <c r="B34" s="37" t="s">
        <v>3022</v>
      </c>
      <c r="C34" s="37" t="s">
        <v>3023</v>
      </c>
      <c r="D34" s="883"/>
      <c r="E34" s="884"/>
      <c r="F34" s="885"/>
      <c r="G34" s="885"/>
      <c r="H34" s="886"/>
      <c r="I34" s="884"/>
      <c r="J34" s="885"/>
      <c r="K34" s="885"/>
      <c r="L34" s="885"/>
      <c r="M34" s="886"/>
      <c r="N34" s="878" t="str">
        <f aca="false">IFERROR(AVERAGE(E34:M34),"")</f>
        <v/>
      </c>
      <c r="O34" s="84" t="str">
        <f aca="false">IF(E34&lt;&gt;"",IF(COUNTIF(E34:M34,"&lt;3"),"Не успевает","Успевает"),"")</f>
        <v/>
      </c>
      <c r="P34" s="241" t="str">
        <f aca="false">IF(D34&lt;&gt;"",(30*(set!B$5)-D34)/(30*(set!B$5))*100,"")</f>
        <v/>
      </c>
      <c r="Q34" s="85" t="str">
        <f aca="false" t="array" ref="Q34:Q34">IF(E34&lt;&gt;"",IF(N34&lt;1.85,"Выговор",IF(N34=1.85,"Выговор",IF(AND(N34&gt;1.85,N34&lt;3),"Предупреждение",IF(AND(N34&gt;3,N34&lt;4.65),"Нормально",IF(AND(N34&gt;4.65,N34&lt;5.1,E34:M34&gt;=4),"Благодарность","Нормально"))))),"")</f>
        <v/>
      </c>
      <c r="R34" s="85" t="n">
        <f aca="false">COUNTIF(E34:M34,2)+COUNTIF(E34:M34,1)+COUNTIF(E34:M34,0)</f>
        <v>0</v>
      </c>
    </row>
    <row r="35" customFormat="false" ht="15" hidden="false" customHeight="true" outlineLevel="0" collapsed="false">
      <c r="A35" s="0" t="s">
        <v>77</v>
      </c>
      <c r="D35" s="887"/>
      <c r="E35" s="888" t="e">
        <f aca="false">AVERAGE(E8:E34)</f>
        <v>#DIV/0!</v>
      </c>
      <c r="F35" s="888" t="e">
        <f aca="false">AVERAGE(F8:F34)</f>
        <v>#DIV/0!</v>
      </c>
      <c r="G35" s="888" t="e">
        <f aca="false">AVERAGE(G8:G34)</f>
        <v>#DIV/0!</v>
      </c>
      <c r="H35" s="888" t="e">
        <f aca="false">AVERAGE(H8:H34)</f>
        <v>#DIV/0!</v>
      </c>
      <c r="I35" s="888" t="e">
        <f aca="false">AVERAGE(I8:I34)</f>
        <v>#DIV/0!</v>
      </c>
      <c r="J35" s="888" t="e">
        <f aca="false">AVERAGE(J8:J34)</f>
        <v>#DIV/0!</v>
      </c>
      <c r="K35" s="888" t="e">
        <f aca="false">AVERAGE(K8:K34)</f>
        <v>#DIV/0!</v>
      </c>
      <c r="L35" s="888" t="e">
        <f aca="false">AVERAGE(L8:L34)</f>
        <v>#DIV/0!</v>
      </c>
      <c r="M35" s="888" t="e">
        <f aca="false">AVERAGE(M8:M34)</f>
        <v>#DIV/0!</v>
      </c>
    </row>
    <row r="36" customFormat="false" ht="15" hidden="false" customHeight="true" outlineLevel="0" collapsed="false">
      <c r="A36" s="0" t="s">
        <v>78</v>
      </c>
      <c r="E36" s="448" t="e">
        <f aca="false">(COUNTIF(E8:E34,5)+COUNTIF(E8:E34,4)+COUNTIF(E8:E34,3))/$Q$40*100</f>
        <v>#DIV/0!</v>
      </c>
      <c r="F36" s="448" t="e">
        <f aca="false">(COUNTIF(F8:F34,5)+COUNTIF(F8:F34,4)+COUNTIF(F8:F34,3))/$Q$40*100</f>
        <v>#DIV/0!</v>
      </c>
      <c r="G36" s="448" t="e">
        <f aca="false">(COUNTIF(G8:G34,5)+COUNTIF(G8:G34,4)+COUNTIF(G8:G34,3))/$Q$40*100</f>
        <v>#DIV/0!</v>
      </c>
      <c r="H36" s="448" t="e">
        <f aca="false">(COUNTIF(H8:H34,5)+COUNTIF(H8:H34,4)+COUNTIF(H8:H34,3))/$Q$40*100</f>
        <v>#DIV/0!</v>
      </c>
      <c r="I36" s="448" t="e">
        <f aca="false">(COUNTIF(I8:I34,5)+COUNTIF(I8:I34,4)+COUNTIF(I8:I34,3))/$Q$40*100</f>
        <v>#DIV/0!</v>
      </c>
      <c r="J36" s="448" t="e">
        <f aca="false">(COUNTIF(J8:J34,5)+COUNTIF(J8:J34,4)+COUNTIF(J8:J34,3))/$Q$40*100</f>
        <v>#DIV/0!</v>
      </c>
      <c r="K36" s="448" t="e">
        <f aca="false">(COUNTIF(K8:K34,5)+COUNTIF(K8:K34,4)+COUNTIF(K8:K34,3))/$Q$40*100</f>
        <v>#DIV/0!</v>
      </c>
      <c r="L36" s="448" t="e">
        <f aca="false">(COUNTIF(L8:L34,5)+COUNTIF(L8:L34,4)+COUNTIF(L8:L34,3))/$Q$40*100</f>
        <v>#DIV/0!</v>
      </c>
      <c r="M36" s="448" t="e">
        <f aca="false">(COUNTIF(M8:M34,5)+COUNTIF(M8:M34,4)+COUNTIF(M8:M34,3))/$Q$40*100</f>
        <v>#DIV/0!</v>
      </c>
    </row>
    <row r="37" customFormat="false" ht="15" hidden="false" customHeight="true" outlineLevel="0" collapsed="false"/>
    <row r="38" customFormat="false" ht="15" hidden="false" customHeight="true" outlineLevel="0" collapsed="false">
      <c r="B38" s="50"/>
      <c r="C38" s="50" t="s">
        <v>8</v>
      </c>
      <c r="D38" s="51" t="str">
        <f aca="false">IFERROR(AVERAGE(N8:N34),"")</f>
        <v/>
      </c>
      <c r="E38" s="52" t="s">
        <v>9</v>
      </c>
      <c r="G38" s="53" t="str">
        <f aca="false">IFERROR(COUNTIF(O8:O34,"Успевает")/Q40*100,"")</f>
        <v/>
      </c>
      <c r="H38" s="319" t="s">
        <v>79</v>
      </c>
      <c r="I38" s="319"/>
      <c r="J38" s="55" t="str">
        <f aca="false">IFERROR(AVERAGE(P8:P34),"")</f>
        <v/>
      </c>
      <c r="K38" s="52"/>
      <c r="L38" s="52"/>
      <c r="M38" s="52"/>
      <c r="N38" s="158"/>
      <c r="O38" s="48"/>
      <c r="P38" s="48"/>
      <c r="Q38" s="48"/>
    </row>
    <row r="39" customFormat="false" ht="15" hidden="false" customHeight="true" outlineLevel="0" collapsed="false">
      <c r="B39" s="50"/>
      <c r="C39" s="50"/>
      <c r="D39" s="50"/>
      <c r="E39" s="56"/>
      <c r="F39" s="56"/>
      <c r="G39" s="56"/>
      <c r="H39" s="56"/>
      <c r="I39" s="56"/>
      <c r="J39" s="56"/>
      <c r="K39" s="56"/>
      <c r="L39" s="56"/>
      <c r="M39" s="56"/>
      <c r="N39" s="56"/>
    </row>
    <row r="40" customFormat="false" ht="15" hidden="false" customHeight="true" outlineLevel="0" collapsed="false">
      <c r="A40" s="50"/>
      <c r="B40" s="61" t="s">
        <v>81</v>
      </c>
      <c r="C40" s="61"/>
      <c r="D40" s="61"/>
      <c r="E40" s="61"/>
      <c r="F40" s="61"/>
      <c r="G40" s="61"/>
      <c r="H40" s="61"/>
      <c r="I40" s="61"/>
      <c r="J40" s="61"/>
      <c r="K40" s="61" t="s">
        <v>82</v>
      </c>
      <c r="L40" s="61"/>
      <c r="M40" s="61"/>
      <c r="N40" s="56"/>
      <c r="O40" s="57" t="s">
        <v>80</v>
      </c>
      <c r="P40" s="57"/>
      <c r="Q40" s="58" t="n">
        <f aca="false">SUM(Q41,Q42)</f>
        <v>0</v>
      </c>
    </row>
    <row r="41" customFormat="false" ht="15" hidden="false" customHeight="true" outlineLevel="0" collapsed="false">
      <c r="A41" s="50"/>
      <c r="B41" s="65" t="str">
        <f aca="false">$E$6</f>
        <v> Разработка Интернет-приложений</v>
      </c>
      <c r="C41" s="65"/>
      <c r="D41" s="65"/>
      <c r="E41" s="65"/>
      <c r="F41" s="65"/>
      <c r="G41" s="65"/>
      <c r="H41" s="65"/>
      <c r="I41" s="65"/>
      <c r="J41" s="65"/>
      <c r="K41" s="889"/>
      <c r="L41" s="889"/>
      <c r="M41" s="889"/>
      <c r="N41" s="67"/>
      <c r="O41" s="57" t="s">
        <v>83</v>
      </c>
      <c r="P41" s="57"/>
      <c r="Q41" s="58" t="n">
        <f aca="false">COUNTIF(O8:O34,"Успевает")</f>
        <v>0</v>
      </c>
    </row>
    <row r="42" customFormat="false" ht="15" hidden="false" customHeight="true" outlineLevel="0" collapsed="false">
      <c r="A42" s="50"/>
      <c r="B42" s="65" t="str">
        <f aca="false">$F$6</f>
        <v> Разработка приложений для мобильных устройств</v>
      </c>
      <c r="C42" s="65"/>
      <c r="D42" s="65"/>
      <c r="E42" s="65"/>
      <c r="F42" s="65"/>
      <c r="G42" s="65"/>
      <c r="H42" s="65"/>
      <c r="I42" s="65"/>
      <c r="J42" s="65"/>
      <c r="K42" s="889"/>
      <c r="L42" s="889"/>
      <c r="M42" s="889"/>
      <c r="N42" s="67"/>
      <c r="O42" s="98" t="s">
        <v>84</v>
      </c>
      <c r="P42" s="98"/>
      <c r="Q42" s="58" t="n">
        <f aca="false">COUNTIF(O8:O34,"Не успевает")</f>
        <v>0</v>
      </c>
    </row>
    <row r="43" customFormat="false" ht="15" hidden="false" customHeight="true" outlineLevel="0" collapsed="false">
      <c r="A43" s="50"/>
      <c r="B43" s="65" t="str">
        <f aca="false">$G$6</f>
        <v> Сертификация и лицензирование</v>
      </c>
      <c r="C43" s="65"/>
      <c r="D43" s="65"/>
      <c r="E43" s="65"/>
      <c r="F43" s="65"/>
      <c r="G43" s="65"/>
      <c r="H43" s="65"/>
      <c r="I43" s="65"/>
      <c r="J43" s="65"/>
      <c r="K43" s="889"/>
      <c r="L43" s="889"/>
      <c r="M43" s="889"/>
      <c r="N43" s="67"/>
      <c r="O43" s="98" t="s">
        <v>85</v>
      </c>
      <c r="P43" s="98"/>
      <c r="Q43" s="58" t="n">
        <f aca="false">COUNTIF(Q8:Q34,"Благодарность")</f>
        <v>0</v>
      </c>
    </row>
    <row r="44" customFormat="false" ht="15" hidden="false" customHeight="true" outlineLevel="0" collapsed="false">
      <c r="A44" s="50"/>
      <c r="B44" s="65" t="str">
        <f aca="false">$H$6</f>
        <v> Технологии обработки больших данных</v>
      </c>
      <c r="C44" s="65"/>
      <c r="D44" s="65"/>
      <c r="E44" s="65"/>
      <c r="F44" s="65"/>
      <c r="G44" s="65"/>
      <c r="H44" s="65"/>
      <c r="I44" s="65"/>
      <c r="J44" s="65"/>
      <c r="K44" s="889"/>
      <c r="L44" s="889"/>
      <c r="M44" s="889"/>
      <c r="N44" s="67"/>
      <c r="O44" s="98" t="s">
        <v>86</v>
      </c>
      <c r="P44" s="98"/>
      <c r="Q44" s="58" t="n">
        <f aca="false">COUNTIF(Q8:Q34,"Нормально")</f>
        <v>0</v>
      </c>
    </row>
    <row r="45" customFormat="false" ht="15" hidden="false" customHeight="true" outlineLevel="0" collapsed="false">
      <c r="A45" s="50"/>
      <c r="B45" s="65" t="str">
        <f aca="false">$I$6</f>
        <v> Аппаратные средства вычислительной техники (к.п.)</v>
      </c>
      <c r="C45" s="65"/>
      <c r="D45" s="65"/>
      <c r="E45" s="65"/>
      <c r="F45" s="65"/>
      <c r="G45" s="65"/>
      <c r="H45" s="65"/>
      <c r="I45" s="65"/>
      <c r="J45" s="65"/>
      <c r="K45" s="889"/>
      <c r="L45" s="889"/>
      <c r="M45" s="889"/>
      <c r="N45" s="67"/>
      <c r="O45" s="98" t="s">
        <v>87</v>
      </c>
      <c r="P45" s="98"/>
      <c r="Q45" s="58" t="n">
        <f aca="false">COUNTIF(Q8:Q34,"Предупреждение")</f>
        <v>0</v>
      </c>
    </row>
    <row r="46" customFormat="false" ht="15" hidden="false" customHeight="true" outlineLevel="0" collapsed="false">
      <c r="A46" s="50"/>
      <c r="B46" s="65" t="str">
        <f aca="false">$J$6</f>
        <v> Безопасность жизнедеятельности</v>
      </c>
      <c r="C46" s="65"/>
      <c r="D46" s="65"/>
      <c r="E46" s="65"/>
      <c r="F46" s="65"/>
      <c r="G46" s="65"/>
      <c r="H46" s="65"/>
      <c r="I46" s="65"/>
      <c r="J46" s="65"/>
      <c r="K46" s="889"/>
      <c r="L46" s="889"/>
      <c r="M46" s="889"/>
      <c r="N46" s="67"/>
      <c r="O46" s="98" t="s">
        <v>88</v>
      </c>
      <c r="P46" s="98"/>
      <c r="Q46" s="58" t="n">
        <f aca="false">COUNTIF(Q8:Q34,"Выговор")</f>
        <v>0</v>
      </c>
    </row>
    <row r="47" customFormat="false" ht="15" hidden="false" customHeight="true" outlineLevel="0" collapsed="false">
      <c r="A47" s="50"/>
      <c r="B47" s="65" t="str">
        <f aca="false">$K$6</f>
        <v> Основы разработки устройств контроля доступа</v>
      </c>
      <c r="C47" s="65"/>
      <c r="D47" s="65"/>
      <c r="E47" s="65"/>
      <c r="F47" s="65"/>
      <c r="G47" s="65"/>
      <c r="H47" s="65"/>
      <c r="I47" s="65"/>
      <c r="J47" s="65"/>
      <c r="K47" s="889"/>
      <c r="L47" s="889"/>
      <c r="M47" s="889"/>
      <c r="N47" s="67"/>
      <c r="O47" s="442" t="s">
        <v>1575</v>
      </c>
      <c r="P47" s="380"/>
      <c r="Q47" s="143" t="n">
        <f aca="false">SUM(R8:R34)</f>
        <v>0</v>
      </c>
    </row>
    <row r="48" customFormat="false" ht="15" hidden="false" customHeight="true" outlineLevel="0" collapsed="false">
      <c r="A48" s="50"/>
      <c r="B48" s="65" t="str">
        <f aca="false">$L$6</f>
        <v> Правоведение</v>
      </c>
      <c r="C48" s="65"/>
      <c r="D48" s="65"/>
      <c r="E48" s="65"/>
      <c r="F48" s="65"/>
      <c r="G48" s="65"/>
      <c r="H48" s="65"/>
      <c r="I48" s="65"/>
      <c r="J48" s="65"/>
      <c r="K48" s="889"/>
      <c r="L48" s="889"/>
      <c r="M48" s="889"/>
      <c r="N48" s="67"/>
      <c r="O48" s="67"/>
      <c r="P48" s="67"/>
      <c r="Q48" s="48"/>
    </row>
    <row r="49" customFormat="false" ht="15" hidden="false" customHeight="true" outlineLevel="0" collapsed="false">
      <c r="A49" s="50"/>
      <c r="B49" s="65" t="str">
        <f aca="false">$M$6</f>
        <v> Экономика</v>
      </c>
      <c r="C49" s="65"/>
      <c r="D49" s="65"/>
      <c r="E49" s="65"/>
      <c r="F49" s="65"/>
      <c r="G49" s="65"/>
      <c r="H49" s="65"/>
      <c r="I49" s="65"/>
      <c r="J49" s="65"/>
      <c r="K49" s="890"/>
      <c r="L49" s="890"/>
      <c r="M49" s="890"/>
      <c r="N49" s="50"/>
      <c r="O49" s="50"/>
      <c r="P49" s="48"/>
      <c r="Q49" s="48"/>
    </row>
    <row r="50" customFormat="false" ht="15" hidden="false" customHeight="true" outlineLevel="0" collapsed="false">
      <c r="A50" s="50"/>
      <c r="B50" s="73" t="s">
        <v>405</v>
      </c>
      <c r="C50" s="327" t="s">
        <v>3024</v>
      </c>
      <c r="D50" s="327"/>
      <c r="E50" s="327"/>
      <c r="F50" s="52" t="s">
        <v>369</v>
      </c>
      <c r="G50" s="300" t="s">
        <v>3025</v>
      </c>
      <c r="H50" s="52"/>
      <c r="I50" s="52"/>
      <c r="J50" s="52"/>
      <c r="K50" s="52"/>
      <c r="L50" s="50"/>
      <c r="M50" s="50"/>
      <c r="N50" s="50"/>
      <c r="O50" s="50"/>
      <c r="P50" s="48"/>
      <c r="Q50" s="48"/>
    </row>
    <row r="51" customFormat="false" ht="15" hidden="false" customHeight="tru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48"/>
      <c r="Q51" s="48"/>
    </row>
    <row r="52" customFormat="false" ht="15" hidden="false" customHeight="true" outlineLevel="0" collapsed="false">
      <c r="A52" s="50"/>
      <c r="B52" s="50" t="s">
        <v>93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48"/>
      <c r="Q52" s="48"/>
    </row>
    <row r="53" customFormat="false" ht="15" hidden="false" customHeight="true" outlineLevel="0" collapsed="false">
      <c r="A53" s="50"/>
      <c r="B53" s="50" t="s">
        <v>94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48"/>
      <c r="Q53" s="48"/>
    </row>
    <row r="54" customFormat="false" ht="15" hidden="false" customHeight="true" outlineLevel="0" collapsed="false">
      <c r="A54" s="50"/>
      <c r="B54" s="50" t="s">
        <v>95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48"/>
      <c r="Q54" s="48"/>
    </row>
    <row r="55" customFormat="false" ht="15" hidden="false" customHeight="true" outlineLevel="0" collapsed="false">
      <c r="A55" s="50"/>
      <c r="B55" s="50" t="s">
        <v>96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48"/>
      <c r="Q55" s="48"/>
    </row>
    <row r="56" customFormat="false" ht="15" hidden="false" customHeight="true" outlineLevel="0" collapsed="false">
      <c r="A56" s="50"/>
      <c r="B56" s="50" t="s">
        <v>97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48"/>
      <c r="Q56" s="48"/>
    </row>
    <row r="57" customFormat="false" ht="15" hidden="false" customHeight="true" outlineLevel="0" collapsed="false">
      <c r="A57" s="50"/>
      <c r="B57" s="50" t="s">
        <v>98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48"/>
      <c r="Q57" s="48"/>
    </row>
    <row r="58" customFormat="false" ht="15" hidden="false" customHeight="true" outlineLevel="0" collapsed="false">
      <c r="A58" s="50"/>
      <c r="B58" s="50" t="s">
        <v>99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67"/>
      <c r="Q58" s="48"/>
    </row>
    <row r="59" customFormat="false" ht="15" hidden="false" customHeight="true" outlineLevel="0" collapsed="false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67"/>
      <c r="Q59" s="48"/>
    </row>
    <row r="60" customFormat="false" ht="15.75" hidden="false" customHeight="true" outlineLevel="0" collapsed="false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67"/>
      <c r="Q60" s="48"/>
    </row>
    <row r="61" customFormat="false" ht="15.75" hidden="false" customHeight="true" outlineLevel="0" collapsed="false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48"/>
      <c r="Q61" s="48"/>
    </row>
    <row r="62" customFormat="false" ht="15.75" hidden="false" customHeight="true" outlineLevel="0" collapsed="false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48"/>
      <c r="Q62" s="48"/>
    </row>
    <row r="63" customFormat="false" ht="15.75" hidden="false" customHeight="true" outlineLevel="0" collapsed="false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48"/>
      <c r="Q63" s="48"/>
    </row>
    <row r="64" customFormat="false" ht="15.75" hidden="false" customHeight="true" outlineLevel="0" collapsed="false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48"/>
      <c r="Q64" s="48"/>
    </row>
    <row r="65" customFormat="false" ht="15.75" hidden="false" customHeight="true" outlineLevel="0" collapsed="false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48"/>
      <c r="Q65" s="48"/>
    </row>
    <row r="66" customFormat="false" ht="15.75" hidden="false" customHeight="true" outlineLevel="0" collapsed="false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48"/>
      <c r="Q66" s="48"/>
    </row>
    <row r="67" customFormat="false" ht="15.75" hidden="false" customHeight="true" outlineLevel="0" collapsed="false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48"/>
      <c r="Q67" s="48"/>
    </row>
    <row r="68" customFormat="false" ht="15.75" hidden="false" customHeight="true" outlineLevel="0" collapsed="false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48"/>
      <c r="Q68" s="48"/>
    </row>
    <row r="69" customFormat="false" ht="15.75" hidden="false" customHeight="true" outlineLevel="0" collapsed="false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48"/>
      <c r="Q69" s="48"/>
    </row>
    <row r="70" customFormat="false" ht="15.75" hidden="false" customHeight="true" outlineLevel="0" collapsed="false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48"/>
      <c r="Q70" s="48"/>
    </row>
    <row r="71" customFormat="false" ht="15.75" hidden="false" customHeight="true" outlineLevel="0" collapsed="false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48"/>
      <c r="Q71" s="48"/>
    </row>
    <row r="72" customFormat="false" ht="15.75" hidden="false" customHeight="true" outlineLevel="0" collapsed="false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48"/>
      <c r="Q72" s="48"/>
    </row>
    <row r="73" customFormat="false" ht="15" hidden="false" customHeight="true" outlineLevel="0" collapsed="false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</row>
  </sheetData>
  <mergeCells count="43">
    <mergeCell ref="E1:H1"/>
    <mergeCell ref="L2:O2"/>
    <mergeCell ref="A3:O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8:I38"/>
    <mergeCell ref="B40:J40"/>
    <mergeCell ref="K40:M40"/>
    <mergeCell ref="O40:P40"/>
    <mergeCell ref="B41:J41"/>
    <mergeCell ref="K41:M41"/>
    <mergeCell ref="O41:P41"/>
    <mergeCell ref="B42:J42"/>
    <mergeCell ref="K42:M42"/>
    <mergeCell ref="O42:P42"/>
    <mergeCell ref="B43:J43"/>
    <mergeCell ref="K43:M43"/>
    <mergeCell ref="O43:P43"/>
    <mergeCell ref="B44:J44"/>
    <mergeCell ref="K44:M44"/>
    <mergeCell ref="O44:P44"/>
    <mergeCell ref="B45:J45"/>
    <mergeCell ref="K45:M45"/>
    <mergeCell ref="O45:P45"/>
    <mergeCell ref="B46:J46"/>
    <mergeCell ref="K46:M46"/>
    <mergeCell ref="O46:P46"/>
    <mergeCell ref="B47:J47"/>
    <mergeCell ref="K47:M47"/>
    <mergeCell ref="B48:J48"/>
    <mergeCell ref="K48:M48"/>
    <mergeCell ref="B49:J49"/>
    <mergeCell ref="K49:M49"/>
    <mergeCell ref="C50:E50"/>
  </mergeCells>
  <conditionalFormatting sqref="E29:L3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29:M33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L16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6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5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35:M35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4:L34 E8:L15 E17:L2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5 M34 M17:M28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6"/>
  <sheetViews>
    <sheetView showFormulas="false" showGridLines="true" showRowColHeaders="true" showZeros="true" rightToLeft="false" tabSelected="false" showOutlineSymbols="true" defaultGridColor="true" view="normal" topLeftCell="A3" colorId="64" zoomScale="140" zoomScaleNormal="140" zoomScalePageLayoutView="100" workbookViewId="0">
      <selection pane="topLeft" activeCell="A12" activeCellId="0" sqref="A12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57"/>
    <col collapsed="false" customWidth="true" hidden="false" outlineLevel="0" max="3" min="3" style="0" width="19.57"/>
    <col collapsed="false" customWidth="true" hidden="false" outlineLevel="0" max="18" min="18" style="0" width="10.14"/>
    <col collapsed="false" customWidth="true" hidden="false" outlineLevel="0" max="19" min="19" style="0" width="13.29"/>
    <col collapsed="false" customWidth="true" hidden="false" outlineLevel="0" max="20" min="20" style="0" width="4.29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M2" s="0" t="s">
        <v>1</v>
      </c>
      <c r="P2" s="389" t="n">
        <f aca="false">set!B4</f>
        <v>45608</v>
      </c>
      <c r="S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ИУК6-91 факультета ИУК МГТУ им. Н.Э. Баумана"</f>
        <v>Успеваемость студентов за 1 семестр 24/25 учебного года по группе ИУК6-91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0" t="s">
        <v>6</v>
      </c>
      <c r="F5" s="10"/>
      <c r="G5" s="10"/>
      <c r="H5" s="10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743" t="s">
        <v>1575</v>
      </c>
    </row>
    <row r="6" customFormat="false" ht="115.5" hidden="false" customHeight="true" outlineLevel="0" collapsed="false">
      <c r="A6" s="8"/>
      <c r="B6" s="8"/>
      <c r="C6" s="8"/>
      <c r="D6" s="9"/>
      <c r="E6" s="339" t="s">
        <v>3026</v>
      </c>
      <c r="F6" s="340" t="s">
        <v>3027</v>
      </c>
      <c r="G6" s="340" t="s">
        <v>3028</v>
      </c>
      <c r="H6" s="341" t="s">
        <v>3029</v>
      </c>
      <c r="I6" s="339" t="s">
        <v>3030</v>
      </c>
      <c r="J6" s="340" t="s">
        <v>3031</v>
      </c>
      <c r="K6" s="340" t="s">
        <v>467</v>
      </c>
      <c r="L6" s="340" t="s">
        <v>3032</v>
      </c>
      <c r="M6" s="342" t="s">
        <v>3033</v>
      </c>
      <c r="N6" s="391"/>
      <c r="O6" s="392"/>
      <c r="P6" s="392"/>
      <c r="Q6" s="14"/>
      <c r="R6" s="743"/>
    </row>
    <row r="7" customFormat="false" ht="17.9" hidden="false" customHeight="false" outlineLevel="0" collapsed="false">
      <c r="A7" s="8"/>
      <c r="B7" s="8"/>
      <c r="C7" s="8"/>
      <c r="D7" s="9"/>
      <c r="E7" s="343" t="s">
        <v>2899</v>
      </c>
      <c r="F7" s="344" t="s">
        <v>2899</v>
      </c>
      <c r="G7" s="344" t="s">
        <v>2647</v>
      </c>
      <c r="H7" s="345" t="s">
        <v>2899</v>
      </c>
      <c r="I7" s="343" t="s">
        <v>2899</v>
      </c>
      <c r="J7" s="344" t="s">
        <v>2899</v>
      </c>
      <c r="K7" s="344" t="s">
        <v>2648</v>
      </c>
      <c r="L7" s="344" t="s">
        <v>2648</v>
      </c>
      <c r="M7" s="346" t="s">
        <v>380</v>
      </c>
      <c r="N7" s="391"/>
      <c r="O7" s="392"/>
      <c r="P7" s="392"/>
      <c r="Q7" s="14"/>
      <c r="R7" s="743"/>
    </row>
    <row r="8" customFormat="false" ht="15" hidden="false" customHeight="true" outlineLevel="0" collapsed="false">
      <c r="A8" s="25" t="n">
        <v>1</v>
      </c>
      <c r="B8" s="25" t="s">
        <v>3034</v>
      </c>
      <c r="C8" s="25" t="s">
        <v>3035</v>
      </c>
      <c r="D8" s="891"/>
      <c r="E8" s="892"/>
      <c r="F8" s="893"/>
      <c r="G8" s="894"/>
      <c r="H8" s="895"/>
      <c r="I8" s="892"/>
      <c r="J8" s="893"/>
      <c r="K8" s="893"/>
      <c r="L8" s="893"/>
      <c r="M8" s="896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84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77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3036</v>
      </c>
      <c r="C9" s="37" t="s">
        <v>3037</v>
      </c>
      <c r="D9" s="897"/>
      <c r="E9" s="898"/>
      <c r="F9" s="899"/>
      <c r="G9" s="899"/>
      <c r="H9" s="895"/>
      <c r="I9" s="900"/>
      <c r="J9" s="901"/>
      <c r="K9" s="901"/>
      <c r="L9" s="899"/>
      <c r="M9" s="902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117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85" t="n">
        <f aca="false">COUNTIF(E9:M9,2)+COUNTIF(E9:M9,1)+COUNTIF(E9:M9,0)</f>
        <v>0</v>
      </c>
    </row>
    <row r="10" customFormat="false" ht="15" hidden="false" customHeight="true" outlineLevel="0" collapsed="false">
      <c r="A10" s="37" t="n">
        <v>3</v>
      </c>
      <c r="B10" s="37" t="s">
        <v>3038</v>
      </c>
      <c r="C10" s="37" t="s">
        <v>3039</v>
      </c>
      <c r="D10" s="897"/>
      <c r="E10" s="898"/>
      <c r="F10" s="901"/>
      <c r="G10" s="901"/>
      <c r="H10" s="903"/>
      <c r="I10" s="900"/>
      <c r="J10" s="901"/>
      <c r="K10" s="901"/>
      <c r="L10" s="899"/>
      <c r="M10" s="902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117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85" t="n">
        <f aca="false">COUNTIF(E10:M10,2)+COUNTIF(E10:M10,1)+COUNTIF(E10:M10,0)</f>
        <v>0</v>
      </c>
    </row>
    <row r="11" customFormat="false" ht="15" hidden="false" customHeight="true" outlineLevel="0" collapsed="false">
      <c r="A11" s="37" t="n">
        <v>4</v>
      </c>
      <c r="B11" s="37" t="s">
        <v>3040</v>
      </c>
      <c r="C11" s="37" t="s">
        <v>3041</v>
      </c>
      <c r="D11" s="897"/>
      <c r="E11" s="898"/>
      <c r="F11" s="901"/>
      <c r="G11" s="901"/>
      <c r="H11" s="903"/>
      <c r="I11" s="900"/>
      <c r="J11" s="901"/>
      <c r="K11" s="901"/>
      <c r="L11" s="899"/>
      <c r="M11" s="902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117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85" t="n">
        <f aca="false">COUNTIF(E11:M11,2)+COUNTIF(E11:M11,1)+COUNTIF(E11:M11,0)</f>
        <v>0</v>
      </c>
    </row>
    <row r="12" customFormat="false" ht="15" hidden="false" customHeight="true" outlineLevel="0" collapsed="false">
      <c r="A12" s="37" t="n">
        <v>5</v>
      </c>
      <c r="B12" s="37" t="s">
        <v>3042</v>
      </c>
      <c r="C12" s="37" t="s">
        <v>3043</v>
      </c>
      <c r="D12" s="897"/>
      <c r="E12" s="898"/>
      <c r="F12" s="901"/>
      <c r="G12" s="901"/>
      <c r="H12" s="903"/>
      <c r="I12" s="900"/>
      <c r="J12" s="901"/>
      <c r="K12" s="901"/>
      <c r="L12" s="899"/>
      <c r="M12" s="902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117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85" t="n">
        <f aca="false">COUNTIF(E12:M12,2)+COUNTIF(E12:M12,1)+COUNTIF(E12:M12,0)</f>
        <v>0</v>
      </c>
    </row>
    <row r="13" customFormat="false" ht="15" hidden="false" customHeight="true" outlineLevel="0" collapsed="false">
      <c r="A13" s="37" t="n">
        <v>6</v>
      </c>
      <c r="B13" s="37" t="s">
        <v>3044</v>
      </c>
      <c r="C13" s="37" t="s">
        <v>3045</v>
      </c>
      <c r="D13" s="897"/>
      <c r="E13" s="898"/>
      <c r="F13" s="901"/>
      <c r="G13" s="901"/>
      <c r="H13" s="903"/>
      <c r="I13" s="900"/>
      <c r="J13" s="901"/>
      <c r="K13" s="901"/>
      <c r="L13" s="899"/>
      <c r="M13" s="902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117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85" t="n">
        <f aca="false">COUNTIF(E13:M13,2)+COUNTIF(E13:M13,1)+COUNTIF(E13:M13,0)</f>
        <v>0</v>
      </c>
    </row>
    <row r="14" customFormat="false" ht="15" hidden="false" customHeight="true" outlineLevel="0" collapsed="false">
      <c r="A14" s="37" t="n">
        <v>7</v>
      </c>
      <c r="B14" s="37" t="s">
        <v>3046</v>
      </c>
      <c r="C14" s="37" t="s">
        <v>3047</v>
      </c>
      <c r="D14" s="897"/>
      <c r="E14" s="898"/>
      <c r="F14" s="901"/>
      <c r="G14" s="901"/>
      <c r="H14" s="903"/>
      <c r="I14" s="900"/>
      <c r="J14" s="901"/>
      <c r="K14" s="901"/>
      <c r="L14" s="899"/>
      <c r="M14" s="902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117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85" t="n">
        <f aca="false">COUNTIF(E14:M14,2)+COUNTIF(E14:M14,1)+COUNTIF(E14:M14,0)</f>
        <v>0</v>
      </c>
    </row>
    <row r="15" customFormat="false" ht="15" hidden="false" customHeight="true" outlineLevel="0" collapsed="false">
      <c r="A15" s="37" t="n">
        <v>8</v>
      </c>
      <c r="B15" s="37" t="s">
        <v>3048</v>
      </c>
      <c r="C15" s="37" t="s">
        <v>3049</v>
      </c>
      <c r="D15" s="897"/>
      <c r="E15" s="898"/>
      <c r="F15" s="901"/>
      <c r="G15" s="901"/>
      <c r="H15" s="903"/>
      <c r="I15" s="900"/>
      <c r="J15" s="901"/>
      <c r="K15" s="901"/>
      <c r="L15" s="899"/>
      <c r="M15" s="902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117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85" t="n">
        <f aca="false">COUNTIF(E15:M15,2)+COUNTIF(E15:M15,1)+COUNTIF(E15:M15,0)</f>
        <v>0</v>
      </c>
    </row>
    <row r="16" customFormat="false" ht="15" hidden="false" customHeight="true" outlineLevel="0" collapsed="false">
      <c r="A16" s="37" t="n">
        <v>9</v>
      </c>
      <c r="B16" s="37" t="s">
        <v>3050</v>
      </c>
      <c r="C16" s="37" t="s">
        <v>3051</v>
      </c>
      <c r="D16" s="897"/>
      <c r="E16" s="898"/>
      <c r="F16" s="901"/>
      <c r="G16" s="901"/>
      <c r="H16" s="895"/>
      <c r="I16" s="898"/>
      <c r="J16" s="901"/>
      <c r="K16" s="901"/>
      <c r="L16" s="899"/>
      <c r="M16" s="902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117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85" t="n">
        <f aca="false">COUNTIF(E16:M16,2)+COUNTIF(E16:M16,1)+COUNTIF(E16:M16,0)</f>
        <v>0</v>
      </c>
    </row>
    <row r="17" customFormat="false" ht="15" hidden="false" customHeight="true" outlineLevel="0" collapsed="false">
      <c r="A17" s="37" t="n">
        <v>10</v>
      </c>
      <c r="B17" s="37" t="s">
        <v>3052</v>
      </c>
      <c r="C17" s="37" t="s">
        <v>3053</v>
      </c>
      <c r="D17" s="897"/>
      <c r="E17" s="898"/>
      <c r="F17" s="901"/>
      <c r="G17" s="901"/>
      <c r="H17" s="895"/>
      <c r="I17" s="898"/>
      <c r="J17" s="901"/>
      <c r="K17" s="901"/>
      <c r="L17" s="899"/>
      <c r="M17" s="902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117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85" t="n">
        <f aca="false">COUNTIF(E17:M17,2)+COUNTIF(E17:M17,1)+COUNTIF(E17:M17,0)</f>
        <v>0</v>
      </c>
    </row>
    <row r="18" customFormat="false" ht="15" hidden="false" customHeight="true" outlineLevel="0" collapsed="false">
      <c r="A18" s="37" t="n">
        <v>11</v>
      </c>
      <c r="B18" s="37" t="s">
        <v>3054</v>
      </c>
      <c r="C18" s="37" t="s">
        <v>3055</v>
      </c>
      <c r="D18" s="897"/>
      <c r="E18" s="898"/>
      <c r="F18" s="901"/>
      <c r="G18" s="901"/>
      <c r="H18" s="895"/>
      <c r="I18" s="898"/>
      <c r="J18" s="901"/>
      <c r="K18" s="901"/>
      <c r="L18" s="901"/>
      <c r="M18" s="902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117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85" t="n">
        <f aca="false">COUNTIF(E18:M18,2)+COUNTIF(E18:M18,1)+COUNTIF(E18:M18,0)</f>
        <v>0</v>
      </c>
    </row>
    <row r="19" s="45" customFormat="true" ht="15" hidden="false" customHeight="true" outlineLevel="0" collapsed="false">
      <c r="A19" s="37" t="n">
        <v>12</v>
      </c>
      <c r="B19" s="37" t="s">
        <v>3056</v>
      </c>
      <c r="C19" s="37" t="s">
        <v>3057</v>
      </c>
      <c r="D19" s="891"/>
      <c r="E19" s="898"/>
      <c r="F19" s="901"/>
      <c r="G19" s="901"/>
      <c r="H19" s="895"/>
      <c r="I19" s="898"/>
      <c r="J19" s="901"/>
      <c r="K19" s="901"/>
      <c r="L19" s="901"/>
      <c r="M19" s="902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117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85" t="n">
        <f aca="false">COUNTIF(E19:M19,2)+COUNTIF(E19:M19,1)+COUNTIF(E19:M19,0)</f>
        <v>0</v>
      </c>
    </row>
    <row r="20" s="45" customFormat="true" ht="15" hidden="false" customHeight="true" outlineLevel="0" collapsed="false">
      <c r="A20" s="37" t="n">
        <v>13</v>
      </c>
      <c r="B20" s="37" t="s">
        <v>3058</v>
      </c>
      <c r="C20" s="37" t="s">
        <v>3059</v>
      </c>
      <c r="D20" s="897"/>
      <c r="E20" s="898"/>
      <c r="F20" s="901"/>
      <c r="G20" s="901"/>
      <c r="H20" s="895"/>
      <c r="I20" s="900"/>
      <c r="J20" s="901"/>
      <c r="K20" s="901"/>
      <c r="L20" s="899"/>
      <c r="M20" s="902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117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85" t="n">
        <f aca="false">COUNTIF(E20:M20,2)+COUNTIF(E20:M20,1)+COUNTIF(E20:M20,0)</f>
        <v>0</v>
      </c>
    </row>
    <row r="21" s="45" customFormat="true" ht="15" hidden="false" customHeight="true" outlineLevel="0" collapsed="false">
      <c r="A21" s="37" t="n">
        <v>14</v>
      </c>
      <c r="B21" s="37" t="s">
        <v>3060</v>
      </c>
      <c r="C21" s="37" t="s">
        <v>3061</v>
      </c>
      <c r="D21" s="897"/>
      <c r="E21" s="898"/>
      <c r="F21" s="901"/>
      <c r="G21" s="901"/>
      <c r="H21" s="903"/>
      <c r="I21" s="900"/>
      <c r="J21" s="901"/>
      <c r="K21" s="901"/>
      <c r="L21" s="899"/>
      <c r="M21" s="902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117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85" t="n">
        <f aca="false">COUNTIF(E21:M21,2)+COUNTIF(E21:M21,1)+COUNTIF(E21:M21,0)</f>
        <v>0</v>
      </c>
    </row>
    <row r="22" s="45" customFormat="true" ht="15" hidden="false" customHeight="true" outlineLevel="0" collapsed="false">
      <c r="A22" s="37" t="n">
        <v>15</v>
      </c>
      <c r="B22" s="37" t="s">
        <v>3062</v>
      </c>
      <c r="C22" s="37" t="s">
        <v>3063</v>
      </c>
      <c r="D22" s="897"/>
      <c r="E22" s="898"/>
      <c r="F22" s="901"/>
      <c r="G22" s="901"/>
      <c r="H22" s="903"/>
      <c r="I22" s="900"/>
      <c r="J22" s="901"/>
      <c r="K22" s="901"/>
      <c r="L22" s="899"/>
      <c r="M22" s="902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117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85" t="n">
        <f aca="false">COUNTIF(E22:M22,2)+COUNTIF(E22:M22,1)+COUNTIF(E22:M22,0)</f>
        <v>0</v>
      </c>
    </row>
    <row r="23" s="45" customFormat="true" ht="15" hidden="false" customHeight="true" outlineLevel="0" collapsed="false">
      <c r="A23" s="37" t="n">
        <v>16</v>
      </c>
      <c r="B23" s="37" t="s">
        <v>3064</v>
      </c>
      <c r="C23" s="37" t="s">
        <v>3065</v>
      </c>
      <c r="D23" s="897"/>
      <c r="E23" s="898"/>
      <c r="F23" s="901"/>
      <c r="G23" s="901"/>
      <c r="H23" s="903"/>
      <c r="I23" s="900"/>
      <c r="J23" s="901"/>
      <c r="K23" s="901"/>
      <c r="L23" s="899"/>
      <c r="M23" s="902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117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85" t="n">
        <f aca="false">COUNTIF(E23:M23,2)+COUNTIF(E23:M23,1)+COUNTIF(E23:M23,0)</f>
        <v>0</v>
      </c>
    </row>
    <row r="24" s="45" customFormat="true" ht="15" hidden="false" customHeight="true" outlineLevel="0" collapsed="false">
      <c r="A24" s="37" t="n">
        <v>17</v>
      </c>
      <c r="B24" s="37" t="s">
        <v>3066</v>
      </c>
      <c r="C24" s="37" t="s">
        <v>3067</v>
      </c>
      <c r="D24" s="897"/>
      <c r="E24" s="898"/>
      <c r="F24" s="901"/>
      <c r="G24" s="901"/>
      <c r="H24" s="903"/>
      <c r="I24" s="900"/>
      <c r="J24" s="901"/>
      <c r="K24" s="901"/>
      <c r="L24" s="899"/>
      <c r="M24" s="902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117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85" t="n">
        <f aca="false">COUNTIF(E24:M24,2)+COUNTIF(E24:M24,1)+COUNTIF(E24:M24,0)</f>
        <v>0</v>
      </c>
    </row>
    <row r="25" s="45" customFormat="true" ht="15" hidden="false" customHeight="true" outlineLevel="0" collapsed="false">
      <c r="A25" s="37" t="n">
        <v>18</v>
      </c>
      <c r="B25" s="37" t="s">
        <v>3068</v>
      </c>
      <c r="C25" s="37" t="s">
        <v>3069</v>
      </c>
      <c r="D25" s="897"/>
      <c r="E25" s="898"/>
      <c r="F25" s="901"/>
      <c r="G25" s="901"/>
      <c r="H25" s="903"/>
      <c r="I25" s="900"/>
      <c r="J25" s="901"/>
      <c r="K25" s="901"/>
      <c r="L25" s="899"/>
      <c r="M25" s="902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117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85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19</v>
      </c>
      <c r="B26" s="37" t="s">
        <v>3070</v>
      </c>
      <c r="C26" s="37" t="s">
        <v>3071</v>
      </c>
      <c r="D26" s="897"/>
      <c r="E26" s="898"/>
      <c r="F26" s="901"/>
      <c r="G26" s="901"/>
      <c r="H26" s="903"/>
      <c r="I26" s="900"/>
      <c r="J26" s="901"/>
      <c r="K26" s="901"/>
      <c r="L26" s="899"/>
      <c r="M26" s="902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117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85" t="n">
        <f aca="false">COUNTIF(E26:M26,2)+COUNTIF(E26:M26,1)+COUNTIF(E26:M26,0)</f>
        <v>0</v>
      </c>
    </row>
    <row r="27" s="45" customFormat="true" ht="15" hidden="false" customHeight="true" outlineLevel="0" collapsed="false">
      <c r="A27" s="37" t="n">
        <v>20</v>
      </c>
      <c r="B27" s="37" t="s">
        <v>3072</v>
      </c>
      <c r="C27" s="37" t="s">
        <v>3073</v>
      </c>
      <c r="D27" s="897"/>
      <c r="E27" s="898"/>
      <c r="F27" s="901"/>
      <c r="G27" s="901"/>
      <c r="H27" s="903"/>
      <c r="I27" s="900"/>
      <c r="J27" s="901"/>
      <c r="K27" s="901"/>
      <c r="L27" s="899"/>
      <c r="M27" s="902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117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85" t="n">
        <f aca="false">COUNTIF(E27:M27,2)+COUNTIF(E27:M27,1)+COUNTIF(E27:M27,0)</f>
        <v>0</v>
      </c>
    </row>
    <row r="28" s="45" customFormat="true" ht="15" hidden="false" customHeight="true" outlineLevel="0" collapsed="false">
      <c r="A28" s="37" t="n">
        <v>21</v>
      </c>
      <c r="B28" s="37" t="s">
        <v>3074</v>
      </c>
      <c r="C28" s="37" t="s">
        <v>3075</v>
      </c>
      <c r="D28" s="897"/>
      <c r="E28" s="898"/>
      <c r="F28" s="901"/>
      <c r="G28" s="901"/>
      <c r="H28" s="895"/>
      <c r="I28" s="898"/>
      <c r="J28" s="901"/>
      <c r="K28" s="901"/>
      <c r="L28" s="899"/>
      <c r="M28" s="902"/>
      <c r="N28" s="33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117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85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22</v>
      </c>
      <c r="B29" s="37" t="s">
        <v>3076</v>
      </c>
      <c r="C29" s="37" t="s">
        <v>3077</v>
      </c>
      <c r="D29" s="897"/>
      <c r="E29" s="898"/>
      <c r="F29" s="901"/>
      <c r="G29" s="901"/>
      <c r="H29" s="895"/>
      <c r="I29" s="898"/>
      <c r="J29" s="901"/>
      <c r="K29" s="901"/>
      <c r="L29" s="899"/>
      <c r="M29" s="902"/>
      <c r="N29" s="33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117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85" t="n">
        <f aca="false">COUNTIF(E29:M29,2)+COUNTIF(E29:M29,1)+COUNTIF(E29:M29,0)</f>
        <v>0</v>
      </c>
    </row>
    <row r="30" customFormat="false" ht="15" hidden="false" customHeight="true" outlineLevel="0" collapsed="false">
      <c r="A30" s="37" t="n">
        <v>23</v>
      </c>
      <c r="B30" s="37" t="s">
        <v>3078</v>
      </c>
      <c r="C30" s="37" t="s">
        <v>3079</v>
      </c>
      <c r="D30" s="897"/>
      <c r="E30" s="898"/>
      <c r="F30" s="901"/>
      <c r="G30" s="901"/>
      <c r="H30" s="895"/>
      <c r="I30" s="898"/>
      <c r="J30" s="901"/>
      <c r="K30" s="901"/>
      <c r="L30" s="901"/>
      <c r="M30" s="902"/>
      <c r="N30" s="33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117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85" t="n">
        <f aca="false">COUNTIF(E30:M30,2)+COUNTIF(E30:M30,1)+COUNTIF(E30:M30,0)</f>
        <v>0</v>
      </c>
    </row>
    <row r="31" customFormat="false" ht="15" hidden="false" customHeight="true" outlineLevel="0" collapsed="false">
      <c r="A31" s="0" t="s">
        <v>77</v>
      </c>
      <c r="D31" s="904"/>
      <c r="E31" s="888" t="e">
        <f aca="false">AVERAGE(E4:E30)</f>
        <v>#DIV/0!</v>
      </c>
      <c r="F31" s="888" t="e">
        <f aca="false">AVERAGE(F4:F30)</f>
        <v>#DIV/0!</v>
      </c>
      <c r="G31" s="888" t="e">
        <f aca="false">AVERAGE(G4:G30)</f>
        <v>#DIV/0!</v>
      </c>
      <c r="H31" s="888" t="e">
        <f aca="false">AVERAGE(H4:H30)</f>
        <v>#DIV/0!</v>
      </c>
      <c r="I31" s="888" t="e">
        <f aca="false">AVERAGE(I4:I30)</f>
        <v>#DIV/0!</v>
      </c>
      <c r="J31" s="888" t="e">
        <f aca="false">AVERAGE(J4:J30)</f>
        <v>#DIV/0!</v>
      </c>
      <c r="K31" s="888" t="e">
        <f aca="false">AVERAGE(K4:K30)</f>
        <v>#DIV/0!</v>
      </c>
      <c r="L31" s="888" t="e">
        <f aca="false">AVERAGE(L4:L30)</f>
        <v>#DIV/0!</v>
      </c>
      <c r="M31" s="888" t="e">
        <f aca="false">AVERAGE(M4:M30)</f>
        <v>#DIV/0!</v>
      </c>
      <c r="N31" s="47"/>
      <c r="O31" s="357"/>
      <c r="P31" s="357"/>
      <c r="Q31" s="357"/>
    </row>
    <row r="32" customFormat="false" ht="15" hidden="false" customHeight="true" outlineLevel="0" collapsed="false">
      <c r="A32" s="0" t="s">
        <v>78</v>
      </c>
      <c r="D32" s="46"/>
      <c r="E32" s="49" t="e">
        <f aca="false">(COUNTIF(E8:E30,5)+COUNTIF(E8:E30,4)+COUNTIF(E8:E30,3))/$S$37*100</f>
        <v>#DIV/0!</v>
      </c>
      <c r="F32" s="49" t="e">
        <f aca="false">(COUNTIF(F8:F30,5)+COUNTIF(F8:F30,4)+COUNTIF(F8:F30,3))/$S$37*100</f>
        <v>#DIV/0!</v>
      </c>
      <c r="G32" s="49" t="e">
        <f aca="false">(COUNTIF(G8:G30,5)+COUNTIF(G8:G30,4)+COUNTIF(G8:G30,3))/$S$37*100</f>
        <v>#DIV/0!</v>
      </c>
      <c r="H32" s="49" t="e">
        <f aca="false">(COUNTIF(H8:H30,5)+COUNTIF(H8:H30,4)+COUNTIF(H8:H30,3))/$S$37*100</f>
        <v>#DIV/0!</v>
      </c>
      <c r="I32" s="49" t="e">
        <f aca="false">(COUNTIF(I8:I30,5)+COUNTIF(I8:I30,4)+COUNTIF(I8:I30,3))/$S$37*100</f>
        <v>#DIV/0!</v>
      </c>
      <c r="J32" s="49" t="e">
        <f aca="false">(COUNTIF(J8:J30,5)+COUNTIF(J8:J30,4)+COUNTIF(J8:J30,3))/$S$37*100</f>
        <v>#DIV/0!</v>
      </c>
      <c r="K32" s="49" t="e">
        <f aca="false">(COUNTIF(K8:K30,5)+COUNTIF(K8:K30,4)+COUNTIF(K8:K30,3))/$S$37*100</f>
        <v>#DIV/0!</v>
      </c>
      <c r="L32" s="49" t="e">
        <f aca="false">(COUNTIF(L8:L30,5)+COUNTIF(L8:L30,4)+COUNTIF(L8:L30,3))/$S$37*100</f>
        <v>#DIV/0!</v>
      </c>
      <c r="M32" s="49" t="e">
        <f aca="false">(COUNTIF(M8:M30,5)+COUNTIF(M8:M30,4)+COUNTIF(M8:M30,3))/$S$37*100</f>
        <v>#DIV/0!</v>
      </c>
      <c r="N32" s="47"/>
    </row>
    <row r="33" customFormat="false" ht="15" hidden="false" customHeight="true" outlineLevel="0" collapsed="false">
      <c r="D33" s="46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</row>
    <row r="34" customFormat="false" ht="15" hidden="false" customHeight="true" outlineLevel="0" collapsed="false"/>
    <row r="35" customFormat="false" ht="15" hidden="false" customHeight="true" outlineLevel="0" collapsed="false">
      <c r="B35" s="50"/>
      <c r="C35" s="50" t="s">
        <v>8</v>
      </c>
      <c r="D35" s="51" t="str">
        <f aca="false">IFERROR(AVERAGE(N8:N30),"")</f>
        <v/>
      </c>
      <c r="E35" s="52" t="s">
        <v>9</v>
      </c>
      <c r="G35" s="53" t="str">
        <f aca="false">IFERROR(COUNTIF(O8:O30,"Успевает")/S37*100,"")</f>
        <v/>
      </c>
      <c r="H35" s="319" t="s">
        <v>79</v>
      </c>
      <c r="I35" s="319"/>
      <c r="J35" s="55" t="str">
        <f aca="false">IFERROR(AVERAGE(P8:P30),"")</f>
        <v/>
      </c>
      <c r="K35" s="52"/>
      <c r="L35" s="52"/>
      <c r="M35" s="52"/>
      <c r="N35" s="52"/>
      <c r="O35" s="52"/>
      <c r="P35" s="158"/>
      <c r="Q35" s="48"/>
      <c r="R35" s="48"/>
      <c r="S35" s="48"/>
    </row>
    <row r="36" customFormat="false" ht="15" hidden="false" customHeight="true" outlineLevel="0" collapsed="false">
      <c r="B36" s="50"/>
      <c r="C36" s="50"/>
      <c r="D36" s="50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</row>
    <row r="37" customFormat="false" ht="15" hidden="false" customHeight="true" outlineLevel="0" collapsed="false">
      <c r="A37" s="50"/>
      <c r="B37" s="61" t="s">
        <v>81</v>
      </c>
      <c r="C37" s="61"/>
      <c r="D37" s="61"/>
      <c r="E37" s="61"/>
      <c r="F37" s="61"/>
      <c r="G37" s="61"/>
      <c r="H37" s="61"/>
      <c r="I37" s="61"/>
      <c r="J37" s="61"/>
      <c r="K37" s="61" t="s">
        <v>82</v>
      </c>
      <c r="L37" s="61"/>
      <c r="M37" s="61"/>
      <c r="N37" s="61"/>
      <c r="O37" s="61"/>
      <c r="P37" s="56"/>
      <c r="Q37" s="57" t="s">
        <v>80</v>
      </c>
      <c r="R37" s="57"/>
      <c r="S37" s="58" t="n">
        <f aca="false">SUM(S38,S39)</f>
        <v>0</v>
      </c>
    </row>
    <row r="38" customFormat="false" ht="15" hidden="false" customHeight="true" outlineLevel="0" collapsed="false">
      <c r="A38" s="50"/>
      <c r="B38" s="65" t="str">
        <f aca="false">$E$6</f>
        <v> Защита информации от утечки по техническим каналам</v>
      </c>
      <c r="C38" s="65"/>
      <c r="D38" s="65"/>
      <c r="E38" s="65"/>
      <c r="F38" s="65"/>
      <c r="G38" s="65"/>
      <c r="H38" s="65"/>
      <c r="I38" s="65"/>
      <c r="J38" s="65"/>
      <c r="K38" s="285"/>
      <c r="L38" s="285"/>
      <c r="M38" s="285"/>
      <c r="N38" s="285"/>
      <c r="O38" s="285"/>
      <c r="P38" s="67"/>
      <c r="Q38" s="57" t="s">
        <v>83</v>
      </c>
      <c r="R38" s="57"/>
      <c r="S38" s="58" t="n">
        <f aca="false">COUNTIF(O8:O30,"Успевает")</f>
        <v>0</v>
      </c>
    </row>
    <row r="39" customFormat="false" ht="15" hidden="false" customHeight="true" outlineLevel="0" collapsed="false">
      <c r="A39" s="50"/>
      <c r="B39" s="65" t="str">
        <f aca="false">$F$6</f>
        <v> Конструирование и специальные технологии</v>
      </c>
      <c r="C39" s="65"/>
      <c r="D39" s="65"/>
      <c r="E39" s="65"/>
      <c r="F39" s="65"/>
      <c r="G39" s="65"/>
      <c r="H39" s="65"/>
      <c r="I39" s="65"/>
      <c r="J39" s="65"/>
      <c r="K39" s="285"/>
      <c r="L39" s="285"/>
      <c r="M39" s="285"/>
      <c r="N39" s="285"/>
      <c r="O39" s="285"/>
      <c r="P39" s="67"/>
      <c r="Q39" s="98" t="s">
        <v>84</v>
      </c>
      <c r="R39" s="98"/>
      <c r="S39" s="58" t="n">
        <f aca="false">COUNTIF(O8:O30,"Не успевает")</f>
        <v>0</v>
      </c>
    </row>
    <row r="40" customFormat="false" ht="15" hidden="false" customHeight="true" outlineLevel="0" collapsed="false">
      <c r="A40" s="50"/>
      <c r="B40" s="65" t="str">
        <f aca="false">$G$6</f>
        <v>Методы и средства криптографической защиты информации (к.р.)</v>
      </c>
      <c r="C40" s="65"/>
      <c r="D40" s="65"/>
      <c r="E40" s="65"/>
      <c r="F40" s="65"/>
      <c r="G40" s="65"/>
      <c r="H40" s="65"/>
      <c r="I40" s="65"/>
      <c r="J40" s="65"/>
      <c r="K40" s="285"/>
      <c r="L40" s="285"/>
      <c r="M40" s="285"/>
      <c r="N40" s="285"/>
      <c r="O40" s="285"/>
      <c r="P40" s="67"/>
      <c r="Q40" s="98" t="s">
        <v>85</v>
      </c>
      <c r="R40" s="98"/>
      <c r="S40" s="58" t="n">
        <f aca="false">COUNTIF(Q8:Q30,"Благодарность")</f>
        <v>0</v>
      </c>
    </row>
    <row r="41" customFormat="false" ht="15" hidden="false" customHeight="true" outlineLevel="0" collapsed="false">
      <c r="A41" s="50"/>
      <c r="B41" s="65" t="str">
        <f aca="false">$H$6</f>
        <v> Средства анализа безопасности программного обеспечения</v>
      </c>
      <c r="C41" s="65"/>
      <c r="D41" s="65"/>
      <c r="E41" s="65"/>
      <c r="F41" s="65"/>
      <c r="G41" s="65"/>
      <c r="H41" s="65"/>
      <c r="I41" s="65"/>
      <c r="J41" s="65"/>
      <c r="K41" s="285"/>
      <c r="L41" s="285"/>
      <c r="M41" s="285"/>
      <c r="N41" s="285"/>
      <c r="O41" s="285"/>
      <c r="P41" s="67"/>
      <c r="Q41" s="98" t="s">
        <v>86</v>
      </c>
      <c r="R41" s="98"/>
      <c r="S41" s="58" t="n">
        <f aca="false">COUNTIF(Q8:Q30,"Нормально")</f>
        <v>0</v>
      </c>
    </row>
    <row r="42" customFormat="false" ht="15" hidden="false" customHeight="true" outlineLevel="0" collapsed="false">
      <c r="A42" s="50"/>
      <c r="B42" s="65" t="str">
        <f aca="false">$I$6</f>
        <v> Администрирование и тестирование систем защиты информации</v>
      </c>
      <c r="C42" s="65"/>
      <c r="D42" s="65"/>
      <c r="E42" s="65"/>
      <c r="F42" s="65"/>
      <c r="G42" s="65"/>
      <c r="H42" s="65"/>
      <c r="I42" s="65"/>
      <c r="J42" s="65"/>
      <c r="K42" s="285"/>
      <c r="L42" s="285"/>
      <c r="M42" s="285"/>
      <c r="N42" s="285"/>
      <c r="O42" s="285"/>
      <c r="P42" s="67"/>
      <c r="Q42" s="98" t="s">
        <v>87</v>
      </c>
      <c r="R42" s="98"/>
      <c r="S42" s="58" t="n">
        <f aca="false">COUNTIF(Q8:Q30,"Предупреждение")</f>
        <v>0</v>
      </c>
    </row>
    <row r="43" customFormat="false" ht="15" hidden="false" customHeight="true" outlineLevel="0" collapsed="false">
      <c r="A43" s="50"/>
      <c r="B43" s="65" t="str">
        <f aca="false">$J$6</f>
        <v>Методы антивирусной защиты</v>
      </c>
      <c r="C43" s="65"/>
      <c r="D43" s="65"/>
      <c r="E43" s="65"/>
      <c r="F43" s="65"/>
      <c r="G43" s="65"/>
      <c r="H43" s="65"/>
      <c r="I43" s="65"/>
      <c r="J43" s="65"/>
      <c r="K43" s="285"/>
      <c r="L43" s="285"/>
      <c r="M43" s="285"/>
      <c r="N43" s="285"/>
      <c r="O43" s="285"/>
      <c r="P43" s="67"/>
      <c r="Q43" s="98" t="s">
        <v>88</v>
      </c>
      <c r="R43" s="98"/>
      <c r="S43" s="58" t="n">
        <f aca="false">COUNTIF(Q8:Q30,"Выговор")</f>
        <v>0</v>
      </c>
    </row>
    <row r="44" customFormat="false" ht="15" hidden="false" customHeight="true" outlineLevel="0" collapsed="false">
      <c r="A44" s="50"/>
      <c r="B44" s="65" t="str">
        <f aca="false">$K$6</f>
        <v>Научно-исследовательская работа</v>
      </c>
      <c r="C44" s="65"/>
      <c r="D44" s="65"/>
      <c r="E44" s="65"/>
      <c r="F44" s="65"/>
      <c r="G44" s="65"/>
      <c r="H44" s="65"/>
      <c r="I44" s="65"/>
      <c r="J44" s="65"/>
      <c r="K44" s="285"/>
      <c r="L44" s="285"/>
      <c r="M44" s="285"/>
      <c r="N44" s="285"/>
      <c r="O44" s="285"/>
      <c r="P44" s="67"/>
      <c r="Q44" s="185" t="s">
        <v>1575</v>
      </c>
      <c r="R44" s="186"/>
      <c r="S44" s="143" t="n">
        <f aca="false">SUM(R8:R30)</f>
        <v>0</v>
      </c>
    </row>
    <row r="45" customFormat="false" ht="15" hidden="false" customHeight="true" outlineLevel="0" collapsed="false">
      <c r="A45" s="50"/>
      <c r="B45" s="65" t="str">
        <f aca="false">$L$6</f>
        <v>Основы разработки защищенного программного обеспечения</v>
      </c>
      <c r="C45" s="65"/>
      <c r="D45" s="65"/>
      <c r="E45" s="65"/>
      <c r="F45" s="65"/>
      <c r="G45" s="65"/>
      <c r="H45" s="65"/>
      <c r="I45" s="65"/>
      <c r="J45" s="65"/>
      <c r="K45" s="285"/>
      <c r="L45" s="285"/>
      <c r="M45" s="285"/>
      <c r="N45" s="285"/>
      <c r="O45" s="285"/>
      <c r="P45" s="67"/>
      <c r="Q45" s="67"/>
      <c r="R45" s="67"/>
      <c r="S45" s="48"/>
    </row>
    <row r="46" customFormat="false" ht="15" hidden="false" customHeight="true" outlineLevel="0" collapsed="false">
      <c r="A46" s="50"/>
      <c r="B46" s="65" t="str">
        <f aca="false">$M$6</f>
        <v>Экономика предприятия </v>
      </c>
      <c r="C46" s="65"/>
      <c r="D46" s="65"/>
      <c r="E46" s="65"/>
      <c r="F46" s="65"/>
      <c r="G46" s="65"/>
      <c r="H46" s="65"/>
      <c r="I46" s="65"/>
      <c r="J46" s="65"/>
      <c r="K46" s="285"/>
      <c r="L46" s="285"/>
      <c r="M46" s="285"/>
      <c r="N46" s="285"/>
      <c r="O46" s="285"/>
      <c r="P46" s="67"/>
      <c r="Q46" s="67"/>
      <c r="R46" s="67"/>
      <c r="S46" s="48"/>
    </row>
    <row r="47" customFormat="false" ht="15" hidden="false" customHeight="true" outlineLevel="0" collapsed="false">
      <c r="A47" s="50"/>
      <c r="B47" s="72"/>
      <c r="C47" s="72"/>
      <c r="D47" s="72"/>
      <c r="E47" s="72"/>
      <c r="F47" s="72"/>
      <c r="G47" s="72"/>
      <c r="H47" s="72"/>
      <c r="I47" s="72"/>
      <c r="J47" s="72"/>
      <c r="K47" s="50"/>
      <c r="L47" s="50"/>
      <c r="M47" s="50"/>
      <c r="N47" s="50"/>
      <c r="O47" s="50"/>
      <c r="P47" s="48"/>
      <c r="Q47" s="48"/>
      <c r="R47" s="48"/>
      <c r="S47" s="48"/>
    </row>
    <row r="48" customFormat="false" ht="15" hidden="false" customHeight="true" outlineLevel="0" collapsed="false">
      <c r="A48" s="50"/>
      <c r="B48" s="73" t="s">
        <v>405</v>
      </c>
      <c r="C48" s="198" t="s">
        <v>3080</v>
      </c>
      <c r="D48" s="198"/>
      <c r="E48" s="67"/>
      <c r="F48" s="52" t="s">
        <v>3081</v>
      </c>
      <c r="G48" s="300" t="s">
        <v>3082</v>
      </c>
      <c r="H48" s="52"/>
      <c r="I48" s="52"/>
      <c r="J48" s="52"/>
      <c r="K48" s="52"/>
      <c r="L48" s="52"/>
      <c r="M48" s="50"/>
      <c r="N48" s="50"/>
      <c r="O48" s="50"/>
      <c r="P48" s="48"/>
      <c r="Q48" s="48"/>
      <c r="R48" s="48"/>
      <c r="S48" s="48"/>
    </row>
    <row r="49" customFormat="false" ht="15" hidden="false" customHeight="true" outlineLevel="0" collapsed="false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48"/>
    </row>
    <row r="50" customFormat="false" ht="15" hidden="false" customHeight="true" outlineLevel="0" collapsed="false">
      <c r="A50" s="50"/>
      <c r="B50" s="50" t="s">
        <v>93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48"/>
    </row>
    <row r="51" customFormat="false" ht="15" hidden="false" customHeight="true" outlineLevel="0" collapsed="false">
      <c r="A51" s="50"/>
      <c r="B51" s="50" t="s">
        <v>94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48"/>
    </row>
    <row r="52" customFormat="false" ht="15" hidden="false" customHeight="true" outlineLevel="0" collapsed="false">
      <c r="A52" s="50"/>
      <c r="B52" s="50" t="s">
        <v>95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48"/>
    </row>
    <row r="53" customFormat="false" ht="15" hidden="false" customHeight="true" outlineLevel="0" collapsed="false">
      <c r="A53" s="50"/>
      <c r="B53" s="50" t="s">
        <v>96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48"/>
    </row>
    <row r="54" customFormat="false" ht="15" hidden="false" customHeight="true" outlineLevel="0" collapsed="false">
      <c r="A54" s="50"/>
      <c r="B54" s="50" t="s">
        <v>97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48"/>
    </row>
    <row r="55" customFormat="false" ht="15" hidden="false" customHeight="true" outlineLevel="0" collapsed="false">
      <c r="A55" s="50"/>
      <c r="B55" s="50" t="s">
        <v>98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48"/>
    </row>
    <row r="56" customFormat="false" ht="15" hidden="false" customHeight="true" outlineLevel="0" collapsed="false">
      <c r="A56" s="50"/>
      <c r="B56" s="50" t="s">
        <v>99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48"/>
    </row>
    <row r="57" customFormat="false" ht="15" hidden="false" customHeight="true" outlineLevel="0" collapsed="false">
      <c r="A57" s="50"/>
    </row>
    <row r="58" customFormat="false" ht="15.75" hidden="false" customHeight="false" outlineLevel="0" collapsed="false">
      <c r="A58" s="50"/>
    </row>
    <row r="59" customFormat="false" ht="15.75" hidden="false" customHeight="false" outlineLevel="0" collapsed="false">
      <c r="A59" s="50"/>
    </row>
    <row r="60" customFormat="false" ht="15.75" hidden="false" customHeight="false" outlineLevel="0" collapsed="false">
      <c r="A60" s="50"/>
    </row>
    <row r="61" customFormat="false" ht="15.75" hidden="false" customHeight="false" outlineLevel="0" collapsed="false">
      <c r="A61" s="50"/>
    </row>
    <row r="62" customFormat="false" ht="15.75" hidden="false" customHeight="false" outlineLevel="0" collapsed="false">
      <c r="A62" s="50"/>
    </row>
    <row r="63" customFormat="false" ht="15.75" hidden="false" customHeight="false" outlineLevel="0" collapsed="false">
      <c r="A63" s="50"/>
    </row>
    <row r="64" customFormat="false" ht="15.75" hidden="false" customHeight="false" outlineLevel="0" collapsed="false">
      <c r="A64" s="50"/>
    </row>
    <row r="65" customFormat="false" ht="15.75" hidden="false" customHeight="false" outlineLevel="0" collapsed="false">
      <c r="A65" s="50"/>
    </row>
    <row r="66" customFormat="false" ht="15.75" hidden="false" customHeight="false" outlineLevel="0" collapsed="false">
      <c r="A66" s="50"/>
    </row>
  </sheetData>
  <mergeCells count="41">
    <mergeCell ref="E1:H1"/>
    <mergeCell ref="A3:P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5:I35"/>
    <mergeCell ref="B37:J37"/>
    <mergeCell ref="K37:O37"/>
    <mergeCell ref="Q37:R37"/>
    <mergeCell ref="B38:J38"/>
    <mergeCell ref="K38:O38"/>
    <mergeCell ref="Q38:R38"/>
    <mergeCell ref="B39:J39"/>
    <mergeCell ref="K39:O39"/>
    <mergeCell ref="Q39:R39"/>
    <mergeCell ref="B40:J40"/>
    <mergeCell ref="K40:O40"/>
    <mergeCell ref="Q40:R40"/>
    <mergeCell ref="B41:J41"/>
    <mergeCell ref="K41:O41"/>
    <mergeCell ref="Q41:R41"/>
    <mergeCell ref="B42:J42"/>
    <mergeCell ref="K42:O42"/>
    <mergeCell ref="Q42:R42"/>
    <mergeCell ref="B43:J43"/>
    <mergeCell ref="K43:O43"/>
    <mergeCell ref="Q43:R43"/>
    <mergeCell ref="B44:J44"/>
    <mergeCell ref="K44:O44"/>
    <mergeCell ref="B45:J45"/>
    <mergeCell ref="K45:O45"/>
    <mergeCell ref="B46:J46"/>
    <mergeCell ref="K46:O46"/>
  </mergeCells>
  <conditionalFormatting sqref="E31:M3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6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6:G26 I26:J26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3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G23 I23:J2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4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G14 I14:J1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4:G24 I24:J24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:G22 I22:J22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G21 I21:J2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20:J20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0:G20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0:M22 K24:M25 K27:M30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G9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9:J9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:G10 I10:J10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1:G11 I11:J11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2:G12 I12:J12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3:G13 I13:J13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G15 I15:J15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31:N32 P33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2:E33 F32:M32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33:O33">
    <cfRule type="colorScale" priority="2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G18 I16:J18">
    <cfRule type="colorScale" priority="2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8 H9:H13 H15:H18">
    <cfRule type="colorScale" priority="2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9:M13 K15:M18">
    <cfRule type="colorScale" priority="2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5:G25 I25:J25">
    <cfRule type="colorScale" priority="2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7:G27 I27:J27">
    <cfRule type="colorScale" priority="2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8:G30 I28:J30">
    <cfRule type="colorScale" priority="3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9:M19 H20:H22 H24:H25 H27:H30">
    <cfRule type="colorScale" priority="3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4:M14">
    <cfRule type="colorScale" priority="3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3:M23">
    <cfRule type="colorScale" priority="3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6:M26">
    <cfRule type="colorScale" priority="3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30">
    <cfRule type="colorScale" priority="3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39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V12" activeCellId="0" sqref="V12"/>
    </sheetView>
  </sheetViews>
  <sheetFormatPr defaultColWidth="8.6796875" defaultRowHeight="15" zeroHeight="false" outlineLevelRow="0" outlineLevelCol="0"/>
  <cols>
    <col collapsed="false" customWidth="true" hidden="false" outlineLevel="0" max="3" min="3" style="0" width="14.14"/>
    <col collapsed="false" customWidth="true" hidden="false" outlineLevel="0" max="10" min="10" style="45" width="8.86"/>
  </cols>
  <sheetData>
    <row r="1" customFormat="false" ht="19.7" hidden="false" customHeight="false" outlineLevel="0" collapsed="false">
      <c r="A1" s="45"/>
      <c r="B1" s="45"/>
      <c r="C1" s="45"/>
      <c r="D1" s="45"/>
      <c r="E1" s="1" t="s">
        <v>0</v>
      </c>
      <c r="F1" s="1"/>
      <c r="G1" s="1"/>
      <c r="H1" s="1"/>
      <c r="I1" s="2" t="n">
        <f aca="false">set!B1</f>
        <v>2</v>
      </c>
      <c r="J1" s="266"/>
      <c r="K1" s="3"/>
      <c r="L1" s="45"/>
      <c r="M1" s="45"/>
      <c r="N1" s="45"/>
      <c r="O1" s="45"/>
      <c r="P1" s="45"/>
      <c r="Q1" s="45"/>
      <c r="R1" s="45"/>
      <c r="S1" s="45"/>
      <c r="T1" s="45"/>
    </row>
    <row r="2" customFormat="false" ht="15" hidden="false" customHeight="false" outlineLevel="0" collapsed="false">
      <c r="A2" s="45"/>
      <c r="B2" s="45"/>
      <c r="C2" s="45"/>
      <c r="D2" s="45"/>
      <c r="E2" s="45"/>
      <c r="F2" s="45"/>
      <c r="G2" s="45"/>
      <c r="H2" s="4"/>
      <c r="I2" s="45"/>
      <c r="K2" s="45"/>
      <c r="L2" s="45"/>
      <c r="M2" s="45"/>
      <c r="N2" s="45" t="s">
        <v>1</v>
      </c>
      <c r="O2" s="45"/>
      <c r="P2" s="45"/>
      <c r="Q2" s="389" t="n">
        <f aca="false">set!B4</f>
        <v>45608</v>
      </c>
      <c r="R2" s="45"/>
      <c r="S2" s="45"/>
      <c r="T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ИУК6-99 факультета ИУК МГТУ им. Н.Э. Баумана"</f>
        <v>Успеваемость студентов за 1 семестр 24/25 учебного года по группе ИУК6-99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45"/>
      <c r="S3" s="45"/>
      <c r="T3" s="45"/>
    </row>
    <row r="4" customFormat="false" ht="15" hidden="false" customHeight="false" outlineLevel="0" collapsed="false">
      <c r="A4" s="45"/>
      <c r="B4" s="7"/>
      <c r="C4" s="7"/>
      <c r="D4" s="45"/>
      <c r="E4" s="45"/>
      <c r="F4" s="45"/>
      <c r="G4" s="45"/>
      <c r="H4" s="45"/>
      <c r="I4" s="45"/>
      <c r="K4" s="45"/>
      <c r="L4" s="45"/>
      <c r="M4" s="45"/>
      <c r="N4" s="45"/>
      <c r="O4" s="45"/>
      <c r="P4" s="45"/>
      <c r="Q4" s="45"/>
      <c r="R4" s="45"/>
      <c r="S4" s="45"/>
      <c r="T4" s="45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404" t="s">
        <v>7</v>
      </c>
      <c r="J5" s="404"/>
      <c r="K5" s="404"/>
      <c r="L5" s="404"/>
      <c r="M5" s="404"/>
      <c r="N5" s="404"/>
      <c r="O5" s="391" t="s">
        <v>8</v>
      </c>
      <c r="P5" s="392" t="s">
        <v>9</v>
      </c>
      <c r="Q5" s="392" t="s">
        <v>10</v>
      </c>
      <c r="R5" s="14" t="s">
        <v>11</v>
      </c>
      <c r="S5" s="743" t="s">
        <v>1575</v>
      </c>
      <c r="T5" s="45"/>
    </row>
    <row r="6" customFormat="false" ht="15" hidden="false" customHeight="false" outlineLevel="0" collapsed="false">
      <c r="A6" s="8"/>
      <c r="B6" s="8"/>
      <c r="C6" s="8"/>
      <c r="D6" s="9"/>
      <c r="E6" s="339" t="s">
        <v>3026</v>
      </c>
      <c r="F6" s="340" t="s">
        <v>3028</v>
      </c>
      <c r="G6" s="340" t="s">
        <v>3029</v>
      </c>
      <c r="H6" s="342" t="s">
        <v>3083</v>
      </c>
      <c r="I6" s="405" t="s">
        <v>3030</v>
      </c>
      <c r="J6" s="340" t="s">
        <v>3031</v>
      </c>
      <c r="K6" s="340" t="s">
        <v>467</v>
      </c>
      <c r="L6" s="340" t="s">
        <v>3084</v>
      </c>
      <c r="M6" s="340" t="s">
        <v>3085</v>
      </c>
      <c r="N6" s="342" t="s">
        <v>3033</v>
      </c>
      <c r="O6" s="391"/>
      <c r="P6" s="392"/>
      <c r="Q6" s="392"/>
      <c r="R6" s="14"/>
      <c r="S6" s="743"/>
      <c r="T6" s="45"/>
    </row>
    <row r="7" customFormat="false" ht="17.9" hidden="false" customHeight="false" outlineLevel="0" collapsed="false">
      <c r="A7" s="8"/>
      <c r="B7" s="8"/>
      <c r="C7" s="8"/>
      <c r="D7" s="9"/>
      <c r="E7" s="343" t="s">
        <v>2899</v>
      </c>
      <c r="F7" s="344" t="s">
        <v>2647</v>
      </c>
      <c r="G7" s="344" t="s">
        <v>2899</v>
      </c>
      <c r="H7" s="346" t="s">
        <v>278</v>
      </c>
      <c r="I7" s="407" t="s">
        <v>2899</v>
      </c>
      <c r="J7" s="344" t="s">
        <v>2899</v>
      </c>
      <c r="K7" s="344" t="s">
        <v>2648</v>
      </c>
      <c r="L7" s="344" t="s">
        <v>438</v>
      </c>
      <c r="M7" s="344" t="s">
        <v>278</v>
      </c>
      <c r="N7" s="346" t="s">
        <v>380</v>
      </c>
      <c r="O7" s="391"/>
      <c r="P7" s="392"/>
      <c r="Q7" s="392"/>
      <c r="R7" s="14"/>
      <c r="S7" s="743"/>
      <c r="T7" s="45"/>
    </row>
    <row r="8" customFormat="false" ht="15" hidden="false" customHeight="false" outlineLevel="0" collapsed="false">
      <c r="A8" s="77" t="n">
        <v>1</v>
      </c>
      <c r="B8" s="77" t="s">
        <v>3086</v>
      </c>
      <c r="C8" s="77" t="s">
        <v>3087</v>
      </c>
      <c r="D8" s="891"/>
      <c r="E8" s="892"/>
      <c r="F8" s="893"/>
      <c r="G8" s="893"/>
      <c r="H8" s="896"/>
      <c r="I8" s="892"/>
      <c r="J8" s="893"/>
      <c r="K8" s="893"/>
      <c r="L8" s="893"/>
      <c r="M8" s="893"/>
      <c r="N8" s="896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241" t="str">
        <f aca="false">IF(D8&lt;&gt;"",(30*(set!B$5)-D8)/(30*(set!B$5))*100,"")</f>
        <v/>
      </c>
      <c r="R8" s="84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77" t="n">
        <f aca="false">COUNTIF(E8:N8,2)+COUNTIF(E8:N8,1)+COUNTIF(E8:N8,0)</f>
        <v>0</v>
      </c>
      <c r="T8" s="45"/>
    </row>
    <row r="9" customFormat="false" ht="15" hidden="false" customHeight="false" outlineLevel="0" collapsed="false">
      <c r="A9" s="37" t="n">
        <v>2</v>
      </c>
      <c r="B9" s="37" t="s">
        <v>3088</v>
      </c>
      <c r="C9" s="37" t="s">
        <v>3089</v>
      </c>
      <c r="D9" s="891"/>
      <c r="E9" s="900"/>
      <c r="F9" s="899"/>
      <c r="G9" s="899"/>
      <c r="H9" s="905"/>
      <c r="I9" s="900"/>
      <c r="J9" s="899"/>
      <c r="K9" s="899"/>
      <c r="L9" s="899"/>
      <c r="M9" s="899"/>
      <c r="N9" s="905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241" t="str">
        <f aca="false">IF(D9&lt;&gt;"",(30*(set!B$5)-D9)/(30*(set!B$5))*100,"")</f>
        <v/>
      </c>
      <c r="R9" s="11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85" t="n">
        <f aca="false">COUNTIF(E9:N9,2)+COUNTIF(E9:N9,1)+COUNTIF(E9:N9,0)</f>
        <v>0</v>
      </c>
      <c r="T9" s="45"/>
    </row>
    <row r="10" customFormat="false" ht="15" hidden="false" customHeight="false" outlineLevel="0" collapsed="false">
      <c r="A10" s="77" t="n">
        <v>3</v>
      </c>
      <c r="B10" s="37" t="s">
        <v>3090</v>
      </c>
      <c r="C10" s="37" t="s">
        <v>3091</v>
      </c>
      <c r="D10" s="891"/>
      <c r="E10" s="900"/>
      <c r="F10" s="899"/>
      <c r="G10" s="899"/>
      <c r="H10" s="905"/>
      <c r="I10" s="900"/>
      <c r="J10" s="899"/>
      <c r="K10" s="899"/>
      <c r="L10" s="899"/>
      <c r="M10" s="899"/>
      <c r="N10" s="905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117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85" t="n">
        <f aca="false">COUNTIF(E10:N10,2)+COUNTIF(E10:N10,1)+COUNTIF(E10:N10,0)</f>
        <v>0</v>
      </c>
      <c r="T10" s="45"/>
    </row>
    <row r="11" customFormat="false" ht="15" hidden="false" customHeight="false" outlineLevel="0" collapsed="false">
      <c r="A11" s="37" t="n">
        <v>4</v>
      </c>
      <c r="B11" s="37" t="s">
        <v>3092</v>
      </c>
      <c r="C11" s="37" t="s">
        <v>3093</v>
      </c>
      <c r="D11" s="891"/>
      <c r="E11" s="900"/>
      <c r="F11" s="899"/>
      <c r="G11" s="899"/>
      <c r="H11" s="905"/>
      <c r="I11" s="900"/>
      <c r="J11" s="899"/>
      <c r="K11" s="899"/>
      <c r="L11" s="899"/>
      <c r="M11" s="899"/>
      <c r="N11" s="905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117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85" t="n">
        <f aca="false">COUNTIF(E11:N11,2)+COUNTIF(E11:N11,1)+COUNTIF(E11:N11,0)</f>
        <v>0</v>
      </c>
      <c r="T11" s="45"/>
    </row>
    <row r="12" customFormat="false" ht="15" hidden="false" customHeight="false" outlineLevel="0" collapsed="false">
      <c r="A12" s="77" t="n">
        <v>5</v>
      </c>
      <c r="B12" s="37" t="s">
        <v>3094</v>
      </c>
      <c r="C12" s="37" t="s">
        <v>3095</v>
      </c>
      <c r="D12" s="891"/>
      <c r="E12" s="900"/>
      <c r="F12" s="899"/>
      <c r="G12" s="899"/>
      <c r="H12" s="905"/>
      <c r="I12" s="900"/>
      <c r="J12" s="899"/>
      <c r="K12" s="899"/>
      <c r="L12" s="899"/>
      <c r="M12" s="899"/>
      <c r="N12" s="905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117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85" t="n">
        <f aca="false">COUNTIF(E12:N12,2)+COUNTIF(E12:N12,1)+COUNTIF(E12:N12,0)</f>
        <v>0</v>
      </c>
      <c r="T12" s="45"/>
    </row>
    <row r="13" customFormat="false" ht="15" hidden="false" customHeight="false" outlineLevel="0" collapsed="false">
      <c r="A13" s="45" t="s">
        <v>77</v>
      </c>
      <c r="B13" s="45"/>
      <c r="C13" s="45"/>
      <c r="D13" s="904"/>
      <c r="E13" s="888" t="e">
        <f aca="false">AVERAGE(E4:E12)</f>
        <v>#DIV/0!</v>
      </c>
      <c r="F13" s="888" t="e">
        <f aca="false">AVERAGE(F4:F12)</f>
        <v>#DIV/0!</v>
      </c>
      <c r="G13" s="888" t="e">
        <f aca="false">AVERAGE(G4:G12)</f>
        <v>#DIV/0!</v>
      </c>
      <c r="H13" s="888" t="e">
        <f aca="false">AVERAGE(H4:H12)</f>
        <v>#DIV/0!</v>
      </c>
      <c r="I13" s="888" t="e">
        <f aca="false">AVERAGE(I4:I12)</f>
        <v>#DIV/0!</v>
      </c>
      <c r="J13" s="888" t="e">
        <f aca="false">AVERAGE(J4:J12)</f>
        <v>#DIV/0!</v>
      </c>
      <c r="K13" s="888" t="e">
        <f aca="false">AVERAGE(K4:K12)</f>
        <v>#DIV/0!</v>
      </c>
      <c r="L13" s="888" t="e">
        <f aca="false">AVERAGE(L4:L12)</f>
        <v>#DIV/0!</v>
      </c>
      <c r="M13" s="888" t="e">
        <f aca="false">AVERAGE(M4:M12)</f>
        <v>#DIV/0!</v>
      </c>
      <c r="N13" s="888" t="e">
        <f aca="false">AVERAGE(N4:N12)</f>
        <v>#DIV/0!</v>
      </c>
      <c r="O13" s="47"/>
      <c r="P13" s="357"/>
      <c r="Q13" s="357"/>
      <c r="R13" s="357"/>
      <c r="S13" s="45"/>
      <c r="T13" s="45"/>
    </row>
    <row r="14" customFormat="false" ht="15" hidden="false" customHeight="false" outlineLevel="0" collapsed="false">
      <c r="A14" s="45" t="s">
        <v>78</v>
      </c>
      <c r="B14" s="45"/>
      <c r="C14" s="45"/>
      <c r="D14" s="46"/>
      <c r="E14" s="49" t="e">
        <f aca="false">(COUNTIF(E8:E12,5)+COUNTIF(E8:E12,4)+COUNTIF(E8:E12,3))/$T$19*100</f>
        <v>#DIV/0!</v>
      </c>
      <c r="F14" s="49" t="e">
        <f aca="false">(COUNTIF(F8:F12,5)+COUNTIF(F8:F12,4)+COUNTIF(F8:F12,3))/$T$19*100</f>
        <v>#DIV/0!</v>
      </c>
      <c r="G14" s="49" t="e">
        <f aca="false">(COUNTIF(G8:G12,5)+COUNTIF(G8:G12,4)+COUNTIF(G8:G12,3))/$T$19*100</f>
        <v>#DIV/0!</v>
      </c>
      <c r="H14" s="49" t="e">
        <f aca="false">(COUNTIF(H8:H12,5)+COUNTIF(H8:H12,4)+COUNTIF(H8:H12,3))/$T$19*100</f>
        <v>#DIV/0!</v>
      </c>
      <c r="I14" s="49" t="e">
        <f aca="false">(COUNTIF(I8:I12,5)+COUNTIF(I8:I12,4)+COUNTIF(I8:I12,3))/$T$19*100</f>
        <v>#DIV/0!</v>
      </c>
      <c r="J14" s="49" t="e">
        <f aca="false">(COUNTIF(J8:J12,5)+COUNTIF(J8:J12,4)+COUNTIF(J8:J12,3))/$T$19*100</f>
        <v>#DIV/0!</v>
      </c>
      <c r="K14" s="49" t="e">
        <f aca="false">(COUNTIF(K8:K12,5)+COUNTIF(K8:K12,4)+COUNTIF(K8:K12,3))/$T$19*100</f>
        <v>#DIV/0!</v>
      </c>
      <c r="L14" s="49" t="e">
        <f aca="false">(COUNTIF(L8:L12,5)+COUNTIF(L8:L12,4)+COUNTIF(L8:L12,3))/$T$19*100</f>
        <v>#DIV/0!</v>
      </c>
      <c r="M14" s="49" t="e">
        <f aca="false">(COUNTIF(M8:M12,5)+COUNTIF(M8:M12,4)+COUNTIF(M8:M12,3))/$T$19*100</f>
        <v>#DIV/0!</v>
      </c>
      <c r="N14" s="49" t="e">
        <f aca="false">(COUNTIF(N8:N12,5)+COUNTIF(N8:N12,4)+COUNTIF(N8:N12,3))/$T$19*100</f>
        <v>#DIV/0!</v>
      </c>
      <c r="O14" s="47"/>
      <c r="P14" s="45"/>
      <c r="Q14" s="45"/>
      <c r="R14" s="45"/>
      <c r="S14" s="45"/>
      <c r="T14" s="45"/>
    </row>
    <row r="15" customFormat="false" ht="15" hidden="false" customHeight="false" outlineLevel="0" collapsed="false">
      <c r="A15" s="45"/>
      <c r="B15" s="45"/>
      <c r="C15" s="45"/>
      <c r="D15" s="46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5"/>
      <c r="S15" s="45"/>
      <c r="T15" s="45"/>
    </row>
    <row r="16" customFormat="false" ht="15" hidden="false" customHeight="false" outlineLevel="0" collapsed="false">
      <c r="A16" s="45"/>
      <c r="B16" s="45"/>
      <c r="C16" s="45"/>
      <c r="D16" s="45"/>
      <c r="E16" s="45"/>
      <c r="F16" s="45"/>
      <c r="G16" s="45"/>
      <c r="H16" s="45"/>
      <c r="I16" s="45"/>
      <c r="K16" s="45"/>
      <c r="L16" s="45"/>
      <c r="M16" s="45"/>
      <c r="N16" s="45"/>
      <c r="O16" s="45"/>
      <c r="P16" s="45"/>
      <c r="Q16" s="45"/>
      <c r="R16" s="45"/>
      <c r="S16" s="45"/>
      <c r="T16" s="45"/>
    </row>
    <row r="17" customFormat="false" ht="25.35" hidden="false" customHeight="true" outlineLevel="0" collapsed="false">
      <c r="A17" s="45"/>
      <c r="B17" s="50"/>
      <c r="C17" s="50" t="s">
        <v>8</v>
      </c>
      <c r="D17" s="51" t="str">
        <f aca="false">IFERROR(AVERAGE(O8:O12),"")</f>
        <v/>
      </c>
      <c r="E17" s="52" t="s">
        <v>9</v>
      </c>
      <c r="F17" s="45"/>
      <c r="G17" s="53" t="str">
        <f aca="false">IFERROR(COUNTIF(P8:P12,"Успевает")/T19*100,"")</f>
        <v/>
      </c>
      <c r="H17" s="319" t="s">
        <v>79</v>
      </c>
      <c r="I17" s="319"/>
      <c r="J17" s="906" t="str">
        <f aca="false">IFERROR(AVERAGE(Q8:Q12),"")</f>
        <v/>
      </c>
      <c r="K17" s="55"/>
      <c r="L17" s="52"/>
      <c r="M17" s="52"/>
      <c r="N17" s="52"/>
      <c r="O17" s="52"/>
      <c r="P17" s="52"/>
      <c r="Q17" s="158"/>
      <c r="R17" s="48"/>
      <c r="S17" s="48"/>
      <c r="T17" s="48"/>
    </row>
    <row r="18" customFormat="false" ht="15" hidden="false" customHeight="false" outlineLevel="0" collapsed="false">
      <c r="A18" s="45"/>
      <c r="B18" s="50"/>
      <c r="C18" s="50"/>
      <c r="D18" s="50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45"/>
      <c r="S18" s="45"/>
      <c r="T18" s="45"/>
    </row>
    <row r="19" customFormat="false" ht="15" hidden="false" customHeight="true" outlineLevel="0" collapsed="false">
      <c r="A19" s="50"/>
      <c r="B19" s="61" t="s">
        <v>81</v>
      </c>
      <c r="C19" s="61"/>
      <c r="D19" s="61"/>
      <c r="E19" s="61"/>
      <c r="F19" s="61"/>
      <c r="G19" s="61"/>
      <c r="H19" s="61"/>
      <c r="I19" s="61"/>
      <c r="J19" s="61"/>
      <c r="K19" s="61"/>
      <c r="L19" s="61" t="s">
        <v>82</v>
      </c>
      <c r="M19" s="61"/>
      <c r="N19" s="61"/>
      <c r="O19" s="61"/>
      <c r="P19" s="61"/>
      <c r="Q19" s="56"/>
      <c r="R19" s="57" t="s">
        <v>80</v>
      </c>
      <c r="S19" s="57"/>
      <c r="T19" s="58" t="n">
        <f aca="false">SUM(T20,T21)</f>
        <v>0</v>
      </c>
    </row>
    <row r="20" customFormat="false" ht="15" hidden="false" customHeight="true" outlineLevel="0" collapsed="false">
      <c r="A20" s="50"/>
      <c r="B20" s="65" t="str">
        <f aca="false">$E$6</f>
        <v> Защита информации от утечки по техническим каналам</v>
      </c>
      <c r="C20" s="65"/>
      <c r="D20" s="65"/>
      <c r="E20" s="65"/>
      <c r="F20" s="65"/>
      <c r="G20" s="65"/>
      <c r="H20" s="65"/>
      <c r="I20" s="65"/>
      <c r="J20" s="65"/>
      <c r="K20" s="65"/>
      <c r="L20" s="285"/>
      <c r="M20" s="285"/>
      <c r="N20" s="285"/>
      <c r="O20" s="285"/>
      <c r="P20" s="285"/>
      <c r="Q20" s="67"/>
      <c r="R20" s="57" t="s">
        <v>83</v>
      </c>
      <c r="S20" s="57"/>
      <c r="T20" s="58" t="n">
        <f aca="false">COUNTIF(P8:P12,"Успевает")</f>
        <v>0</v>
      </c>
    </row>
    <row r="21" customFormat="false" ht="15" hidden="false" customHeight="false" outlineLevel="0" collapsed="false">
      <c r="A21" s="50"/>
      <c r="B21" s="65" t="str">
        <f aca="false">$F$6</f>
        <v>Методы и средства криптографической защиты информации (к.р.)</v>
      </c>
      <c r="C21" s="65"/>
      <c r="D21" s="65"/>
      <c r="E21" s="65"/>
      <c r="F21" s="65"/>
      <c r="G21" s="65"/>
      <c r="H21" s="65"/>
      <c r="I21" s="65"/>
      <c r="J21" s="65"/>
      <c r="K21" s="65"/>
      <c r="L21" s="285"/>
      <c r="M21" s="285"/>
      <c r="N21" s="285"/>
      <c r="O21" s="285"/>
      <c r="P21" s="285"/>
      <c r="Q21" s="67"/>
      <c r="R21" s="98" t="s">
        <v>84</v>
      </c>
      <c r="S21" s="98"/>
      <c r="T21" s="58" t="n">
        <f aca="false">COUNTIF(P8:P12,"Не успевает")</f>
        <v>0</v>
      </c>
    </row>
    <row r="22" customFormat="false" ht="15" hidden="false" customHeight="false" outlineLevel="0" collapsed="false">
      <c r="A22" s="50"/>
      <c r="B22" s="65" t="str">
        <f aca="false">$G$6</f>
        <v> Средства анализа безопасности программного обеспечения</v>
      </c>
      <c r="C22" s="65"/>
      <c r="D22" s="65"/>
      <c r="E22" s="65"/>
      <c r="F22" s="65"/>
      <c r="G22" s="65"/>
      <c r="H22" s="65"/>
      <c r="I22" s="65"/>
      <c r="J22" s="65"/>
      <c r="K22" s="65"/>
      <c r="L22" s="285"/>
      <c r="M22" s="285"/>
      <c r="N22" s="285"/>
      <c r="O22" s="285"/>
      <c r="P22" s="285"/>
      <c r="Q22" s="67"/>
      <c r="R22" s="98" t="s">
        <v>85</v>
      </c>
      <c r="S22" s="98"/>
      <c r="T22" s="58" t="n">
        <f aca="false">COUNTIF(R8:R12,"Благодарность")</f>
        <v>0</v>
      </c>
    </row>
    <row r="23" customFormat="false" ht="15" hidden="false" customHeight="false" outlineLevel="0" collapsed="false">
      <c r="A23" s="50"/>
      <c r="B23" s="65" t="str">
        <f aca="false">$H$6</f>
        <v> Средства и комплексы радиосвязи </v>
      </c>
      <c r="C23" s="65"/>
      <c r="D23" s="65"/>
      <c r="E23" s="65"/>
      <c r="F23" s="65"/>
      <c r="G23" s="65"/>
      <c r="H23" s="65"/>
      <c r="I23" s="65"/>
      <c r="J23" s="65"/>
      <c r="K23" s="65"/>
      <c r="L23" s="285"/>
      <c r="M23" s="285"/>
      <c r="N23" s="285"/>
      <c r="O23" s="285"/>
      <c r="P23" s="285"/>
      <c r="Q23" s="67"/>
      <c r="R23" s="98" t="s">
        <v>86</v>
      </c>
      <c r="S23" s="98"/>
      <c r="T23" s="58" t="n">
        <f aca="false">COUNTIF(R8:R12,"Нормально")</f>
        <v>0</v>
      </c>
    </row>
    <row r="24" customFormat="false" ht="15" hidden="false" customHeight="false" outlineLevel="0" collapsed="false">
      <c r="A24" s="50"/>
      <c r="B24" s="65" t="str">
        <f aca="false">$I$6</f>
        <v> Администрирование и тестирование систем защиты информации</v>
      </c>
      <c r="C24" s="65"/>
      <c r="D24" s="65"/>
      <c r="E24" s="65"/>
      <c r="F24" s="65"/>
      <c r="G24" s="65"/>
      <c r="H24" s="65"/>
      <c r="I24" s="65"/>
      <c r="J24" s="65"/>
      <c r="K24" s="65"/>
      <c r="L24" s="285"/>
      <c r="M24" s="285"/>
      <c r="N24" s="285"/>
      <c r="O24" s="285"/>
      <c r="P24" s="285"/>
      <c r="Q24" s="67"/>
      <c r="R24" s="98" t="s">
        <v>87</v>
      </c>
      <c r="S24" s="98"/>
      <c r="T24" s="58" t="n">
        <f aca="false">COUNTIF(R8:R12,"Предупреждение")</f>
        <v>0</v>
      </c>
    </row>
    <row r="25" customFormat="false" ht="15" hidden="false" customHeight="false" outlineLevel="0" collapsed="false">
      <c r="A25" s="50"/>
      <c r="B25" s="65" t="str">
        <f aca="false">$J$6</f>
        <v>Методы антивирусной защиты</v>
      </c>
      <c r="C25" s="65"/>
      <c r="D25" s="65"/>
      <c r="E25" s="65"/>
      <c r="F25" s="65"/>
      <c r="G25" s="65"/>
      <c r="H25" s="65"/>
      <c r="I25" s="65"/>
      <c r="J25" s="65"/>
      <c r="K25" s="65"/>
      <c r="L25" s="285"/>
      <c r="M25" s="285"/>
      <c r="N25" s="285"/>
      <c r="O25" s="285"/>
      <c r="P25" s="285"/>
      <c r="Q25" s="67"/>
      <c r="R25" s="98" t="s">
        <v>88</v>
      </c>
      <c r="S25" s="98"/>
      <c r="T25" s="58" t="n">
        <f aca="false">COUNTIF(R8:R12,"Выговор")</f>
        <v>0</v>
      </c>
    </row>
    <row r="26" customFormat="false" ht="15" hidden="false" customHeight="false" outlineLevel="0" collapsed="false">
      <c r="A26" s="50"/>
      <c r="B26" s="65" t="str">
        <f aca="false">$K$6</f>
        <v>Научно-исследовательская работа</v>
      </c>
      <c r="C26" s="65"/>
      <c r="D26" s="65"/>
      <c r="E26" s="65"/>
      <c r="F26" s="65"/>
      <c r="G26" s="65"/>
      <c r="H26" s="65"/>
      <c r="I26" s="65"/>
      <c r="J26" s="65"/>
      <c r="K26" s="65"/>
      <c r="L26" s="285"/>
      <c r="M26" s="285"/>
      <c r="N26" s="285"/>
      <c r="O26" s="285"/>
      <c r="P26" s="285"/>
      <c r="Q26" s="67"/>
      <c r="R26" s="185" t="s">
        <v>1575</v>
      </c>
      <c r="S26" s="186"/>
      <c r="T26" s="143" t="n">
        <f aca="false">SUM(S8:S12)</f>
        <v>0</v>
      </c>
    </row>
    <row r="27" customFormat="false" ht="15" hidden="false" customHeight="false" outlineLevel="0" collapsed="false">
      <c r="A27" s="50"/>
      <c r="B27" s="65" t="str">
        <f aca="false">$L$6</f>
        <v> Работа на средствах радиосвязи </v>
      </c>
      <c r="C27" s="65"/>
      <c r="D27" s="65"/>
      <c r="E27" s="65"/>
      <c r="F27" s="65"/>
      <c r="G27" s="65"/>
      <c r="H27" s="65"/>
      <c r="I27" s="65"/>
      <c r="J27" s="65"/>
      <c r="K27" s="65"/>
      <c r="L27" s="285"/>
      <c r="M27" s="285"/>
      <c r="N27" s="285"/>
      <c r="O27" s="285"/>
      <c r="P27" s="285"/>
      <c r="Q27" s="67"/>
      <c r="R27" s="67"/>
      <c r="S27" s="67"/>
      <c r="T27" s="48"/>
    </row>
    <row r="28" customFormat="false" ht="15" hidden="false" customHeight="false" outlineLevel="0" collapsed="false">
      <c r="A28" s="50"/>
      <c r="B28" s="65" t="str">
        <f aca="false">$M$6</f>
        <v>Средства и комплексы радиорелейной, спутниковой и электропроводной связи</v>
      </c>
      <c r="C28" s="65"/>
      <c r="D28" s="65"/>
      <c r="E28" s="65"/>
      <c r="F28" s="65"/>
      <c r="G28" s="65"/>
      <c r="H28" s="65"/>
      <c r="I28" s="65"/>
      <c r="J28" s="65"/>
      <c r="K28" s="65"/>
      <c r="L28" s="285"/>
      <c r="M28" s="285"/>
      <c r="N28" s="285"/>
      <c r="O28" s="285"/>
      <c r="P28" s="285"/>
      <c r="Q28" s="67"/>
      <c r="R28" s="67"/>
      <c r="S28" s="67"/>
      <c r="T28" s="48"/>
    </row>
    <row r="29" customFormat="false" ht="15" hidden="false" customHeight="false" outlineLevel="0" collapsed="false">
      <c r="A29" s="50"/>
      <c r="B29" s="65" t="str">
        <f aca="false">$N$6</f>
        <v>Экономика предприятия </v>
      </c>
      <c r="C29" s="65"/>
      <c r="D29" s="65"/>
      <c r="E29" s="65"/>
      <c r="F29" s="65"/>
      <c r="G29" s="65"/>
      <c r="H29" s="65"/>
      <c r="I29" s="65"/>
      <c r="J29" s="65"/>
      <c r="K29" s="65"/>
      <c r="L29" s="285"/>
      <c r="M29" s="285"/>
      <c r="N29" s="285"/>
      <c r="O29" s="285"/>
      <c r="P29" s="285"/>
      <c r="Q29" s="48"/>
      <c r="R29" s="48"/>
      <c r="S29" s="48"/>
      <c r="T29" s="48"/>
    </row>
    <row r="30" s="45" customFormat="true" ht="15" hidden="false" customHeight="false" outlineLevel="0" collapsed="false">
      <c r="A30" s="50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50"/>
      <c r="M30" s="50"/>
      <c r="N30" s="50"/>
      <c r="O30" s="50"/>
      <c r="P30" s="50"/>
      <c r="Q30" s="48"/>
      <c r="R30" s="48"/>
      <c r="S30" s="48"/>
      <c r="T30" s="48"/>
    </row>
    <row r="31" customFormat="false" ht="15" hidden="false" customHeight="true" outlineLevel="0" collapsed="false">
      <c r="A31" s="50"/>
      <c r="B31" s="73" t="s">
        <v>405</v>
      </c>
      <c r="C31" s="198" t="s">
        <v>3096</v>
      </c>
      <c r="D31" s="198"/>
      <c r="E31" s="67"/>
      <c r="F31" s="52" t="s">
        <v>3081</v>
      </c>
      <c r="G31" s="300" t="s">
        <v>3097</v>
      </c>
      <c r="H31" s="52"/>
      <c r="I31" s="52"/>
      <c r="J31" s="52"/>
      <c r="K31" s="52"/>
      <c r="L31" s="52"/>
      <c r="M31" s="52"/>
      <c r="N31" s="50"/>
      <c r="O31" s="50"/>
      <c r="P31" s="50"/>
      <c r="Q31" s="48"/>
      <c r="R31" s="48"/>
      <c r="S31" s="48"/>
      <c r="T31" s="48"/>
    </row>
    <row r="32" customFormat="false" ht="15" hidden="false" customHeight="false" outlineLevel="0" collapsed="false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48"/>
      <c r="R32" s="45"/>
      <c r="S32" s="45"/>
      <c r="T32" s="45"/>
    </row>
    <row r="33" customFormat="false" ht="15" hidden="false" customHeight="false" outlineLevel="0" collapsed="false">
      <c r="A33" s="50"/>
      <c r="B33" s="50" t="s">
        <v>93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48"/>
      <c r="R33" s="45"/>
      <c r="S33" s="45"/>
      <c r="T33" s="45"/>
    </row>
    <row r="34" customFormat="false" ht="15" hidden="false" customHeight="false" outlineLevel="0" collapsed="false">
      <c r="A34" s="50"/>
      <c r="B34" s="50" t="s">
        <v>94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48"/>
      <c r="R34" s="45"/>
      <c r="S34" s="45"/>
      <c r="T34" s="45"/>
    </row>
    <row r="35" customFormat="false" ht="15" hidden="false" customHeight="false" outlineLevel="0" collapsed="false">
      <c r="A35" s="50"/>
      <c r="B35" s="50" t="s">
        <v>95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48"/>
      <c r="R35" s="45"/>
      <c r="S35" s="45"/>
      <c r="T35" s="45"/>
    </row>
    <row r="36" customFormat="false" ht="15" hidden="false" customHeight="false" outlineLevel="0" collapsed="false">
      <c r="A36" s="50"/>
      <c r="B36" s="50" t="s">
        <v>96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48"/>
      <c r="R36" s="45"/>
      <c r="S36" s="45"/>
      <c r="T36" s="45"/>
    </row>
    <row r="37" customFormat="false" ht="15" hidden="false" customHeight="false" outlineLevel="0" collapsed="false">
      <c r="A37" s="50"/>
      <c r="B37" s="50" t="s">
        <v>97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48"/>
      <c r="R37" s="45"/>
      <c r="S37" s="45"/>
      <c r="T37" s="45"/>
    </row>
    <row r="38" customFormat="false" ht="15" hidden="false" customHeight="false" outlineLevel="0" collapsed="false">
      <c r="A38" s="50"/>
      <c r="B38" s="50" t="s">
        <v>98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48"/>
      <c r="R38" s="45"/>
      <c r="S38" s="45"/>
      <c r="T38" s="45"/>
    </row>
    <row r="39" customFormat="false" ht="15" hidden="false" customHeight="false" outlineLevel="0" collapsed="false">
      <c r="A39" s="50"/>
      <c r="B39" s="50" t="s">
        <v>99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48"/>
      <c r="R39" s="45"/>
      <c r="S39" s="45"/>
      <c r="T39" s="45"/>
    </row>
  </sheetData>
  <mergeCells count="43">
    <mergeCell ref="E1:H1"/>
    <mergeCell ref="A3:Q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H17:I17"/>
    <mergeCell ref="B19:K19"/>
    <mergeCell ref="L19:P19"/>
    <mergeCell ref="R19:S19"/>
    <mergeCell ref="B20:K20"/>
    <mergeCell ref="L20:P20"/>
    <mergeCell ref="R20:S20"/>
    <mergeCell ref="B21:K21"/>
    <mergeCell ref="L21:P21"/>
    <mergeCell ref="R21:S21"/>
    <mergeCell ref="B22:K22"/>
    <mergeCell ref="L22:P22"/>
    <mergeCell ref="R22:S22"/>
    <mergeCell ref="B23:K23"/>
    <mergeCell ref="L23:P23"/>
    <mergeCell ref="R23:S23"/>
    <mergeCell ref="B24:K24"/>
    <mergeCell ref="L24:P24"/>
    <mergeCell ref="R24:S24"/>
    <mergeCell ref="B25:K25"/>
    <mergeCell ref="L25:P25"/>
    <mergeCell ref="R25:S25"/>
    <mergeCell ref="B26:K26"/>
    <mergeCell ref="L26:P26"/>
    <mergeCell ref="B27:K27"/>
    <mergeCell ref="L27:P27"/>
    <mergeCell ref="B28:K28"/>
    <mergeCell ref="L28:P28"/>
    <mergeCell ref="B29:K29"/>
    <mergeCell ref="L29:P29"/>
  </mergeCells>
  <conditionalFormatting sqref="E13:N13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13:O14 Q1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4:E15 F14:N14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5:P1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N12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12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46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0" activeCellId="0" sqref="C10"/>
    </sheetView>
  </sheetViews>
  <sheetFormatPr defaultColWidth="8.71484375" defaultRowHeight="15" zeroHeight="false" outlineLevelRow="0" outlineLevelCol="0"/>
  <cols>
    <col collapsed="false" customWidth="true" hidden="false" outlineLevel="0" max="2" min="2" style="0" width="9.71"/>
    <col collapsed="false" customWidth="true" hidden="false" outlineLevel="0" max="3" min="3" style="0" width="19.29"/>
    <col collapsed="false" customWidth="true" hidden="false" outlineLevel="0" max="4" min="4" style="0" width="7.57"/>
    <col collapsed="false" customWidth="true" hidden="false" outlineLevel="0" max="5" min="5" style="45" width="11.71"/>
    <col collapsed="false" customWidth="false" hidden="false" outlineLevel="0" max="10" min="7" style="45" width="8.71"/>
    <col collapsed="false" customWidth="true" hidden="false" outlineLevel="0" max="11" min="11" style="0" width="9.57"/>
    <col collapsed="false" customWidth="true" hidden="false" outlineLevel="0" max="13" min="13" style="0" width="14.42"/>
    <col collapsed="false" customWidth="true" hidden="false" outlineLevel="0" max="14" min="14" style="0" width="9.71"/>
    <col collapsed="false" customWidth="true" hidden="false" outlineLevel="0" max="15" min="15" style="0" width="11.29"/>
    <col collapsed="false" customWidth="true" hidden="false" outlineLevel="0" max="17" min="17" style="0" width="4.86"/>
  </cols>
  <sheetData>
    <row r="1" customFormat="false" ht="19.7" hidden="false" customHeight="false" outlineLevel="0" collapsed="false">
      <c r="F1" s="907" t="s">
        <v>0</v>
      </c>
      <c r="G1" s="907"/>
      <c r="H1" s="907"/>
      <c r="I1" s="907"/>
      <c r="J1" s="907"/>
      <c r="K1" s="907"/>
      <c r="L1" s="907"/>
      <c r="M1" s="907"/>
      <c r="N1" s="2" t="n">
        <f aca="false">set!B1</f>
        <v>2</v>
      </c>
    </row>
    <row r="2" customFormat="false" ht="15" hidden="false" customHeight="false" outlineLevel="0" collapsed="false">
      <c r="P2" s="5" t="s">
        <v>1</v>
      </c>
      <c r="Q2" s="5"/>
      <c r="R2" s="5"/>
      <c r="S2" s="5"/>
      <c r="T2" s="389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ИУК6-111 факультета ИУК МГТУ им. Н.Э. Баумана"</f>
        <v>Успеваемость студентов за 1 семестр 24/25 учебного года по группе ИУК6-111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908" t="s">
        <v>6</v>
      </c>
      <c r="F5" s="11" t="s">
        <v>7</v>
      </c>
      <c r="G5" s="11"/>
      <c r="H5" s="11"/>
      <c r="I5" s="11"/>
      <c r="J5" s="11"/>
      <c r="K5" s="11"/>
      <c r="L5" s="391" t="s">
        <v>8</v>
      </c>
      <c r="M5" s="392" t="s">
        <v>9</v>
      </c>
      <c r="N5" s="392" t="s">
        <v>10</v>
      </c>
      <c r="O5" s="14" t="s">
        <v>11</v>
      </c>
      <c r="P5" s="652" t="s">
        <v>1575</v>
      </c>
    </row>
    <row r="6" customFormat="false" ht="78" hidden="false" customHeight="true" outlineLevel="0" collapsed="false">
      <c r="A6" s="8"/>
      <c r="B6" s="8"/>
      <c r="C6" s="8"/>
      <c r="D6" s="9"/>
      <c r="E6" s="909" t="s">
        <v>3098</v>
      </c>
      <c r="F6" s="15" t="s">
        <v>3099</v>
      </c>
      <c r="G6" s="268" t="s">
        <v>467</v>
      </c>
      <c r="H6" s="268" t="s">
        <v>3100</v>
      </c>
      <c r="I6" s="268" t="s">
        <v>3101</v>
      </c>
      <c r="J6" s="268" t="s">
        <v>3102</v>
      </c>
      <c r="K6" s="18" t="s">
        <v>3103</v>
      </c>
      <c r="L6" s="391"/>
      <c r="M6" s="392"/>
      <c r="N6" s="392"/>
      <c r="O6" s="14"/>
      <c r="P6" s="652"/>
    </row>
    <row r="7" customFormat="false" ht="17.9" hidden="false" customHeight="false" outlineLevel="0" collapsed="false">
      <c r="A7" s="8"/>
      <c r="B7" s="8"/>
      <c r="C7" s="8"/>
      <c r="D7" s="9"/>
      <c r="E7" s="910" t="s">
        <v>2723</v>
      </c>
      <c r="F7" s="343" t="s">
        <v>2723</v>
      </c>
      <c r="G7" s="407" t="s">
        <v>2649</v>
      </c>
      <c r="H7" s="407" t="s">
        <v>2899</v>
      </c>
      <c r="I7" s="407" t="s">
        <v>3104</v>
      </c>
      <c r="J7" s="407" t="s">
        <v>2723</v>
      </c>
      <c r="K7" s="346" t="s">
        <v>2648</v>
      </c>
      <c r="L7" s="391"/>
      <c r="M7" s="392"/>
      <c r="N7" s="392"/>
      <c r="O7" s="14"/>
      <c r="P7" s="652"/>
    </row>
    <row r="8" customFormat="false" ht="15" hidden="false" customHeight="true" outlineLevel="0" collapsed="false">
      <c r="A8" s="77" t="n">
        <v>1</v>
      </c>
      <c r="B8" s="77" t="s">
        <v>3105</v>
      </c>
      <c r="C8" s="77" t="s">
        <v>3106</v>
      </c>
      <c r="D8" s="911"/>
      <c r="E8" s="912"/>
      <c r="F8" s="913"/>
      <c r="G8" s="914"/>
      <c r="H8" s="914"/>
      <c r="I8" s="914"/>
      <c r="J8" s="914"/>
      <c r="K8" s="915"/>
      <c r="L8" s="33" t="str">
        <f aca="false">IFERROR(AVERAGE(F8:K8),"")</f>
        <v/>
      </c>
      <c r="M8" s="84" t="str">
        <f aca="false">IF(F8&lt;&gt;"",IF(COUNTIF(F8:K8,"&lt;3"),"Не успевает","Успевает"),"")</f>
        <v/>
      </c>
      <c r="N8" s="241" t="str">
        <f aca="false">IF(D8&lt;&gt;"",(30*(set!B$5)-D8)/(30*(set!B$5))*100,"")</f>
        <v/>
      </c>
      <c r="O8" s="84" t="str">
        <f aca="false">IF(F8&lt;&gt;"",IF(L8&lt;1.85,"Выговор",IF(L8=1.85,"Выговор",IF(AND(L8&gt;1.85,L8&lt;3),"Предупреждение",IF(AND(L8&gt;3,L8&lt;4.65),"Нормально",IF(AND(L8&gt;4.65,L8&lt;5.1,F8:K8&gt;=4),"Благодарность","Нормально"))))),"")</f>
        <v/>
      </c>
      <c r="P8" s="85" t="n">
        <f aca="false">COUNTIF(F8:K8,2)+COUNTIF(F8:K8,1)+COUNTIF(F8:K8,0)</f>
        <v>0</v>
      </c>
    </row>
    <row r="9" customFormat="false" ht="15" hidden="false" customHeight="true" outlineLevel="0" collapsed="false">
      <c r="A9" s="37" t="n">
        <v>2</v>
      </c>
      <c r="B9" s="37" t="s">
        <v>3107</v>
      </c>
      <c r="C9" s="37" t="s">
        <v>3108</v>
      </c>
      <c r="D9" s="911"/>
      <c r="E9" s="912"/>
      <c r="F9" s="916"/>
      <c r="G9" s="917"/>
      <c r="H9" s="917"/>
      <c r="I9" s="917"/>
      <c r="J9" s="917"/>
      <c r="K9" s="918"/>
      <c r="L9" s="33" t="str">
        <f aca="false">IFERROR(AVERAGE(F9:K9),"")</f>
        <v/>
      </c>
      <c r="M9" s="84" t="str">
        <f aca="false">IF(F9&lt;&gt;"",IF(COUNTIF(F9:K9,"&lt;3"),"Не успевает","Успевает"),"")</f>
        <v/>
      </c>
      <c r="N9" s="241" t="str">
        <f aca="false">IF(D9&lt;&gt;"",(30*(set!B$5)-D9)/(30*(set!B$5))*100,"")</f>
        <v/>
      </c>
      <c r="O9" s="117" t="str">
        <f aca="false" t="array" ref="O9:O9">IF(F9&lt;&gt;"",IF(L9&lt;1.85,"Выговор",IF(L9=1.85,"Выговор",IF(AND(L9&gt;1.85,L9&lt;3),"Предупреждение",IF(AND(L9&gt;3,L9&lt;4.65),"Нормально",IF(AND(L9&gt;4.65,L9&lt;5.1,F9:K9&gt;=4),"Благодарность","Нормально"))))),"")</f>
        <v/>
      </c>
      <c r="P9" s="85" t="n">
        <f aca="false">COUNTIF(F9:K9,2)+COUNTIF(F9:K9,1)+COUNTIF(F9:K9,0)</f>
        <v>0</v>
      </c>
    </row>
    <row r="10" customFormat="false" ht="15" hidden="false" customHeight="true" outlineLevel="0" collapsed="false">
      <c r="A10" s="37" t="n">
        <v>3</v>
      </c>
      <c r="B10" s="37" t="s">
        <v>3109</v>
      </c>
      <c r="C10" s="37" t="s">
        <v>3110</v>
      </c>
      <c r="D10" s="911"/>
      <c r="E10" s="912"/>
      <c r="F10" s="916"/>
      <c r="G10" s="917"/>
      <c r="H10" s="917"/>
      <c r="I10" s="917"/>
      <c r="J10" s="917"/>
      <c r="K10" s="918"/>
      <c r="L10" s="33" t="str">
        <f aca="false">IFERROR(AVERAGE(F10:K10),"")</f>
        <v/>
      </c>
      <c r="M10" s="84" t="str">
        <f aca="false">IF(F10&lt;&gt;"",IF(COUNTIF(F10:K10,"&lt;3"),"Не успевает","Успевает"),"")</f>
        <v/>
      </c>
      <c r="N10" s="241" t="str">
        <f aca="false">IF(D10&lt;&gt;"",(30*(set!B$5)-D10)/(30*(set!B$5))*100,"")</f>
        <v/>
      </c>
      <c r="O10" s="117" t="str">
        <f aca="false" t="array" ref="O10:O10">IF(F10&lt;&gt;"",IF(L10&lt;1.85,"Выговор",IF(L10=1.85,"Выговор",IF(AND(L10&gt;1.85,L10&lt;3),"Предупреждение",IF(AND(L10&gt;3,L10&lt;4.65),"Нормально",IF(AND(L10&gt;4.65,L10&lt;5.1,F10:K10&gt;=4),"Благодарность","Нормально"))))),"")</f>
        <v/>
      </c>
      <c r="P10" s="85" t="n">
        <f aca="false">COUNTIF(F10:K10,2)+COUNTIF(F10:K10,1)+COUNTIF(F10:K10,0)</f>
        <v>0</v>
      </c>
    </row>
    <row r="11" customFormat="false" ht="15" hidden="false" customHeight="true" outlineLevel="0" collapsed="false">
      <c r="A11" s="77" t="n">
        <v>4</v>
      </c>
      <c r="B11" s="37" t="s">
        <v>3111</v>
      </c>
      <c r="C11" s="37" t="s">
        <v>3112</v>
      </c>
      <c r="D11" s="911"/>
      <c r="E11" s="912"/>
      <c r="F11" s="916"/>
      <c r="G11" s="917"/>
      <c r="H11" s="917"/>
      <c r="I11" s="917"/>
      <c r="J11" s="917"/>
      <c r="K11" s="918"/>
      <c r="L11" s="33" t="str">
        <f aca="false">IFERROR(AVERAGE(F11:K11),"")</f>
        <v/>
      </c>
      <c r="M11" s="84" t="str">
        <f aca="false">IF(F11&lt;&gt;"",IF(COUNTIF(F11:K11,"&lt;3"),"Не успевает","Успевает"),"")</f>
        <v/>
      </c>
      <c r="N11" s="241" t="str">
        <f aca="false">IF(D11&lt;&gt;"",(30*(set!B$5)-D11)/(30*(set!B$5))*100,"")</f>
        <v/>
      </c>
      <c r="O11" s="117" t="str">
        <f aca="false" t="array" ref="O11:O11">IF(F11&lt;&gt;"",IF(L11&lt;1.85,"Выговор",IF(L11=1.85,"Выговор",IF(AND(L11&gt;1.85,L11&lt;3),"Предупреждение",IF(AND(L11&gt;3,L11&lt;4.65),"Нормально",IF(AND(L11&gt;4.65,L11&lt;5.1,F11:K11&gt;=4),"Благодарность","Нормально"))))),"")</f>
        <v/>
      </c>
      <c r="P11" s="85" t="n">
        <f aca="false">COUNTIF(F11:K11,2)+COUNTIF(F11:K11,1)+COUNTIF(F11:K11,0)</f>
        <v>0</v>
      </c>
    </row>
    <row r="12" customFormat="false" ht="15" hidden="false" customHeight="true" outlineLevel="0" collapsed="false">
      <c r="A12" s="37" t="n">
        <v>5</v>
      </c>
      <c r="B12" s="37" t="s">
        <v>3113</v>
      </c>
      <c r="C12" s="37" t="s">
        <v>3114</v>
      </c>
      <c r="D12" s="911"/>
      <c r="E12" s="912"/>
      <c r="F12" s="916"/>
      <c r="G12" s="917"/>
      <c r="H12" s="917"/>
      <c r="I12" s="917"/>
      <c r="J12" s="917"/>
      <c r="K12" s="918"/>
      <c r="L12" s="33" t="str">
        <f aca="false">IFERROR(AVERAGE(F12:K12),"")</f>
        <v/>
      </c>
      <c r="M12" s="84" t="str">
        <f aca="false">IF(F12&lt;&gt;"",IF(COUNTIF(F12:K12,"&lt;3"),"Не успевает","Успевает"),"")</f>
        <v/>
      </c>
      <c r="N12" s="241" t="str">
        <f aca="false">IF(D12&lt;&gt;"",(30*(set!B$5)-D12)/(30*(set!B$5))*100,"")</f>
        <v/>
      </c>
      <c r="O12" s="117" t="str">
        <f aca="false" t="array" ref="O12:O12">IF(F12&lt;&gt;"",IF(L12&lt;1.85,"Выговор",IF(L12=1.85,"Выговор",IF(AND(L12&gt;1.85,L12&lt;3),"Предупреждение",IF(AND(L12&gt;3,L12&lt;4.65),"Нормально",IF(AND(L12&gt;4.65,L12&lt;5.1,F12:K12&gt;=4),"Благодарность","Нормально"))))),"")</f>
        <v/>
      </c>
      <c r="P12" s="85" t="n">
        <f aca="false">COUNTIF(F12:K12,2)+COUNTIF(F12:K12,1)+COUNTIF(F12:K12,0)</f>
        <v>0</v>
      </c>
    </row>
    <row r="13" customFormat="false" ht="15" hidden="false" customHeight="true" outlineLevel="0" collapsed="false">
      <c r="A13" s="37" t="n">
        <v>6</v>
      </c>
      <c r="B13" s="37" t="s">
        <v>3115</v>
      </c>
      <c r="C13" s="37" t="s">
        <v>3116</v>
      </c>
      <c r="D13" s="911"/>
      <c r="E13" s="912"/>
      <c r="F13" s="916"/>
      <c r="G13" s="917"/>
      <c r="H13" s="917"/>
      <c r="I13" s="917"/>
      <c r="J13" s="917"/>
      <c r="K13" s="918"/>
      <c r="L13" s="33" t="str">
        <f aca="false">IFERROR(AVERAGE(F13:K13),"")</f>
        <v/>
      </c>
      <c r="M13" s="84" t="str">
        <f aca="false">IF(F13&lt;&gt;"",IF(COUNTIF(F13:K13,"&lt;3"),"Не успевает","Успевает"),"")</f>
        <v/>
      </c>
      <c r="N13" s="241" t="str">
        <f aca="false">IF(D13&lt;&gt;"",(30*(set!B$5)-D13)/(30*(set!B$5))*100,"")</f>
        <v/>
      </c>
      <c r="O13" s="117" t="str">
        <f aca="false" t="array" ref="O13:O13">IF(F13&lt;&gt;"",IF(L13&lt;1.85,"Выговор",IF(L13=1.85,"Выговор",IF(AND(L13&gt;1.85,L13&lt;3),"Предупреждение",IF(AND(L13&gt;3,L13&lt;4.65),"Нормально",IF(AND(L13&gt;4.65,L13&lt;5.1,F13:K13&gt;=4),"Благодарность","Нормально"))))),"")</f>
        <v/>
      </c>
      <c r="P13" s="85" t="n">
        <f aca="false">COUNTIF(F13:K13,2)+COUNTIF(F13:K13,1)+COUNTIF(F13:K13,0)</f>
        <v>0</v>
      </c>
    </row>
    <row r="14" customFormat="false" ht="15" hidden="false" customHeight="true" outlineLevel="0" collapsed="false">
      <c r="A14" s="77" t="n">
        <v>7</v>
      </c>
      <c r="B14" s="37" t="s">
        <v>3117</v>
      </c>
      <c r="C14" s="37" t="s">
        <v>3118</v>
      </c>
      <c r="D14" s="911"/>
      <c r="E14" s="912"/>
      <c r="F14" s="916"/>
      <c r="G14" s="917"/>
      <c r="H14" s="917"/>
      <c r="I14" s="917"/>
      <c r="J14" s="917"/>
      <c r="K14" s="918"/>
      <c r="L14" s="33" t="str">
        <f aca="false">IFERROR(AVERAGE(F14:K14),"")</f>
        <v/>
      </c>
      <c r="M14" s="84" t="str">
        <f aca="false">IF(F14&lt;&gt;"",IF(COUNTIF(F14:K14,"&lt;3"),"Не успевает","Успевает"),"")</f>
        <v/>
      </c>
      <c r="N14" s="241" t="str">
        <f aca="false">IF(D14&lt;&gt;"",(30*(set!B$5)-D14)/(30*(set!B$5))*100,"")</f>
        <v/>
      </c>
      <c r="O14" s="117" t="str">
        <f aca="false" t="array" ref="O14:O14">IF(F14&lt;&gt;"",IF(L14&lt;1.85,"Выговор",IF(L14=1.85,"Выговор",IF(AND(L14&gt;1.85,L14&lt;3),"Предупреждение",IF(AND(L14&gt;3,L14&lt;4.65),"Нормально",IF(AND(L14&gt;4.65,L14&lt;5.1,F14:K14&gt;=4),"Благодарность","Нормально"))))),"")</f>
        <v/>
      </c>
      <c r="P14" s="85" t="n">
        <f aca="false">COUNTIF(F14:K14,2)+COUNTIF(F14:K14,1)+COUNTIF(F14:K14,0)</f>
        <v>0</v>
      </c>
    </row>
    <row r="15" customFormat="false" ht="15" hidden="false" customHeight="true" outlineLevel="0" collapsed="false">
      <c r="A15" s="37" t="n">
        <v>8</v>
      </c>
      <c r="B15" s="37" t="s">
        <v>3119</v>
      </c>
      <c r="C15" s="37" t="s">
        <v>3120</v>
      </c>
      <c r="D15" s="911"/>
      <c r="E15" s="912"/>
      <c r="F15" s="916"/>
      <c r="G15" s="917"/>
      <c r="H15" s="917"/>
      <c r="I15" s="917"/>
      <c r="J15" s="917"/>
      <c r="K15" s="918"/>
      <c r="L15" s="33" t="str">
        <f aca="false">IFERROR(AVERAGE(F15:K15),"")</f>
        <v/>
      </c>
      <c r="M15" s="84" t="str">
        <f aca="false">IF(F15&lt;&gt;"",IF(COUNTIF(F15:K15,"&lt;3"),"Не успевает","Успевает"),"")</f>
        <v/>
      </c>
      <c r="N15" s="241" t="str">
        <f aca="false">IF(D15&lt;&gt;"",(30*(set!B$5)-D15)/(30*(set!B$5))*100,"")</f>
        <v/>
      </c>
      <c r="O15" s="117" t="str">
        <f aca="false" t="array" ref="O15:O15">IF(F15&lt;&gt;"",IF(L15&lt;1.85,"Выговор",IF(L15=1.85,"Выговор",IF(AND(L15&gt;1.85,L15&lt;3),"Предупреждение",IF(AND(L15&gt;3,L15&lt;4.65),"Нормально",IF(AND(L15&gt;4.65,L15&lt;5.1,F15:K15&gt;=4),"Благодарность","Нормально"))))),"")</f>
        <v/>
      </c>
      <c r="P15" s="85" t="n">
        <f aca="false">COUNTIF(F15:K15,2)+COUNTIF(F15:K15,1)+COUNTIF(F15:K15,0)</f>
        <v>0</v>
      </c>
    </row>
    <row r="16" customFormat="false" ht="15" hidden="false" customHeight="true" outlineLevel="0" collapsed="false">
      <c r="A16" s="77" t="n">
        <v>9</v>
      </c>
      <c r="B16" s="37" t="s">
        <v>3121</v>
      </c>
      <c r="C16" s="37" t="s">
        <v>3122</v>
      </c>
      <c r="D16" s="911"/>
      <c r="E16" s="912"/>
      <c r="F16" s="916"/>
      <c r="G16" s="917"/>
      <c r="H16" s="917"/>
      <c r="I16" s="917"/>
      <c r="J16" s="917"/>
      <c r="K16" s="918"/>
      <c r="L16" s="33" t="str">
        <f aca="false">IFERROR(AVERAGE(F16:K16),"")</f>
        <v/>
      </c>
      <c r="M16" s="84" t="str">
        <f aca="false">IF(F16&lt;&gt;"",IF(COUNTIF(F16:K16,"&lt;3"),"Не успевает","Успевает"),"")</f>
        <v/>
      </c>
      <c r="N16" s="241" t="str">
        <f aca="false">IF(D16&lt;&gt;"",(30*(set!B$5)-D16)/(30*(set!B$5))*100,"")</f>
        <v/>
      </c>
      <c r="O16" s="117" t="str">
        <f aca="false" t="array" ref="O16:O16">IF(F16&lt;&gt;"",IF(L16&lt;1.85,"Выговор",IF(L16=1.85,"Выговор",IF(AND(L16&gt;1.85,L16&lt;3),"Предупреждение",IF(AND(L16&gt;3,L16&lt;4.65),"Нормально",IF(AND(L16&gt;4.65,L16&lt;5.1,F16:K16&gt;=4),"Благодарность","Нормально"))))),"")</f>
        <v/>
      </c>
      <c r="P16" s="85" t="n">
        <f aca="false">COUNTIF(F16:K16,2)+COUNTIF(F16:K16,1)+COUNTIF(F16:K16,0)</f>
        <v>0</v>
      </c>
    </row>
    <row r="17" customFormat="false" ht="15" hidden="false" customHeight="true" outlineLevel="0" collapsed="false">
      <c r="A17" s="37" t="n">
        <v>10</v>
      </c>
      <c r="B17" s="37" t="s">
        <v>3123</v>
      </c>
      <c r="C17" s="37" t="s">
        <v>3124</v>
      </c>
      <c r="D17" s="911"/>
      <c r="E17" s="912"/>
      <c r="F17" s="916"/>
      <c r="G17" s="917"/>
      <c r="H17" s="917"/>
      <c r="I17" s="917"/>
      <c r="J17" s="917"/>
      <c r="K17" s="918"/>
      <c r="L17" s="33" t="str">
        <f aca="false">IFERROR(AVERAGE(F17:K17),"")</f>
        <v/>
      </c>
      <c r="M17" s="84" t="str">
        <f aca="false">IF(F17&lt;&gt;"",IF(COUNTIF(F17:K17,"&lt;3"),"Не успевает","Успевает"),"")</f>
        <v/>
      </c>
      <c r="N17" s="241" t="str">
        <f aca="false">IF(D17&lt;&gt;"",(30*(set!B$5)-D17)/(30*(set!B$5))*100,"")</f>
        <v/>
      </c>
      <c r="O17" s="117" t="str">
        <f aca="false" t="array" ref="O17:O17">IF(F17&lt;&gt;"",IF(L17&lt;1.85,"Выговор",IF(L17=1.85,"Выговор",IF(AND(L17&gt;1.85,L17&lt;3),"Предупреждение",IF(AND(L17&gt;3,L17&lt;4.65),"Нормально",IF(AND(L17&gt;4.65,L17&lt;5.1,F17:K17&gt;=4),"Благодарность","Нормально"))))),"")</f>
        <v/>
      </c>
      <c r="P17" s="85" t="n">
        <f aca="false">COUNTIF(F17:K17,2)+COUNTIF(F17:K17,1)+COUNTIF(F17:K17,0)</f>
        <v>0</v>
      </c>
    </row>
    <row r="18" customFormat="false" ht="15" hidden="false" customHeight="true" outlineLevel="0" collapsed="false">
      <c r="A18" s="0" t="s">
        <v>77</v>
      </c>
      <c r="D18" s="46"/>
      <c r="E18" s="47" t="e">
        <f aca="false">AVERAGE(E8:E17)</f>
        <v>#DIV/0!</v>
      </c>
      <c r="F18" s="47" t="e">
        <f aca="false">AVERAGE(F8:F17)</f>
        <v>#DIV/0!</v>
      </c>
      <c r="G18" s="47" t="e">
        <f aca="false">AVERAGE(G8:G17)</f>
        <v>#DIV/0!</v>
      </c>
      <c r="H18" s="47" t="e">
        <f aca="false">AVERAGE(H8:H17)</f>
        <v>#DIV/0!</v>
      </c>
      <c r="I18" s="47" t="e">
        <f aca="false">AVERAGE(I8:I17)</f>
        <v>#DIV/0!</v>
      </c>
      <c r="J18" s="47" t="e">
        <f aca="false">AVERAGE(J8:J17)</f>
        <v>#DIV/0!</v>
      </c>
      <c r="K18" s="47" t="e">
        <f aca="false">AVERAGE(K8:K17)</f>
        <v>#DIV/0!</v>
      </c>
      <c r="L18" s="47"/>
      <c r="M18" s="357"/>
      <c r="N18" s="357"/>
      <c r="O18" s="357"/>
    </row>
    <row r="19" customFormat="false" ht="15" hidden="false" customHeight="true" outlineLevel="0" collapsed="false">
      <c r="A19" s="0" t="s">
        <v>78</v>
      </c>
      <c r="D19" s="46"/>
      <c r="E19" s="49" t="e">
        <f aca="false">(COUNTIF(E8:E17,5)+COUNTIF(E8:E17,4)+COUNTIF(E8:E17,3))/$R$24*100</f>
        <v>#DIV/0!</v>
      </c>
      <c r="F19" s="49" t="e">
        <f aca="false">(COUNTIF(F8:F17,5)+COUNTIF(F8:F17,4)+COUNTIF(F8:F17,3))/$R$24*100</f>
        <v>#DIV/0!</v>
      </c>
      <c r="G19" s="49" t="e">
        <f aca="false">(COUNTIF(G8:G17,5)+COUNTIF(G8:G17,4)+COUNTIF(G8:G17,3))/$R$24*100</f>
        <v>#DIV/0!</v>
      </c>
      <c r="H19" s="49" t="e">
        <f aca="false">(COUNTIF(H8:H17,5)+COUNTIF(H8:H17,4)+COUNTIF(H8:H17,3))/$R$24*100</f>
        <v>#DIV/0!</v>
      </c>
      <c r="I19" s="49" t="e">
        <f aca="false">(COUNTIF(I8:I17,5)+COUNTIF(I8:I17,4)+COUNTIF(I8:I17,3))/$R$24*100</f>
        <v>#DIV/0!</v>
      </c>
      <c r="J19" s="49" t="e">
        <f aca="false">(COUNTIF(J8:J17,5)+COUNTIF(J8:J17,4)+COUNTIF(J8:J17,3))/$R$24*100</f>
        <v>#DIV/0!</v>
      </c>
      <c r="K19" s="49" t="e">
        <f aca="false">(COUNTIF(K8:K17,5)+COUNTIF(K8:K17,4)+COUNTIF(K8:K17,3))/$R$24*100</f>
        <v>#DIV/0!</v>
      </c>
      <c r="L19" s="47"/>
    </row>
    <row r="20" customFormat="false" ht="15" hidden="false" customHeight="true" outlineLevel="0" collapsed="false">
      <c r="D20" s="46"/>
      <c r="E20" s="46"/>
      <c r="F20" s="47"/>
      <c r="G20" s="47"/>
      <c r="H20" s="47"/>
      <c r="I20" s="47"/>
      <c r="J20" s="47"/>
      <c r="K20" s="47"/>
    </row>
    <row r="21" customFormat="false" ht="15" hidden="false" customHeight="true" outlineLevel="0" collapsed="false">
      <c r="B21" s="197" t="s">
        <v>8</v>
      </c>
      <c r="C21" s="197"/>
      <c r="D21" s="51" t="str">
        <f aca="false">IFERROR(AVERAGE(L8:L17),"")</f>
        <v/>
      </c>
      <c r="E21" s="51"/>
      <c r="F21" s="52" t="s">
        <v>9</v>
      </c>
      <c r="G21" s="52"/>
      <c r="H21" s="52" t="str">
        <f aca="false">IFERROR(COUNTIF(M8:M17,"Успевает")/R24*100,"")</f>
        <v/>
      </c>
      <c r="I21" s="52"/>
      <c r="J21" s="52" t="s">
        <v>79</v>
      </c>
      <c r="L21" s="53" t="str">
        <f aca="false">IFERROR(AVERAGE(N8:N17),"")</f>
        <v/>
      </c>
      <c r="M21" s="521"/>
      <c r="N21" s="521"/>
      <c r="O21" s="55"/>
    </row>
    <row r="22" customFormat="false" ht="15" hidden="false" customHeight="true" outlineLevel="0" collapsed="false">
      <c r="B22" s="50"/>
      <c r="L22" s="158"/>
      <c r="M22" s="48"/>
      <c r="N22" s="48"/>
      <c r="O22" s="48"/>
      <c r="P22" s="48"/>
    </row>
    <row r="23" customFormat="false" ht="15" hidden="false" customHeight="true" outlineLevel="0" collapsed="false">
      <c r="B23" s="50"/>
      <c r="C23" s="50"/>
      <c r="D23" s="50"/>
      <c r="E23" s="50"/>
      <c r="F23" s="56"/>
      <c r="G23" s="56"/>
      <c r="H23" s="56"/>
      <c r="I23" s="56"/>
      <c r="J23" s="56"/>
      <c r="K23" s="56"/>
      <c r="L23" s="56"/>
      <c r="P23" s="59"/>
    </row>
    <row r="24" customFormat="false" ht="15" hidden="false" customHeight="true" outlineLevel="0" collapsed="false">
      <c r="A24" s="50"/>
      <c r="B24" s="261" t="s">
        <v>81</v>
      </c>
      <c r="C24" s="261"/>
      <c r="D24" s="261"/>
      <c r="E24" s="261"/>
      <c r="F24" s="261"/>
      <c r="G24" s="261"/>
      <c r="H24" s="261"/>
      <c r="I24" s="261"/>
      <c r="J24" s="261"/>
      <c r="K24" s="261" t="s">
        <v>82</v>
      </c>
      <c r="L24" s="261"/>
      <c r="M24" s="261"/>
      <c r="P24" s="57" t="s">
        <v>80</v>
      </c>
      <c r="Q24" s="57"/>
      <c r="R24" s="58" t="n">
        <f aca="false">SUM(R25,R26)</f>
        <v>0</v>
      </c>
    </row>
    <row r="25" customFormat="false" ht="15" hidden="false" customHeight="true" outlineLevel="0" collapsed="false">
      <c r="A25" s="50"/>
      <c r="B25" s="141" t="str">
        <f aca="false">$E$6</f>
        <v> ДВ №4 Противодействие технической разведке</v>
      </c>
      <c r="C25" s="141"/>
      <c r="D25" s="141"/>
      <c r="E25" s="141"/>
      <c r="F25" s="141"/>
      <c r="G25" s="141"/>
      <c r="H25" s="141"/>
      <c r="I25" s="141"/>
      <c r="J25" s="141"/>
      <c r="K25" s="212"/>
      <c r="L25" s="212"/>
      <c r="M25" s="212"/>
      <c r="P25" s="57" t="s">
        <v>83</v>
      </c>
      <c r="Q25" s="57"/>
      <c r="R25" s="58" t="n">
        <f aca="false">COUNTIF(M8:M17,"Успевает")</f>
        <v>0</v>
      </c>
    </row>
    <row r="26" customFormat="false" ht="15" hidden="false" customHeight="true" outlineLevel="0" collapsed="false">
      <c r="A26" s="50"/>
      <c r="B26" s="141" t="str">
        <f aca="false">$F$6</f>
        <v> ДВ №6 Методы обфускации</v>
      </c>
      <c r="C26" s="141"/>
      <c r="D26" s="141"/>
      <c r="E26" s="141"/>
      <c r="F26" s="141"/>
      <c r="G26" s="141"/>
      <c r="H26" s="141"/>
      <c r="I26" s="141"/>
      <c r="J26" s="141"/>
      <c r="K26" s="212"/>
      <c r="L26" s="212"/>
      <c r="M26" s="212"/>
      <c r="P26" s="98" t="s">
        <v>84</v>
      </c>
      <c r="Q26" s="98"/>
      <c r="R26" s="58" t="n">
        <f aca="false">COUNTIF(M8:M17,"Не успевает")</f>
        <v>0</v>
      </c>
    </row>
    <row r="27" customFormat="false" ht="15" hidden="false" customHeight="true" outlineLevel="0" collapsed="false">
      <c r="A27" s="50"/>
      <c r="B27" s="141" t="str">
        <f aca="false">$G$6</f>
        <v>Научно-исследовательская работа</v>
      </c>
      <c r="C27" s="141"/>
      <c r="D27" s="141"/>
      <c r="E27" s="141"/>
      <c r="F27" s="141"/>
      <c r="G27" s="141"/>
      <c r="H27" s="141"/>
      <c r="I27" s="141"/>
      <c r="J27" s="141"/>
      <c r="K27" s="212"/>
      <c r="L27" s="212"/>
      <c r="M27" s="212"/>
      <c r="P27" s="98" t="s">
        <v>85</v>
      </c>
      <c r="Q27" s="98"/>
      <c r="R27" s="58" t="n">
        <f aca="false">COUNTIF(O8:O17,"Благодарность")</f>
        <v>0</v>
      </c>
    </row>
    <row r="28" customFormat="false" ht="15" hidden="false" customHeight="true" outlineLevel="0" collapsed="false">
      <c r="A28" s="50"/>
      <c r="B28" s="141" t="str">
        <f aca="false">$H$6</f>
        <v> Основы управленческой деятельности</v>
      </c>
      <c r="C28" s="141"/>
      <c r="D28" s="141"/>
      <c r="E28" s="141"/>
      <c r="F28" s="141"/>
      <c r="G28" s="141"/>
      <c r="H28" s="141"/>
      <c r="I28" s="141"/>
      <c r="J28" s="141"/>
      <c r="K28" s="212"/>
      <c r="L28" s="212"/>
      <c r="M28" s="212"/>
      <c r="P28" s="98" t="s">
        <v>86</v>
      </c>
      <c r="Q28" s="98"/>
      <c r="R28" s="58" t="n">
        <f aca="false">COUNTIF(O8:O17,"Нормально")</f>
        <v>0</v>
      </c>
    </row>
    <row r="29" customFormat="false" ht="15" hidden="false" customHeight="true" outlineLevel="0" collapsed="false">
      <c r="A29" s="50"/>
      <c r="B29" s="141" t="str">
        <f aca="false">$I$6</f>
        <v>Программно – аппаратные средства обеспечения информационной безопасности (к.п.)</v>
      </c>
      <c r="C29" s="141"/>
      <c r="D29" s="141"/>
      <c r="E29" s="141"/>
      <c r="F29" s="141"/>
      <c r="G29" s="141"/>
      <c r="H29" s="141"/>
      <c r="I29" s="141"/>
      <c r="J29" s="141"/>
      <c r="K29" s="212"/>
      <c r="L29" s="212"/>
      <c r="M29" s="212"/>
      <c r="P29" s="98" t="s">
        <v>87</v>
      </c>
      <c r="Q29" s="98"/>
      <c r="R29" s="58" t="n">
        <f aca="false">COUNTIF(O8:O17,"Предупреждение")</f>
        <v>0</v>
      </c>
    </row>
    <row r="30" customFormat="false" ht="15" hidden="false" customHeight="true" outlineLevel="0" collapsed="false">
      <c r="B30" s="141" t="str">
        <f aca="false">$J$6</f>
        <v> ДВ №5 Реализация конструкторских решений</v>
      </c>
      <c r="C30" s="141"/>
      <c r="D30" s="141"/>
      <c r="E30" s="141"/>
      <c r="F30" s="141"/>
      <c r="G30" s="141"/>
      <c r="H30" s="141"/>
      <c r="I30" s="141"/>
      <c r="J30" s="141"/>
      <c r="K30" s="212"/>
      <c r="L30" s="212"/>
      <c r="M30" s="212"/>
      <c r="P30" s="98" t="s">
        <v>88</v>
      </c>
      <c r="Q30" s="98"/>
      <c r="R30" s="58" t="n">
        <f aca="false">COUNTIF(O8:O17,"Выговор")</f>
        <v>0</v>
      </c>
    </row>
    <row r="31" customFormat="false" ht="15" hidden="false" customHeight="true" outlineLevel="0" collapsed="false">
      <c r="A31" s="50"/>
      <c r="B31" s="141" t="str">
        <f aca="false">$K$6</f>
        <v> Управление информационной безопасностью (к.р.)</v>
      </c>
      <c r="C31" s="141"/>
      <c r="D31" s="141"/>
      <c r="E31" s="141"/>
      <c r="F31" s="141"/>
      <c r="G31" s="141"/>
      <c r="H31" s="141"/>
      <c r="I31" s="141"/>
      <c r="J31" s="141"/>
      <c r="K31" s="212"/>
      <c r="L31" s="212"/>
      <c r="M31" s="212"/>
      <c r="N31" s="67"/>
      <c r="P31" s="865" t="s">
        <v>1575</v>
      </c>
      <c r="Q31" s="865"/>
      <c r="R31" s="866" t="n">
        <f aca="false">SUM(P8:P17)</f>
        <v>0</v>
      </c>
    </row>
    <row r="32" s="45" customFormat="true" ht="15" hidden="false" customHeight="true" outlineLevel="0" collapsed="false">
      <c r="A32" s="50"/>
      <c r="L32" s="67"/>
      <c r="M32" s="67"/>
      <c r="N32" s="67"/>
    </row>
    <row r="33" s="45" customFormat="true" ht="15" hidden="false" customHeight="true" outlineLevel="0" collapsed="false">
      <c r="A33" s="50"/>
      <c r="L33" s="67"/>
      <c r="M33" s="67"/>
      <c r="N33" s="67"/>
    </row>
    <row r="34" customFormat="false" ht="15" hidden="false" customHeight="true" outlineLevel="0" collapsed="false">
      <c r="A34" s="361"/>
      <c r="B34" s="100" t="s">
        <v>405</v>
      </c>
      <c r="C34" s="187" t="s">
        <v>3125</v>
      </c>
      <c r="D34" s="187"/>
      <c r="E34" s="919"/>
      <c r="F34" s="387" t="s">
        <v>3081</v>
      </c>
      <c r="G34" s="387" t="s">
        <v>3126</v>
      </c>
      <c r="H34" s="387"/>
      <c r="I34" s="387"/>
      <c r="J34" s="387"/>
      <c r="K34" s="52"/>
      <c r="L34" s="300"/>
      <c r="M34" s="52"/>
      <c r="N34" s="52"/>
    </row>
    <row r="35" customFormat="false" ht="15" hidden="false" customHeight="true" outlineLevel="0" collapsed="false">
      <c r="A35" s="67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48"/>
      <c r="M35" s="48"/>
      <c r="N35" s="48"/>
      <c r="O35" s="48"/>
      <c r="P35" s="48"/>
    </row>
    <row r="36" customFormat="false" ht="15" hidden="false" customHeight="true" outlineLevel="0" collapsed="false">
      <c r="A36" s="50"/>
      <c r="B36" s="50" t="s">
        <v>93</v>
      </c>
      <c r="C36" s="50"/>
      <c r="D36" s="50"/>
      <c r="E36" s="50"/>
      <c r="F36" s="50"/>
      <c r="G36" s="50"/>
      <c r="H36" s="50"/>
      <c r="I36" s="50"/>
      <c r="J36" s="50"/>
      <c r="K36" s="50"/>
      <c r="L36" s="48"/>
      <c r="M36" s="48"/>
      <c r="N36" s="48"/>
      <c r="O36" s="48"/>
    </row>
    <row r="37" customFormat="false" ht="15" hidden="false" customHeight="true" outlineLevel="0" collapsed="false">
      <c r="A37" s="50"/>
      <c r="B37" s="50" t="s">
        <v>94</v>
      </c>
      <c r="C37" s="50"/>
      <c r="D37" s="50"/>
      <c r="E37" s="50"/>
      <c r="F37" s="50"/>
      <c r="G37" s="50"/>
      <c r="H37" s="50"/>
      <c r="I37" s="50"/>
      <c r="J37" s="50"/>
      <c r="K37" s="50"/>
      <c r="L37" s="48"/>
      <c r="M37" s="48"/>
      <c r="N37" s="48"/>
      <c r="O37" s="52"/>
    </row>
    <row r="38" customFormat="false" ht="15" hidden="false" customHeight="true" outlineLevel="0" collapsed="false">
      <c r="A38" s="50"/>
      <c r="B38" s="50" t="s">
        <v>95</v>
      </c>
      <c r="C38" s="50"/>
      <c r="D38" s="50"/>
      <c r="E38" s="50"/>
      <c r="F38" s="50"/>
      <c r="G38" s="50"/>
      <c r="H38" s="50"/>
      <c r="I38" s="50"/>
      <c r="J38" s="50"/>
      <c r="K38" s="50"/>
      <c r="L38" s="48"/>
      <c r="M38" s="48"/>
      <c r="N38" s="48"/>
      <c r="O38" s="48"/>
      <c r="P38" s="48"/>
    </row>
    <row r="39" customFormat="false" ht="15" hidden="false" customHeight="true" outlineLevel="0" collapsed="false">
      <c r="A39" s="50"/>
      <c r="B39" s="50" t="s">
        <v>96</v>
      </c>
      <c r="C39" s="50"/>
      <c r="D39" s="50"/>
      <c r="E39" s="50"/>
      <c r="F39" s="50"/>
      <c r="G39" s="50"/>
      <c r="H39" s="50"/>
      <c r="I39" s="50"/>
      <c r="J39" s="50"/>
      <c r="K39" s="50"/>
      <c r="L39" s="48"/>
      <c r="M39" s="48"/>
      <c r="N39" s="48"/>
      <c r="O39" s="48"/>
      <c r="P39" s="48"/>
    </row>
    <row r="40" customFormat="false" ht="15" hidden="false" customHeight="true" outlineLevel="0" collapsed="false">
      <c r="A40" s="50"/>
      <c r="B40" s="50" t="s">
        <v>97</v>
      </c>
      <c r="C40" s="50"/>
      <c r="D40" s="50"/>
      <c r="E40" s="50"/>
      <c r="F40" s="50"/>
      <c r="G40" s="50"/>
      <c r="H40" s="50"/>
      <c r="I40" s="50"/>
      <c r="J40" s="50"/>
      <c r="K40" s="50"/>
      <c r="L40" s="48"/>
      <c r="M40" s="48"/>
      <c r="N40" s="48"/>
      <c r="O40" s="48"/>
      <c r="P40" s="48"/>
    </row>
    <row r="41" customFormat="false" ht="15" hidden="false" customHeight="true" outlineLevel="0" collapsed="false">
      <c r="A41" s="50"/>
      <c r="B41" s="50" t="s">
        <v>98</v>
      </c>
      <c r="C41" s="50"/>
      <c r="D41" s="50"/>
      <c r="E41" s="50"/>
      <c r="F41" s="50"/>
      <c r="G41" s="50"/>
      <c r="H41" s="50"/>
      <c r="I41" s="50"/>
      <c r="J41" s="50"/>
      <c r="K41" s="50"/>
      <c r="L41" s="48"/>
      <c r="M41" s="48"/>
      <c r="N41" s="48"/>
      <c r="O41" s="48"/>
      <c r="P41" s="48"/>
    </row>
    <row r="42" customFormat="false" ht="15" hidden="false" customHeight="true" outlineLevel="0" collapsed="false">
      <c r="A42" s="50"/>
      <c r="B42" s="50" t="s">
        <v>99</v>
      </c>
      <c r="C42" s="50"/>
      <c r="D42" s="50"/>
      <c r="E42" s="50"/>
      <c r="F42" s="50"/>
      <c r="G42" s="50"/>
      <c r="H42" s="50"/>
      <c r="I42" s="50"/>
      <c r="J42" s="50"/>
      <c r="K42" s="50"/>
      <c r="L42" s="48"/>
      <c r="M42" s="48"/>
      <c r="N42" s="48"/>
      <c r="O42" s="48"/>
      <c r="P42" s="48"/>
    </row>
    <row r="43" customFormat="false" ht="15" hidden="false" customHeight="true" outlineLevel="0" collapsed="false">
      <c r="A43" s="50"/>
      <c r="L43" s="48"/>
      <c r="M43" s="48"/>
      <c r="N43" s="48"/>
      <c r="O43" s="48"/>
      <c r="P43" s="48"/>
    </row>
    <row r="44" customFormat="false" ht="15" hidden="false" customHeight="false" outlineLevel="0" collapsed="false">
      <c r="O44" s="48"/>
      <c r="P44" s="48"/>
    </row>
    <row r="45" customFormat="false" ht="15" hidden="false" customHeight="false" outlineLevel="0" collapsed="false">
      <c r="O45" s="48"/>
      <c r="P45" s="48"/>
    </row>
    <row r="46" customFormat="false" ht="15" hidden="false" customHeight="false" outlineLevel="0" collapsed="false">
      <c r="O46" s="48"/>
      <c r="P46" s="48"/>
    </row>
  </sheetData>
  <mergeCells count="37">
    <mergeCell ref="F1:M1"/>
    <mergeCell ref="P2:S2"/>
    <mergeCell ref="A5:A7"/>
    <mergeCell ref="B5:B7"/>
    <mergeCell ref="C5:C7"/>
    <mergeCell ref="D5:D7"/>
    <mergeCell ref="F5:K5"/>
    <mergeCell ref="L5:L7"/>
    <mergeCell ref="M5:M7"/>
    <mergeCell ref="N5:N7"/>
    <mergeCell ref="O5:O7"/>
    <mergeCell ref="P5:P7"/>
    <mergeCell ref="B21:C21"/>
    <mergeCell ref="B24:J24"/>
    <mergeCell ref="K24:M24"/>
    <mergeCell ref="P24:Q24"/>
    <mergeCell ref="B25:J25"/>
    <mergeCell ref="K25:M25"/>
    <mergeCell ref="P25:Q25"/>
    <mergeCell ref="B26:J26"/>
    <mergeCell ref="K26:M26"/>
    <mergeCell ref="P26:Q26"/>
    <mergeCell ref="B27:J27"/>
    <mergeCell ref="K27:M27"/>
    <mergeCell ref="P27:Q27"/>
    <mergeCell ref="B28:J28"/>
    <mergeCell ref="K28:M28"/>
    <mergeCell ref="P28:Q28"/>
    <mergeCell ref="B29:J29"/>
    <mergeCell ref="K29:M29"/>
    <mergeCell ref="P29:Q29"/>
    <mergeCell ref="B30:J30"/>
    <mergeCell ref="K30:M30"/>
    <mergeCell ref="P30:Q30"/>
    <mergeCell ref="B31:J31"/>
    <mergeCell ref="K31:M31"/>
    <mergeCell ref="C34:D34"/>
  </mergeCells>
  <conditionalFormatting sqref="E8:E17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8:L1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2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L17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9:J20 E18:E19 F18:K18 G19:K19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K1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T52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3" min="3" style="0" width="19.14"/>
    <col collapsed="false" customWidth="true" hidden="false" outlineLevel="0" max="17" min="17" style="0" width="16.29"/>
    <col collapsed="false" customWidth="true" hidden="false" outlineLevel="0" max="19" min="19" style="0" width="12.57"/>
    <col collapsed="false" customWidth="true" hidden="false" outlineLevel="0" max="20" min="20" style="0" width="4.14"/>
    <col collapsed="false" customWidth="true" hidden="false" outlineLevel="0" max="21" min="21" style="0" width="4.42"/>
    <col collapsed="false" customWidth="true" hidden="false" outlineLevel="0" max="22" min="22" style="0" width="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N2" s="0" t="s">
        <v>1</v>
      </c>
      <c r="Q2" s="146" t="n">
        <f aca="false">set!B4</f>
        <v>45608</v>
      </c>
      <c r="R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ИУК7-11Б факультета ИУК МГТУ им. Н.Э. Баумана"</f>
        <v>Успеваемость студентов за 1 семестр 24/25 учебного года по группе ИУК7-11Б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20" t="s">
        <v>1575</v>
      </c>
    </row>
    <row r="6" customFormat="false" ht="15" hidden="false" customHeight="false" outlineLevel="0" collapsed="false">
      <c r="A6" s="8"/>
      <c r="B6" s="8"/>
      <c r="C6" s="8"/>
      <c r="D6" s="9"/>
      <c r="E6" s="339" t="s">
        <v>542</v>
      </c>
      <c r="F6" s="340" t="s">
        <v>1129</v>
      </c>
      <c r="G6" s="340" t="s">
        <v>1130</v>
      </c>
      <c r="H6" s="342" t="s">
        <v>1131</v>
      </c>
      <c r="I6" s="405" t="s">
        <v>17</v>
      </c>
      <c r="J6" s="340" t="s">
        <v>18</v>
      </c>
      <c r="K6" s="340" t="s">
        <v>3127</v>
      </c>
      <c r="L6" s="340" t="s">
        <v>20</v>
      </c>
      <c r="M6" s="342" t="s">
        <v>147</v>
      </c>
      <c r="N6" s="391"/>
      <c r="O6" s="392"/>
      <c r="P6" s="392"/>
      <c r="Q6" s="14"/>
      <c r="R6" s="620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23</v>
      </c>
      <c r="G7" s="344" t="s">
        <v>24</v>
      </c>
      <c r="H7" s="346" t="s">
        <v>25</v>
      </c>
      <c r="I7" s="445" t="s">
        <v>26</v>
      </c>
      <c r="J7" s="366" t="s">
        <v>27</v>
      </c>
      <c r="K7" s="366" t="s">
        <v>150</v>
      </c>
      <c r="L7" s="366" t="s">
        <v>28</v>
      </c>
      <c r="M7" s="406" t="s">
        <v>30</v>
      </c>
      <c r="N7" s="391"/>
      <c r="O7" s="392"/>
      <c r="P7" s="392"/>
      <c r="Q7" s="14"/>
      <c r="R7" s="620"/>
    </row>
    <row r="8" customFormat="false" ht="15" hidden="false" customHeight="false" outlineLevel="0" collapsed="false">
      <c r="A8" s="25" t="n">
        <v>1</v>
      </c>
      <c r="B8" s="25" t="s">
        <v>3128</v>
      </c>
      <c r="C8" s="25" t="s">
        <v>3129</v>
      </c>
      <c r="D8" s="202"/>
      <c r="E8" s="382"/>
      <c r="F8" s="383"/>
      <c r="G8" s="383"/>
      <c r="H8" s="153"/>
      <c r="I8" s="498"/>
      <c r="J8" s="383"/>
      <c r="K8" s="383"/>
      <c r="L8" s="383"/>
      <c r="M8" s="153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false" outlineLevel="0" collapsed="false">
      <c r="A9" s="85" t="n">
        <v>2</v>
      </c>
      <c r="B9" s="37" t="s">
        <v>3130</v>
      </c>
      <c r="C9" s="37" t="s">
        <v>3131</v>
      </c>
      <c r="D9" s="160"/>
      <c r="E9" s="150"/>
      <c r="F9" s="117"/>
      <c r="G9" s="117"/>
      <c r="H9" s="152"/>
      <c r="I9" s="472"/>
      <c r="J9" s="117"/>
      <c r="K9" s="117"/>
      <c r="L9" s="117"/>
      <c r="M9" s="152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customFormat="false" ht="15" hidden="false" customHeight="false" outlineLevel="0" collapsed="false">
      <c r="A10" s="37" t="n">
        <v>3</v>
      </c>
      <c r="B10" s="37" t="s">
        <v>3132</v>
      </c>
      <c r="C10" s="37" t="s">
        <v>3133</v>
      </c>
      <c r="D10" s="160"/>
      <c r="E10" s="150"/>
      <c r="F10" s="117"/>
      <c r="G10" s="117"/>
      <c r="H10" s="152"/>
      <c r="I10" s="472"/>
      <c r="J10" s="117"/>
      <c r="K10" s="117"/>
      <c r="L10" s="117"/>
      <c r="M10" s="152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customFormat="false" ht="15" hidden="false" customHeight="false" outlineLevel="0" collapsed="false">
      <c r="A11" s="85" t="n">
        <v>4</v>
      </c>
      <c r="B11" s="37" t="s">
        <v>3134</v>
      </c>
      <c r="C11" s="37" t="s">
        <v>3135</v>
      </c>
      <c r="D11" s="160"/>
      <c r="E11" s="150"/>
      <c r="F11" s="117"/>
      <c r="G11" s="117"/>
      <c r="H11" s="152"/>
      <c r="I11" s="472"/>
      <c r="J11" s="117"/>
      <c r="K11" s="117"/>
      <c r="L11" s="117"/>
      <c r="M11" s="152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customFormat="false" ht="15" hidden="false" customHeight="false" outlineLevel="0" collapsed="false">
      <c r="A12" s="37" t="n">
        <v>5</v>
      </c>
      <c r="B12" s="37" t="s">
        <v>3136</v>
      </c>
      <c r="C12" s="37" t="s">
        <v>3137</v>
      </c>
      <c r="D12" s="160"/>
      <c r="E12" s="150"/>
      <c r="F12" s="117"/>
      <c r="G12" s="117"/>
      <c r="H12" s="152"/>
      <c r="I12" s="472"/>
      <c r="J12" s="117"/>
      <c r="K12" s="117"/>
      <c r="L12" s="117"/>
      <c r="M12" s="152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customFormat="false" ht="15" hidden="false" customHeight="false" outlineLevel="0" collapsed="false">
      <c r="A13" s="37" t="n">
        <v>6</v>
      </c>
      <c r="B13" s="37" t="s">
        <v>3138</v>
      </c>
      <c r="C13" s="37" t="s">
        <v>3139</v>
      </c>
      <c r="D13" s="160"/>
      <c r="E13" s="150"/>
      <c r="F13" s="117"/>
      <c r="G13" s="117"/>
      <c r="H13" s="152"/>
      <c r="I13" s="472"/>
      <c r="J13" s="117"/>
      <c r="K13" s="117"/>
      <c r="L13" s="117"/>
      <c r="M13" s="152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customFormat="false" ht="15" hidden="false" customHeight="false" outlineLevel="0" collapsed="false">
      <c r="A14" s="37" t="n">
        <v>7</v>
      </c>
      <c r="B14" s="37" t="s">
        <v>3140</v>
      </c>
      <c r="C14" s="37" t="s">
        <v>3141</v>
      </c>
      <c r="D14" s="160"/>
      <c r="E14" s="150"/>
      <c r="F14" s="117"/>
      <c r="G14" s="117"/>
      <c r="H14" s="152"/>
      <c r="I14" s="472"/>
      <c r="J14" s="117"/>
      <c r="K14" s="117"/>
      <c r="L14" s="117"/>
      <c r="M14" s="152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customFormat="false" ht="15" hidden="false" customHeight="false" outlineLevel="0" collapsed="false">
      <c r="A15" s="85" t="n">
        <v>8</v>
      </c>
      <c r="B15" s="37" t="s">
        <v>3142</v>
      </c>
      <c r="C15" s="37" t="s">
        <v>3143</v>
      </c>
      <c r="D15" s="160"/>
      <c r="E15" s="150"/>
      <c r="F15" s="117"/>
      <c r="G15" s="117"/>
      <c r="H15" s="152"/>
      <c r="I15" s="472"/>
      <c r="J15" s="117"/>
      <c r="K15" s="117"/>
      <c r="L15" s="117"/>
      <c r="M15" s="152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customFormat="false" ht="15" hidden="false" customHeight="false" outlineLevel="0" collapsed="false">
      <c r="A16" s="37" t="n">
        <v>9</v>
      </c>
      <c r="B16" s="37" t="s">
        <v>3144</v>
      </c>
      <c r="C16" s="37" t="s">
        <v>3145</v>
      </c>
      <c r="D16" s="160"/>
      <c r="E16" s="150"/>
      <c r="F16" s="117"/>
      <c r="G16" s="117"/>
      <c r="H16" s="152"/>
      <c r="I16" s="472"/>
      <c r="J16" s="117"/>
      <c r="K16" s="117"/>
      <c r="L16" s="117"/>
      <c r="M16" s="152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customFormat="false" ht="15" hidden="false" customHeight="false" outlineLevel="0" collapsed="false">
      <c r="A17" s="85" t="n">
        <v>10</v>
      </c>
      <c r="B17" s="37" t="s">
        <v>3146</v>
      </c>
      <c r="C17" s="37" t="s">
        <v>3147</v>
      </c>
      <c r="D17" s="160"/>
      <c r="E17" s="150"/>
      <c r="F17" s="117"/>
      <c r="G17" s="117"/>
      <c r="H17" s="152"/>
      <c r="I17" s="472"/>
      <c r="J17" s="117"/>
      <c r="K17" s="117"/>
      <c r="L17" s="117"/>
      <c r="M17" s="152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customFormat="false" ht="15" hidden="false" customHeight="false" outlineLevel="0" collapsed="false">
      <c r="A18" s="85" t="n">
        <v>11</v>
      </c>
      <c r="B18" s="37" t="s">
        <v>3148</v>
      </c>
      <c r="C18" s="37" t="s">
        <v>3149</v>
      </c>
      <c r="D18" s="160"/>
      <c r="E18" s="150"/>
      <c r="F18" s="117"/>
      <c r="G18" s="117"/>
      <c r="H18" s="152"/>
      <c r="I18" s="472"/>
      <c r="J18" s="117"/>
      <c r="K18" s="117"/>
      <c r="L18" s="117"/>
      <c r="M18" s="152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customFormat="false" ht="15" hidden="false" customHeight="false" outlineLevel="0" collapsed="false">
      <c r="A19" s="37" t="n">
        <v>12</v>
      </c>
      <c r="B19" s="37" t="s">
        <v>3150</v>
      </c>
      <c r="C19" s="37" t="s">
        <v>3151</v>
      </c>
      <c r="D19" s="160"/>
      <c r="E19" s="150"/>
      <c r="F19" s="117"/>
      <c r="G19" s="117"/>
      <c r="H19" s="152"/>
      <c r="I19" s="472"/>
      <c r="J19" s="117"/>
      <c r="K19" s="117"/>
      <c r="L19" s="117"/>
      <c r="M19" s="152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customFormat="false" ht="15" hidden="false" customHeight="false" outlineLevel="0" collapsed="false">
      <c r="A20" s="85" t="n">
        <v>13</v>
      </c>
      <c r="B20" s="37" t="s">
        <v>3152</v>
      </c>
      <c r="C20" s="37" t="s">
        <v>3153</v>
      </c>
      <c r="D20" s="160"/>
      <c r="E20" s="150"/>
      <c r="F20" s="117"/>
      <c r="G20" s="117"/>
      <c r="H20" s="152"/>
      <c r="I20" s="472"/>
      <c r="J20" s="117"/>
      <c r="K20" s="117"/>
      <c r="L20" s="117"/>
      <c r="M20" s="152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s="45" customFormat="true" ht="15" hidden="false" customHeight="false" outlineLevel="0" collapsed="false">
      <c r="A21" s="37" t="n">
        <v>14</v>
      </c>
      <c r="B21" s="37" t="s">
        <v>3154</v>
      </c>
      <c r="C21" s="37" t="s">
        <v>3155</v>
      </c>
      <c r="D21" s="160"/>
      <c r="E21" s="150"/>
      <c r="F21" s="117"/>
      <c r="G21" s="117"/>
      <c r="H21" s="152"/>
      <c r="I21" s="472"/>
      <c r="J21" s="117"/>
      <c r="K21" s="117"/>
      <c r="L21" s="117"/>
      <c r="M21" s="152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s="45" customFormat="true" ht="15" hidden="false" customHeight="false" outlineLevel="0" collapsed="false">
      <c r="A22" s="37" t="n">
        <v>15</v>
      </c>
      <c r="B22" s="37" t="s">
        <v>3156</v>
      </c>
      <c r="C22" s="37" t="s">
        <v>3157</v>
      </c>
      <c r="D22" s="160"/>
      <c r="E22" s="150"/>
      <c r="F22" s="117"/>
      <c r="G22" s="117"/>
      <c r="H22" s="152"/>
      <c r="I22" s="472"/>
      <c r="J22" s="117"/>
      <c r="K22" s="117"/>
      <c r="L22" s="117"/>
      <c r="M22" s="152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s="45" customFormat="true" ht="15" hidden="false" customHeight="false" outlineLevel="0" collapsed="false">
      <c r="A23" s="37" t="n">
        <v>16</v>
      </c>
      <c r="B23" s="37" t="s">
        <v>3158</v>
      </c>
      <c r="C23" s="37" t="s">
        <v>3159</v>
      </c>
      <c r="D23" s="160"/>
      <c r="E23" s="150"/>
      <c r="F23" s="117"/>
      <c r="G23" s="117"/>
      <c r="H23" s="152"/>
      <c r="I23" s="472"/>
      <c r="J23" s="117"/>
      <c r="K23" s="117"/>
      <c r="L23" s="117"/>
      <c r="M23" s="152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s="45" customFormat="true" ht="15" hidden="false" customHeight="false" outlineLevel="0" collapsed="false">
      <c r="A24" s="37" t="n">
        <v>17</v>
      </c>
      <c r="B24" s="37" t="s">
        <v>3160</v>
      </c>
      <c r="C24" s="37" t="s">
        <v>3161</v>
      </c>
      <c r="D24" s="160"/>
      <c r="E24" s="150"/>
      <c r="F24" s="117"/>
      <c r="G24" s="117"/>
      <c r="H24" s="152"/>
      <c r="I24" s="472"/>
      <c r="J24" s="117"/>
      <c r="K24" s="117"/>
      <c r="L24" s="117"/>
      <c r="M24" s="152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s="45" customFormat="true" ht="15" hidden="false" customHeight="false" outlineLevel="0" collapsed="false">
      <c r="A25" s="37" t="n">
        <v>18</v>
      </c>
      <c r="B25" s="37" t="s">
        <v>3162</v>
      </c>
      <c r="C25" s="37" t="s">
        <v>3163</v>
      </c>
      <c r="D25" s="160"/>
      <c r="E25" s="150"/>
      <c r="F25" s="117"/>
      <c r="G25" s="117"/>
      <c r="H25" s="152"/>
      <c r="I25" s="472"/>
      <c r="J25" s="117"/>
      <c r="K25" s="117"/>
      <c r="L25" s="117"/>
      <c r="M25" s="152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s="45" customFormat="true" ht="15" hidden="false" customHeight="false" outlineLevel="0" collapsed="false">
      <c r="A26" s="37" t="n">
        <v>19</v>
      </c>
      <c r="B26" s="37" t="s">
        <v>3164</v>
      </c>
      <c r="C26" s="37" t="s">
        <v>3165</v>
      </c>
      <c r="D26" s="160"/>
      <c r="E26" s="150"/>
      <c r="F26" s="117"/>
      <c r="G26" s="117"/>
      <c r="H26" s="152"/>
      <c r="I26" s="472"/>
      <c r="J26" s="117"/>
      <c r="K26" s="117"/>
      <c r="L26" s="117"/>
      <c r="M26" s="152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customFormat="false" ht="15" hidden="false" customHeight="false" outlineLevel="0" collapsed="false">
      <c r="A27" s="85" t="n">
        <v>20</v>
      </c>
      <c r="B27" s="37" t="s">
        <v>3166</v>
      </c>
      <c r="C27" s="37" t="s">
        <v>3167</v>
      </c>
      <c r="D27" s="160"/>
      <c r="E27" s="150"/>
      <c r="F27" s="117"/>
      <c r="G27" s="117"/>
      <c r="H27" s="152"/>
      <c r="I27" s="472"/>
      <c r="J27" s="117"/>
      <c r="K27" s="117"/>
      <c r="L27" s="117"/>
      <c r="M27" s="152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118" t="n">
        <f aca="false">COUNTIF(E27:M27,2)+COUNTIF(E27:M27,1)+COUNTIF(E27:M27,0)</f>
        <v>0</v>
      </c>
    </row>
    <row r="28" customFormat="false" ht="15" hidden="false" customHeight="false" outlineLevel="0" collapsed="false">
      <c r="A28" s="0" t="s">
        <v>77</v>
      </c>
      <c r="D28" s="209"/>
      <c r="E28" s="210" t="e">
        <f aca="false">AVERAGE(E8:E27)</f>
        <v>#DIV/0!</v>
      </c>
      <c r="F28" s="210" t="e">
        <f aca="false">AVERAGE(F8:F27)</f>
        <v>#DIV/0!</v>
      </c>
      <c r="G28" s="210" t="e">
        <f aca="false">AVERAGE(G8:G27)</f>
        <v>#DIV/0!</v>
      </c>
      <c r="H28" s="210" t="e">
        <f aca="false">AVERAGE(H8:H27)</f>
        <v>#DIV/0!</v>
      </c>
      <c r="I28" s="210" t="e">
        <f aca="false">AVERAGE(I8:I27)</f>
        <v>#DIV/0!</v>
      </c>
      <c r="J28" s="210" t="e">
        <f aca="false">AVERAGE(J8:J27)</f>
        <v>#DIV/0!</v>
      </c>
      <c r="K28" s="210" t="e">
        <f aca="false">AVERAGE(K8:K27)</f>
        <v>#DIV/0!</v>
      </c>
      <c r="L28" s="210" t="e">
        <f aca="false">AVERAGE(L8:L27)</f>
        <v>#DIV/0!</v>
      </c>
      <c r="M28" s="210" t="e">
        <f aca="false">AVERAGE(M8:M27)</f>
        <v>#DIV/0!</v>
      </c>
      <c r="N28" s="47"/>
      <c r="O28" s="48"/>
      <c r="P28" s="49"/>
    </row>
    <row r="29" customFormat="false" ht="15" hidden="false" customHeight="false" outlineLevel="0" collapsed="false">
      <c r="A29" s="0" t="s">
        <v>78</v>
      </c>
      <c r="D29" s="536"/>
      <c r="E29" s="137" t="e">
        <f aca="false">(COUNTIF(E8:E27,5)+COUNTIF(E8:E27,4)+COUNTIF(E8:E27,3))/$R$32*100</f>
        <v>#DIV/0!</v>
      </c>
      <c r="F29" s="137" t="e">
        <f aca="false">(COUNTIF(F8:F27,5)+COUNTIF(F8:F27,4)+COUNTIF(F8:F27,3))/$R$32*100</f>
        <v>#DIV/0!</v>
      </c>
      <c r="G29" s="137" t="e">
        <f aca="false">(COUNTIF(G8:G27,5)+COUNTIF(G8:G27,4)+COUNTIF(G8:G27,3))/$R$32*100</f>
        <v>#DIV/0!</v>
      </c>
      <c r="H29" s="137" t="e">
        <f aca="false">(COUNTIF(H8:H27,5)+COUNTIF(H8:H27,4)+COUNTIF(H8:H27,3))/$R$32*100</f>
        <v>#DIV/0!</v>
      </c>
      <c r="I29" s="137" t="e">
        <f aca="false">(COUNTIF(I8:I27,5)+COUNTIF(I8:I27,4)+COUNTIF(I8:I27,3))/$R$32*100</f>
        <v>#DIV/0!</v>
      </c>
      <c r="J29" s="137" t="e">
        <f aca="false">(COUNTIF(J8:J27,5)+COUNTIF(J8:J27,4)+COUNTIF(J8:J27,3))/$R$32*100</f>
        <v>#DIV/0!</v>
      </c>
      <c r="K29" s="137" t="e">
        <f aca="false">(COUNTIF(K8:K27,5)+COUNTIF(K8:K27,4)+COUNTIF(K8:K27,3))/$R$32*100</f>
        <v>#DIV/0!</v>
      </c>
      <c r="L29" s="137" t="e">
        <f aca="false">(COUNTIF(L8:L27,5)+COUNTIF(L8:L27,4)+COUNTIF(L8:L27,3))/$R$32*100</f>
        <v>#DIV/0!</v>
      </c>
      <c r="M29" s="137" t="e">
        <f aca="false">(COUNTIF(M8:M27,5)+COUNTIF(M8:M27,4)+COUNTIF(M8:M27,3))/$R$32*100</f>
        <v>#DIV/0!</v>
      </c>
      <c r="N29" s="48"/>
      <c r="O29" s="47"/>
      <c r="P29" s="48"/>
      <c r="Q29" s="49"/>
      <c r="R29" s="242"/>
    </row>
    <row r="30" customFormat="false" ht="15" hidden="false" customHeight="false" outlineLevel="0" collapsed="false">
      <c r="D30" s="537"/>
      <c r="E30" s="48"/>
      <c r="F30" s="48"/>
      <c r="G30" s="48"/>
      <c r="H30" s="48"/>
      <c r="I30" s="48"/>
      <c r="J30" s="48"/>
      <c r="K30" s="48"/>
      <c r="L30" s="48"/>
      <c r="M30" s="48"/>
      <c r="N30" s="48"/>
      <c r="O30" s="48"/>
      <c r="P30" s="48"/>
      <c r="Q30" s="47"/>
      <c r="R30" s="48"/>
      <c r="S30" s="49"/>
      <c r="T30" s="242"/>
    </row>
    <row r="31" customFormat="false" ht="15.75" hidden="false" customHeight="true" outlineLevel="0" collapsed="false">
      <c r="B31" s="50"/>
      <c r="C31" s="50" t="s">
        <v>8</v>
      </c>
      <c r="D31" s="51" t="str">
        <f aca="false">IFERROR(AVERAGE(N8:N27),"")</f>
        <v/>
      </c>
      <c r="E31" s="52" t="s">
        <v>9</v>
      </c>
      <c r="F31" s="52"/>
      <c r="G31" s="53" t="str">
        <f aca="false">IFERROR(COUNTIF(O8:O27,"Успевает")/R32*100,"")</f>
        <v/>
      </c>
      <c r="H31" s="54" t="s">
        <v>79</v>
      </c>
      <c r="I31" s="54"/>
      <c r="J31" s="55" t="str">
        <f aca="false">IFERROR(AVERAGE(P8:P27),"")</f>
        <v/>
      </c>
      <c r="K31" s="52"/>
      <c r="L31" s="52"/>
      <c r="M31" s="52"/>
      <c r="N31" s="52"/>
      <c r="O31" s="158"/>
      <c r="P31" s="48"/>
      <c r="Q31" s="48"/>
      <c r="R31" s="48"/>
      <c r="S31" s="48"/>
    </row>
    <row r="32" customFormat="false" ht="15.75" hidden="false" customHeight="true" outlineLevel="0" collapsed="false">
      <c r="B32" s="50"/>
      <c r="C32" s="50"/>
      <c r="D32" s="50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7" t="s">
        <v>80</v>
      </c>
      <c r="Q32" s="57"/>
      <c r="R32" s="58" t="n">
        <f aca="false">SUM(R33,R34)</f>
        <v>0</v>
      </c>
      <c r="S32" s="59"/>
    </row>
    <row r="33" customFormat="false" ht="15" hidden="false" customHeight="true" outlineLevel="0" collapsed="false">
      <c r="A33" s="50"/>
      <c r="B33" s="61" t="s">
        <v>81</v>
      </c>
      <c r="C33" s="61"/>
      <c r="D33" s="61"/>
      <c r="E33" s="61"/>
      <c r="F33" s="61"/>
      <c r="G33" s="61"/>
      <c r="H33" s="61"/>
      <c r="I33" s="61"/>
      <c r="J33" s="61"/>
      <c r="K33" s="261" t="s">
        <v>82</v>
      </c>
      <c r="L33" s="261"/>
      <c r="M33" s="261"/>
      <c r="N33" s="138"/>
      <c r="O33" s="138"/>
      <c r="P33" s="57" t="s">
        <v>83</v>
      </c>
      <c r="Q33" s="57"/>
      <c r="R33" s="58" t="n">
        <f aca="false">COUNTIF(O8:O27,"Успевает")</f>
        <v>0</v>
      </c>
      <c r="S33" s="64"/>
    </row>
    <row r="34" customFormat="false" ht="15" hidden="false" customHeight="true" outlineLevel="0" collapsed="false">
      <c r="A34" s="50"/>
      <c r="B34" s="65" t="str">
        <f aca="false">$E$6</f>
        <v> Аналитическая геометрия и линейная алгебра</v>
      </c>
      <c r="C34" s="65"/>
      <c r="D34" s="65"/>
      <c r="E34" s="65"/>
      <c r="F34" s="65"/>
      <c r="G34" s="65"/>
      <c r="H34" s="65"/>
      <c r="I34" s="65"/>
      <c r="J34" s="65"/>
      <c r="K34" s="66"/>
      <c r="L34" s="66"/>
      <c r="M34" s="66"/>
      <c r="N34" s="67"/>
      <c r="O34" s="67"/>
      <c r="P34" s="98" t="s">
        <v>84</v>
      </c>
      <c r="Q34" s="98"/>
      <c r="R34" s="58" t="n">
        <f aca="false">COUNTIF(O8:O27,"Не успевает")</f>
        <v>0</v>
      </c>
      <c r="S34" s="64"/>
    </row>
    <row r="35" customFormat="false" ht="15.75" hidden="false" customHeight="true" outlineLevel="0" collapsed="false">
      <c r="A35" s="50"/>
      <c r="B35" s="65" t="str">
        <f aca="false">$F$6</f>
        <v> Информатика</v>
      </c>
      <c r="C35" s="65"/>
      <c r="D35" s="65"/>
      <c r="E35" s="65"/>
      <c r="F35" s="65"/>
      <c r="G35" s="65"/>
      <c r="H35" s="65"/>
      <c r="I35" s="65"/>
      <c r="J35" s="65"/>
      <c r="K35" s="66"/>
      <c r="L35" s="66"/>
      <c r="M35" s="66"/>
      <c r="N35" s="67"/>
      <c r="O35" s="67"/>
      <c r="P35" s="98" t="s">
        <v>85</v>
      </c>
      <c r="Q35" s="98"/>
      <c r="R35" s="58" t="n">
        <f aca="false">COUNTIF(Q8:Q27,"Благодарность")</f>
        <v>0</v>
      </c>
      <c r="S35" s="48"/>
    </row>
    <row r="36" customFormat="false" ht="15.75" hidden="false" customHeight="true" outlineLevel="0" collapsed="false">
      <c r="A36" s="50"/>
      <c r="B36" s="65" t="str">
        <f aca="false">$G$6</f>
        <v> Математический анализ </v>
      </c>
      <c r="C36" s="65"/>
      <c r="D36" s="65"/>
      <c r="E36" s="65"/>
      <c r="F36" s="65"/>
      <c r="G36" s="65"/>
      <c r="H36" s="65"/>
      <c r="I36" s="65"/>
      <c r="J36" s="65"/>
      <c r="K36" s="66"/>
      <c r="L36" s="66"/>
      <c r="M36" s="66"/>
      <c r="N36" s="67"/>
      <c r="O36" s="67"/>
      <c r="P36" s="98" t="s">
        <v>86</v>
      </c>
      <c r="Q36" s="98"/>
      <c r="R36" s="58" t="n">
        <f aca="false">COUNTIF(Q8:Q27,"Нормально")</f>
        <v>0</v>
      </c>
      <c r="S36" s="48"/>
    </row>
    <row r="37" customFormat="false" ht="15.75" hidden="false" customHeight="true" outlineLevel="0" collapsed="false">
      <c r="A37" s="50"/>
      <c r="B37" s="65" t="str">
        <f aca="false">$H$6</f>
        <v> Начертательная геометрия</v>
      </c>
      <c r="C37" s="65"/>
      <c r="D37" s="65"/>
      <c r="E37" s="65"/>
      <c r="F37" s="65"/>
      <c r="G37" s="65"/>
      <c r="H37" s="65"/>
      <c r="I37" s="65"/>
      <c r="J37" s="65"/>
      <c r="K37" s="66"/>
      <c r="L37" s="66"/>
      <c r="M37" s="66"/>
      <c r="N37" s="67"/>
      <c r="O37" s="67"/>
      <c r="P37" s="98" t="s">
        <v>87</v>
      </c>
      <c r="Q37" s="98"/>
      <c r="R37" s="58" t="n">
        <f aca="false">COUNTIF(Q8:Q27,"Предупреждение")</f>
        <v>0</v>
      </c>
      <c r="S37" s="48"/>
    </row>
    <row r="38" customFormat="false" ht="15.75" hidden="false" customHeight="true" outlineLevel="0" collapsed="false">
      <c r="A38" s="50"/>
      <c r="B38" s="65" t="str">
        <f aca="false">$I$6</f>
        <v>Инженерная графика</v>
      </c>
      <c r="C38" s="65"/>
      <c r="D38" s="65"/>
      <c r="E38" s="65"/>
      <c r="F38" s="65"/>
      <c r="G38" s="65"/>
      <c r="H38" s="65"/>
      <c r="I38" s="65"/>
      <c r="J38" s="65"/>
      <c r="K38" s="66"/>
      <c r="L38" s="66"/>
      <c r="M38" s="66"/>
      <c r="N38" s="67"/>
      <c r="O38" s="67"/>
      <c r="P38" s="98" t="s">
        <v>88</v>
      </c>
      <c r="Q38" s="98"/>
      <c r="R38" s="58" t="n">
        <f aca="false">COUNTIF(Q8:Q27,"Выговор")</f>
        <v>0</v>
      </c>
      <c r="S38" s="48"/>
    </row>
    <row r="39" customFormat="false" ht="15.75" hidden="false" customHeight="true" outlineLevel="0" collapsed="false">
      <c r="A39" s="50"/>
      <c r="B39" s="65" t="str">
        <f aca="false">$J$6</f>
        <v>Иностранный язык</v>
      </c>
      <c r="C39" s="65"/>
      <c r="D39" s="65"/>
      <c r="E39" s="65"/>
      <c r="F39" s="65"/>
      <c r="G39" s="65"/>
      <c r="H39" s="65"/>
      <c r="I39" s="65"/>
      <c r="J39" s="65"/>
      <c r="K39" s="66"/>
      <c r="L39" s="66"/>
      <c r="M39" s="66"/>
      <c r="N39" s="67"/>
      <c r="O39" s="67"/>
      <c r="P39" s="442" t="s">
        <v>1575</v>
      </c>
      <c r="Q39" s="380"/>
      <c r="R39" s="143" t="n">
        <f aca="false">SUM(R8:R27)</f>
        <v>0</v>
      </c>
      <c r="S39" s="48"/>
    </row>
    <row r="40" customFormat="false" ht="15.75" hidden="false" customHeight="true" outlineLevel="0" collapsed="false">
      <c r="A40" s="50"/>
      <c r="B40" s="65" t="str">
        <f aca="false">$K$6</f>
        <v> Общая химия</v>
      </c>
      <c r="C40" s="65"/>
      <c r="D40" s="65"/>
      <c r="E40" s="65"/>
      <c r="F40" s="65"/>
      <c r="G40" s="65"/>
      <c r="H40" s="65"/>
      <c r="I40" s="65"/>
      <c r="J40" s="65"/>
      <c r="K40" s="66"/>
      <c r="L40" s="66"/>
      <c r="M40" s="66"/>
      <c r="N40" s="67"/>
      <c r="O40" s="67"/>
      <c r="P40" s="67"/>
      <c r="Q40" s="67"/>
      <c r="R40" s="48"/>
      <c r="S40" s="48"/>
    </row>
    <row r="41" customFormat="false" ht="15.75" hidden="false" customHeight="true" outlineLevel="0" collapsed="false">
      <c r="A41" s="50"/>
      <c r="B41" s="65" t="str">
        <f aca="false">$L$6</f>
        <v>Учебно-технологический практикум</v>
      </c>
      <c r="C41" s="65"/>
      <c r="D41" s="65"/>
      <c r="E41" s="65"/>
      <c r="F41" s="65"/>
      <c r="G41" s="65"/>
      <c r="H41" s="65"/>
      <c r="I41" s="65"/>
      <c r="J41" s="65"/>
      <c r="K41" s="66"/>
      <c r="L41" s="66"/>
      <c r="M41" s="66"/>
      <c r="N41" s="67"/>
      <c r="O41" s="67"/>
      <c r="P41" s="67"/>
      <c r="Q41" s="67"/>
      <c r="R41" s="48"/>
      <c r="S41" s="48"/>
    </row>
    <row r="42" customFormat="false" ht="15.75" hidden="false" customHeight="true" outlineLevel="0" collapsed="false">
      <c r="A42" s="50"/>
      <c r="B42" s="65" t="str">
        <f aca="false">$M$6</f>
        <v>Физическая культура и спорт</v>
      </c>
      <c r="C42" s="65"/>
      <c r="D42" s="65"/>
      <c r="E42" s="65"/>
      <c r="F42" s="65"/>
      <c r="G42" s="65"/>
      <c r="H42" s="65"/>
      <c r="I42" s="65"/>
      <c r="J42" s="65"/>
      <c r="K42" s="66"/>
      <c r="L42" s="66"/>
      <c r="M42" s="66"/>
      <c r="N42" s="67"/>
      <c r="O42" s="67"/>
      <c r="P42" s="67"/>
      <c r="Q42" s="67"/>
      <c r="R42" s="48"/>
      <c r="S42" s="48"/>
    </row>
    <row r="43" customFormat="false" ht="15" hidden="false" customHeight="false" outlineLevel="0" collapsed="false">
      <c r="A43" s="50"/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67"/>
      <c r="M43" s="67"/>
      <c r="N43" s="67"/>
      <c r="O43" s="67"/>
      <c r="P43" s="48"/>
      <c r="Q43" s="48"/>
      <c r="R43" s="48"/>
      <c r="S43" s="48"/>
    </row>
    <row r="44" customFormat="false" ht="15.75" hidden="false" customHeight="true" outlineLevel="0" collapsed="false">
      <c r="A44" s="50"/>
      <c r="B44" s="428" t="s">
        <v>405</v>
      </c>
      <c r="C44" s="455" t="s">
        <v>3168</v>
      </c>
      <c r="D44" s="455"/>
      <c r="E44" s="67"/>
      <c r="F44" s="52" t="s">
        <v>407</v>
      </c>
      <c r="G44" s="300" t="s">
        <v>3169</v>
      </c>
      <c r="H44" s="52"/>
      <c r="I44" s="52"/>
      <c r="J44" s="52"/>
      <c r="K44" s="50"/>
      <c r="L44" s="50"/>
      <c r="M44" s="50"/>
      <c r="N44" s="50"/>
      <c r="O44" s="48"/>
      <c r="P44" s="48"/>
      <c r="Q44" s="48"/>
      <c r="R44" s="48"/>
      <c r="S44" s="48"/>
    </row>
    <row r="45" customFormat="false" ht="15" hidden="false" customHeight="false" outlineLevel="0" collapsed="false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48"/>
      <c r="P45" s="48"/>
      <c r="Q45" s="48"/>
      <c r="R45" s="48"/>
      <c r="S45" s="48"/>
    </row>
    <row r="46" customFormat="false" ht="15" hidden="false" customHeight="false" outlineLevel="0" collapsed="false">
      <c r="A46" s="50"/>
      <c r="B46" s="50" t="s">
        <v>93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48"/>
      <c r="P46" s="48"/>
      <c r="Q46" s="48"/>
      <c r="R46" s="48"/>
      <c r="S46" s="48"/>
    </row>
    <row r="47" customFormat="false" ht="15" hidden="false" customHeight="false" outlineLevel="0" collapsed="false">
      <c r="A47" s="50"/>
      <c r="B47" s="50" t="s">
        <v>94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48"/>
      <c r="P47" s="48"/>
      <c r="Q47" s="48"/>
      <c r="R47" s="48"/>
      <c r="S47" s="48"/>
    </row>
    <row r="48" customFormat="false" ht="15" hidden="false" customHeight="false" outlineLevel="0" collapsed="false">
      <c r="A48" s="50"/>
      <c r="B48" s="50" t="s">
        <v>95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48"/>
      <c r="P48" s="48"/>
      <c r="Q48" s="48"/>
      <c r="R48" s="48"/>
      <c r="S48" s="48"/>
    </row>
    <row r="49" customFormat="false" ht="15" hidden="false" customHeight="false" outlineLevel="0" collapsed="false">
      <c r="A49" s="50"/>
      <c r="B49" s="50" t="s">
        <v>96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48"/>
      <c r="P49" s="48"/>
      <c r="Q49" s="48"/>
      <c r="R49" s="48"/>
      <c r="S49" s="48"/>
    </row>
    <row r="50" customFormat="false" ht="15" hidden="false" customHeight="false" outlineLevel="0" collapsed="false">
      <c r="A50" s="50"/>
      <c r="B50" s="50" t="s">
        <v>97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48"/>
      <c r="P50" s="48"/>
      <c r="Q50" s="48"/>
      <c r="R50" s="48"/>
      <c r="S50" s="48"/>
    </row>
    <row r="51" customFormat="false" ht="15" hidden="false" customHeight="false" outlineLevel="0" collapsed="false">
      <c r="A51" s="50"/>
      <c r="B51" s="50" t="s">
        <v>98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48"/>
      <c r="P51" s="48"/>
      <c r="Q51" s="48"/>
      <c r="R51" s="48"/>
      <c r="S51" s="48"/>
    </row>
    <row r="52" customFormat="false" ht="15" hidden="false" customHeight="false" outlineLevel="0" collapsed="false">
      <c r="A52" s="50"/>
      <c r="B52" s="50" t="s">
        <v>99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48"/>
      <c r="P52" s="48"/>
      <c r="Q52" s="48"/>
      <c r="R52" s="48"/>
    </row>
  </sheetData>
  <mergeCells count="42">
    <mergeCell ref="E1:H1"/>
    <mergeCell ref="A3:Q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1:I31"/>
    <mergeCell ref="P32:Q32"/>
    <mergeCell ref="B33:J33"/>
    <mergeCell ref="K33:M33"/>
    <mergeCell ref="P33:Q33"/>
    <mergeCell ref="B34:J34"/>
    <mergeCell ref="K34:M34"/>
    <mergeCell ref="P34:Q34"/>
    <mergeCell ref="B35:J35"/>
    <mergeCell ref="K35:M35"/>
    <mergeCell ref="P35:Q35"/>
    <mergeCell ref="B36:J36"/>
    <mergeCell ref="K36:M36"/>
    <mergeCell ref="P36:Q36"/>
    <mergeCell ref="B37:J37"/>
    <mergeCell ref="K37:M37"/>
    <mergeCell ref="P37:Q37"/>
    <mergeCell ref="B38:J38"/>
    <mergeCell ref="K38:M38"/>
    <mergeCell ref="P38:Q38"/>
    <mergeCell ref="B39:J39"/>
    <mergeCell ref="K39:M39"/>
    <mergeCell ref="B40:J40"/>
    <mergeCell ref="K40:M40"/>
    <mergeCell ref="B41:J41"/>
    <mergeCell ref="K41:M41"/>
    <mergeCell ref="B42:J42"/>
    <mergeCell ref="K42:M42"/>
    <mergeCell ref="C44:D44"/>
  </mergeCells>
  <conditionalFormatting sqref="H23:H26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21:H22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7:H20 H27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H16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8:M28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7:G20 I17:M20 I27:M27 E27:G27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G16 I8:M16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G26 I23:M26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1:G22 I21:M22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29 Q30 N8:N28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0:P30 E29:N29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45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.14"/>
    <col collapsed="false" customWidth="true" hidden="false" outlineLevel="0" max="3" min="3" style="0" width="18"/>
    <col collapsed="false" customWidth="false" hidden="false" outlineLevel="0" max="7" min="7" style="45" width="9.14"/>
    <col collapsed="false" customWidth="true" hidden="false" outlineLevel="0" max="15" min="15" style="0" width="10.14"/>
    <col collapsed="false" customWidth="true" hidden="false" outlineLevel="0" max="18" min="18" style="0" width="16.14"/>
    <col collapsed="false" customWidth="true" hidden="false" outlineLevel="0" max="19" min="19" style="0" width="7.71"/>
    <col collapsed="false" customWidth="true" hidden="false" outlineLevel="0" max="20" min="20" style="0" width="4.29"/>
    <col collapsed="false" customWidth="true" hidden="false" outlineLevel="0" max="21" min="21" style="0" width="4.42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1"/>
      <c r="J1" s="2" t="n">
        <f aca="false">set!B1</f>
        <v>2</v>
      </c>
      <c r="K1" s="3"/>
    </row>
    <row r="2" customFormat="false" ht="15" hidden="false" customHeight="false" outlineLevel="0" collapsed="false">
      <c r="I2" s="4"/>
      <c r="M2" s="72" t="s">
        <v>1</v>
      </c>
      <c r="N2" s="72"/>
      <c r="O2" s="599" t="n">
        <f aca="false">set!B4</f>
        <v>45608</v>
      </c>
      <c r="P2" s="72"/>
      <c r="Q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ИУК7-31Б факультета ИУК МГТУ им. Н.Э. Баумана"</f>
        <v>Успеваемость студентов за 1 семестр 24/25 учебного года по группе ИУК7-31Б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/>
      <c r="J5" s="11" t="s">
        <v>7</v>
      </c>
      <c r="K5" s="11"/>
      <c r="L5" s="11"/>
      <c r="M5" s="11"/>
      <c r="N5" s="11"/>
      <c r="O5" s="268" t="s">
        <v>8</v>
      </c>
      <c r="P5" s="392" t="s">
        <v>9</v>
      </c>
      <c r="Q5" s="392" t="s">
        <v>10</v>
      </c>
      <c r="R5" s="417" t="s">
        <v>11</v>
      </c>
      <c r="S5" s="525" t="s">
        <v>1575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144</v>
      </c>
      <c r="F6" s="405" t="s">
        <v>3170</v>
      </c>
      <c r="G6" s="340" t="s">
        <v>3171</v>
      </c>
      <c r="H6" s="340" t="s">
        <v>3172</v>
      </c>
      <c r="I6" s="602" t="s">
        <v>736</v>
      </c>
      <c r="J6" s="340" t="s">
        <v>18</v>
      </c>
      <c r="K6" s="340" t="s">
        <v>3173</v>
      </c>
      <c r="L6" s="340" t="s">
        <v>3174</v>
      </c>
      <c r="M6" s="340" t="s">
        <v>3175</v>
      </c>
      <c r="N6" s="825" t="s">
        <v>147</v>
      </c>
      <c r="O6" s="268"/>
      <c r="P6" s="392"/>
      <c r="Q6" s="392"/>
      <c r="R6" s="417"/>
      <c r="S6" s="525"/>
    </row>
    <row r="7" customFormat="false" ht="17.9" hidden="false" customHeight="false" outlineLevel="0" collapsed="false">
      <c r="A7" s="8"/>
      <c r="B7" s="8"/>
      <c r="C7" s="8"/>
      <c r="D7" s="9"/>
      <c r="E7" s="343" t="s">
        <v>149</v>
      </c>
      <c r="F7" s="344" t="s">
        <v>300</v>
      </c>
      <c r="G7" s="344" t="s">
        <v>3176</v>
      </c>
      <c r="H7" s="344" t="s">
        <v>3177</v>
      </c>
      <c r="I7" s="826" t="s">
        <v>22</v>
      </c>
      <c r="J7" s="343" t="s">
        <v>27</v>
      </c>
      <c r="K7" s="344" t="s">
        <v>3178</v>
      </c>
      <c r="L7" s="344" t="s">
        <v>300</v>
      </c>
      <c r="M7" s="407" t="s">
        <v>2793</v>
      </c>
      <c r="N7" s="827" t="s">
        <v>176</v>
      </c>
      <c r="O7" s="268"/>
      <c r="P7" s="392"/>
      <c r="Q7" s="392"/>
      <c r="R7" s="417"/>
      <c r="S7" s="525"/>
    </row>
    <row r="8" customFormat="false" ht="15" hidden="false" customHeight="true" outlineLevel="0" collapsed="false">
      <c r="A8" s="25" t="n">
        <v>1</v>
      </c>
      <c r="B8" s="25" t="s">
        <v>3179</v>
      </c>
      <c r="C8" s="25" t="s">
        <v>3180</v>
      </c>
      <c r="D8" s="160"/>
      <c r="E8" s="86"/>
      <c r="F8" s="410"/>
      <c r="G8" s="410"/>
      <c r="H8" s="410"/>
      <c r="I8" s="920"/>
      <c r="J8" s="78"/>
      <c r="K8" s="921"/>
      <c r="L8" s="921"/>
      <c r="M8" s="921"/>
      <c r="N8" s="922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241" t="str">
        <f aca="false">IF(D8&lt;&gt;"",(30*(set!B$5)-D8)/(30*(set!B$5))*100,"")</f>
        <v/>
      </c>
      <c r="R8" s="85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118" t="n">
        <f aca="false">COUNTIF(E8:N8,2)+COUNTIF(E8:N8,1)+COUNTIF(E8:N8,0)</f>
        <v>0</v>
      </c>
    </row>
    <row r="9" customFormat="false" ht="15" hidden="false" customHeight="true" outlineLevel="0" collapsed="false">
      <c r="A9" s="37" t="n">
        <v>2</v>
      </c>
      <c r="B9" s="37" t="s">
        <v>3181</v>
      </c>
      <c r="C9" s="37" t="s">
        <v>3182</v>
      </c>
      <c r="D9" s="160"/>
      <c r="E9" s="86"/>
      <c r="F9" s="410"/>
      <c r="G9" s="410"/>
      <c r="H9" s="410"/>
      <c r="I9" s="920"/>
      <c r="J9" s="86"/>
      <c r="K9" s="410"/>
      <c r="L9" s="410"/>
      <c r="M9" s="410"/>
      <c r="N9" s="923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241" t="str">
        <f aca="false">IF(D9&lt;&gt;"",(30*(set!B$5)-D9)/(30*(set!B$5))*100,"")</f>
        <v/>
      </c>
      <c r="R9" s="85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118" t="n">
        <f aca="false">COUNTIF(E9:N9,2)+COUNTIF(E9:N9,1)+COUNTIF(E9:N9,0)</f>
        <v>0</v>
      </c>
    </row>
    <row r="10" customFormat="false" ht="15" hidden="false" customHeight="true" outlineLevel="0" collapsed="false">
      <c r="A10" s="37" t="n">
        <v>3</v>
      </c>
      <c r="B10" s="37" t="s">
        <v>3183</v>
      </c>
      <c r="C10" s="37" t="s">
        <v>3184</v>
      </c>
      <c r="D10" s="160"/>
      <c r="E10" s="86"/>
      <c r="F10" s="410"/>
      <c r="G10" s="410"/>
      <c r="H10" s="410"/>
      <c r="I10" s="920"/>
      <c r="J10" s="86"/>
      <c r="K10" s="410"/>
      <c r="L10" s="410"/>
      <c r="M10" s="410"/>
      <c r="N10" s="923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85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118" t="n">
        <f aca="false">COUNTIF(E10:N10,2)+COUNTIF(E10:N10,1)+COUNTIF(E10:N10,0)</f>
        <v>0</v>
      </c>
    </row>
    <row r="11" s="45" customFormat="true" ht="15" hidden="false" customHeight="true" outlineLevel="0" collapsed="false">
      <c r="A11" s="37" t="n">
        <v>4</v>
      </c>
      <c r="B11" s="37" t="s">
        <v>3185</v>
      </c>
      <c r="C11" s="37" t="s">
        <v>3186</v>
      </c>
      <c r="D11" s="160"/>
      <c r="E11" s="86"/>
      <c r="F11" s="410"/>
      <c r="G11" s="410"/>
      <c r="H11" s="410"/>
      <c r="I11" s="920"/>
      <c r="J11" s="86"/>
      <c r="K11" s="410"/>
      <c r="L11" s="410"/>
      <c r="M11" s="410"/>
      <c r="N11" s="923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85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118" t="n">
        <f aca="false">COUNTIF(E11:N11,2)+COUNTIF(E11:N11,1)+COUNTIF(E11:N11,0)</f>
        <v>0</v>
      </c>
    </row>
    <row r="12" customFormat="false" ht="15" hidden="false" customHeight="true" outlineLevel="0" collapsed="false">
      <c r="A12" s="37" t="n">
        <v>5</v>
      </c>
      <c r="B12" s="37" t="s">
        <v>3187</v>
      </c>
      <c r="C12" s="37" t="s">
        <v>1988</v>
      </c>
      <c r="D12" s="160"/>
      <c r="E12" s="86"/>
      <c r="F12" s="410"/>
      <c r="G12" s="410"/>
      <c r="H12" s="410"/>
      <c r="I12" s="920"/>
      <c r="J12" s="86"/>
      <c r="K12" s="410"/>
      <c r="L12" s="410"/>
      <c r="M12" s="410"/>
      <c r="N12" s="923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85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118" t="n">
        <f aca="false">COUNTIF(E12:N12,2)+COUNTIF(E12:N12,1)+COUNTIF(E12:N12,0)</f>
        <v>0</v>
      </c>
    </row>
    <row r="13" customFormat="false" ht="15" hidden="false" customHeight="true" outlineLevel="0" collapsed="false">
      <c r="A13" s="37" t="n">
        <v>6</v>
      </c>
      <c r="B13" s="37" t="s">
        <v>3188</v>
      </c>
      <c r="C13" s="37" t="s">
        <v>3189</v>
      </c>
      <c r="D13" s="160"/>
      <c r="E13" s="86"/>
      <c r="F13" s="410"/>
      <c r="G13" s="410"/>
      <c r="H13" s="410"/>
      <c r="I13" s="920"/>
      <c r="J13" s="86"/>
      <c r="K13" s="410"/>
      <c r="L13" s="410"/>
      <c r="M13" s="410"/>
      <c r="N13" s="923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241" t="str">
        <f aca="false">IF(D13&lt;&gt;"",(30*(set!B$5)-D13)/(30*(set!B$5))*100,"")</f>
        <v/>
      </c>
      <c r="R13" s="85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118" t="n">
        <f aca="false">COUNTIF(E13:N13,2)+COUNTIF(E13:N13,1)+COUNTIF(E13:N13,0)</f>
        <v>0</v>
      </c>
    </row>
    <row r="14" customFormat="false" ht="15" hidden="false" customHeight="true" outlineLevel="0" collapsed="false">
      <c r="A14" s="37" t="n">
        <v>7</v>
      </c>
      <c r="B14" s="37" t="s">
        <v>3190</v>
      </c>
      <c r="C14" s="37" t="s">
        <v>3191</v>
      </c>
      <c r="D14" s="160"/>
      <c r="E14" s="86"/>
      <c r="F14" s="410"/>
      <c r="G14" s="410"/>
      <c r="H14" s="410"/>
      <c r="I14" s="920"/>
      <c r="J14" s="86"/>
      <c r="K14" s="410"/>
      <c r="L14" s="410"/>
      <c r="M14" s="410"/>
      <c r="N14" s="923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241" t="str">
        <f aca="false">IF(D14&lt;&gt;"",(30*(set!B$5)-D14)/(30*(set!B$5))*100,"")</f>
        <v/>
      </c>
      <c r="R14" s="85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118" t="n">
        <f aca="false">COUNTIF(E14:N14,2)+COUNTIF(E14:N14,1)+COUNTIF(E14:N14,0)</f>
        <v>0</v>
      </c>
    </row>
    <row r="15" customFormat="false" ht="15" hidden="false" customHeight="true" outlineLevel="0" collapsed="false">
      <c r="A15" s="37" t="n">
        <v>8</v>
      </c>
      <c r="B15" s="37" t="s">
        <v>3192</v>
      </c>
      <c r="C15" s="37" t="s">
        <v>3193</v>
      </c>
      <c r="D15" s="160"/>
      <c r="E15" s="86"/>
      <c r="F15" s="410"/>
      <c r="G15" s="410"/>
      <c r="H15" s="410"/>
      <c r="I15" s="920"/>
      <c r="J15" s="86"/>
      <c r="K15" s="410"/>
      <c r="L15" s="410"/>
      <c r="M15" s="410"/>
      <c r="N15" s="923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241" t="str">
        <f aca="false">IF(D15&lt;&gt;"",(30*(set!B$5)-D15)/(30*(set!B$5))*100,"")</f>
        <v/>
      </c>
      <c r="R15" s="85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118" t="n">
        <f aca="false">COUNTIF(E15:N15,2)+COUNTIF(E15:N15,1)+COUNTIF(E15:N15,0)</f>
        <v>0</v>
      </c>
    </row>
    <row r="16" customFormat="false" ht="15" hidden="false" customHeight="true" outlineLevel="0" collapsed="false">
      <c r="A16" s="37" t="n">
        <v>9</v>
      </c>
      <c r="B16" s="37" t="s">
        <v>3194</v>
      </c>
      <c r="C16" s="37" t="s">
        <v>3195</v>
      </c>
      <c r="D16" s="160"/>
      <c r="E16" s="86"/>
      <c r="F16" s="410"/>
      <c r="G16" s="410"/>
      <c r="H16" s="410"/>
      <c r="I16" s="920"/>
      <c r="J16" s="86"/>
      <c r="K16" s="410"/>
      <c r="L16" s="410"/>
      <c r="M16" s="410"/>
      <c r="N16" s="923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241" t="str">
        <f aca="false">IF(D16&lt;&gt;"",(30*(set!B$5)-D16)/(30*(set!B$5))*100,"")</f>
        <v/>
      </c>
      <c r="R16" s="85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118" t="n">
        <f aca="false">COUNTIF(E16:N16,2)+COUNTIF(E16:N16,1)+COUNTIF(E16:N16,0)</f>
        <v>0</v>
      </c>
    </row>
    <row r="17" customFormat="false" ht="15" hidden="false" customHeight="true" outlineLevel="0" collapsed="false">
      <c r="A17" s="37" t="n">
        <v>10</v>
      </c>
      <c r="B17" s="37" t="s">
        <v>3196</v>
      </c>
      <c r="C17" s="37" t="s">
        <v>3197</v>
      </c>
      <c r="D17" s="160"/>
      <c r="E17" s="86"/>
      <c r="F17" s="410"/>
      <c r="G17" s="410"/>
      <c r="H17" s="410"/>
      <c r="I17" s="920"/>
      <c r="J17" s="86"/>
      <c r="K17" s="410"/>
      <c r="L17" s="410"/>
      <c r="M17" s="410"/>
      <c r="N17" s="923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241" t="str">
        <f aca="false">IF(D17&lt;&gt;"",(30*(set!B$5)-D17)/(30*(set!B$5))*100,"")</f>
        <v/>
      </c>
      <c r="R17" s="85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118" t="n">
        <f aca="false">COUNTIF(E17:N17,2)+COUNTIF(E17:N17,1)+COUNTIF(E17:N17,0)</f>
        <v>0</v>
      </c>
    </row>
    <row r="18" customFormat="false" ht="15" hidden="false" customHeight="true" outlineLevel="0" collapsed="false">
      <c r="A18" s="37" t="n">
        <v>11</v>
      </c>
      <c r="B18" s="37" t="s">
        <v>3198</v>
      </c>
      <c r="C18" s="37" t="s">
        <v>3199</v>
      </c>
      <c r="D18" s="160"/>
      <c r="E18" s="86"/>
      <c r="F18" s="410"/>
      <c r="G18" s="410"/>
      <c r="H18" s="410"/>
      <c r="I18" s="920"/>
      <c r="J18" s="86"/>
      <c r="K18" s="410"/>
      <c r="L18" s="410"/>
      <c r="M18" s="410"/>
      <c r="N18" s="923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241" t="str">
        <f aca="false">IF(D18&lt;&gt;"",(30*(set!B$5)-D18)/(30*(set!B$5))*100,"")</f>
        <v/>
      </c>
      <c r="R18" s="85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118" t="n">
        <f aca="false">COUNTIF(E18:N18,2)+COUNTIF(E18:N18,1)+COUNTIF(E18:N18,0)</f>
        <v>0</v>
      </c>
    </row>
    <row r="19" customFormat="false" ht="15" hidden="false" customHeight="true" outlineLevel="0" collapsed="false">
      <c r="A19" s="37" t="n">
        <v>12</v>
      </c>
      <c r="B19" s="37" t="s">
        <v>3200</v>
      </c>
      <c r="C19" s="37" t="s">
        <v>3201</v>
      </c>
      <c r="D19" s="160"/>
      <c r="E19" s="86"/>
      <c r="F19" s="410"/>
      <c r="G19" s="410"/>
      <c r="H19" s="410"/>
      <c r="I19" s="920"/>
      <c r="J19" s="86"/>
      <c r="K19" s="410"/>
      <c r="L19" s="410"/>
      <c r="M19" s="410"/>
      <c r="N19" s="923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241" t="str">
        <f aca="false">IF(D19&lt;&gt;"",(30*(set!B$5)-D19)/(30*(set!B$5))*100,"")</f>
        <v/>
      </c>
      <c r="R19" s="85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118" t="n">
        <f aca="false">COUNTIF(E19:N19,2)+COUNTIF(E19:N19,1)+COUNTIF(E19:N19,0)</f>
        <v>0</v>
      </c>
    </row>
    <row r="20" customFormat="false" ht="15" hidden="false" customHeight="true" outlineLevel="0" collapsed="false">
      <c r="A20" s="0" t="s">
        <v>77</v>
      </c>
      <c r="D20" s="209"/>
      <c r="E20" s="210" t="e">
        <f aca="false">AVERAGE(E8:E19)</f>
        <v>#DIV/0!</v>
      </c>
      <c r="F20" s="210" t="e">
        <f aca="false">AVERAGE(F8:F19)</f>
        <v>#DIV/0!</v>
      </c>
      <c r="G20" s="210" t="e">
        <f aca="false">AVERAGE(G8:G19)</f>
        <v>#DIV/0!</v>
      </c>
      <c r="H20" s="210" t="e">
        <f aca="false">AVERAGE(H8:H19)</f>
        <v>#DIV/0!</v>
      </c>
      <c r="I20" s="210" t="e">
        <f aca="false">AVERAGE(I8:I19)</f>
        <v>#DIV/0!</v>
      </c>
      <c r="J20" s="210" t="e">
        <f aca="false">AVERAGE(J8:J19)</f>
        <v>#DIV/0!</v>
      </c>
      <c r="K20" s="210" t="e">
        <f aca="false">AVERAGE(K8:K19)</f>
        <v>#DIV/0!</v>
      </c>
      <c r="L20" s="210" t="e">
        <f aca="false">AVERAGE(L8:L19)</f>
        <v>#DIV/0!</v>
      </c>
      <c r="M20" s="210" t="e">
        <f aca="false">AVERAGE(M8:M19)</f>
        <v>#DIV/0!</v>
      </c>
      <c r="N20" s="210" t="e">
        <f aca="false">AVERAGE(N8:N19)</f>
        <v>#DIV/0!</v>
      </c>
      <c r="O20" s="47"/>
    </row>
    <row r="21" customFormat="false" ht="15" hidden="false" customHeight="true" outlineLevel="0" collapsed="false">
      <c r="A21" s="0" t="s">
        <v>78</v>
      </c>
      <c r="E21" s="448" t="e">
        <f aca="false">(COUNTIF(E8:E19,5)+COUNTIF(E8:E19,4)+COUNTIF(E8:E19,3))/$R$25*100</f>
        <v>#DIV/0!</v>
      </c>
      <c r="F21" s="448" t="e">
        <f aca="false">(COUNTIF(F8:F19,5)+COUNTIF(F8:F19,4)+COUNTIF(F8:F19,3))/$R$25*100</f>
        <v>#DIV/0!</v>
      </c>
      <c r="G21" s="448" t="e">
        <f aca="false">(COUNTIF(G8:G19,5)+COUNTIF(G8:G19,4)+COUNTIF(G8:G19,3))/$R$25*100</f>
        <v>#DIV/0!</v>
      </c>
      <c r="H21" s="448" t="e">
        <f aca="false">(COUNTIF(H8:H19,5)+COUNTIF(H8:H19,4)+COUNTIF(H8:H19,3))/$R$25*100</f>
        <v>#DIV/0!</v>
      </c>
      <c r="I21" s="448" t="e">
        <f aca="false">(COUNTIF(I8:I19,5)+COUNTIF(I8:I19,4)+COUNTIF(I8:I19,3))/$R$25*100</f>
        <v>#DIV/0!</v>
      </c>
      <c r="J21" s="448" t="e">
        <f aca="false">(COUNTIF(J8:J19,5)+COUNTIF(J8:J19,4)+COUNTIF(J8:J19,3))/$R$25*100</f>
        <v>#DIV/0!</v>
      </c>
      <c r="K21" s="448" t="e">
        <f aca="false">(COUNTIF(K8:K19,5)+COUNTIF(K8:K19,4)+COUNTIF(K8:K19,3))/$R$25*100</f>
        <v>#DIV/0!</v>
      </c>
      <c r="L21" s="448" t="e">
        <f aca="false">(COUNTIF(L8:L19,5)+COUNTIF(L8:L19,4)+COUNTIF(L8:L19,3))/$R$25*100</f>
        <v>#DIV/0!</v>
      </c>
      <c r="M21" s="448" t="e">
        <f aca="false">(COUNTIF(M8:M19,5)+COUNTIF(M8:M19,4)+COUNTIF(M8:M19,3))/$R$25*100</f>
        <v>#DIV/0!</v>
      </c>
      <c r="N21" s="448" t="e">
        <f aca="false">(COUNTIF(N8:N19,5)+COUNTIF(N8:N19,4)+COUNTIF(N8:N19,3))/$R$25*100</f>
        <v>#DIV/0!</v>
      </c>
    </row>
    <row r="22" customFormat="false" ht="15" hidden="false" customHeight="true" outlineLevel="0" collapsed="false"/>
    <row r="23" customFormat="false" ht="15" hidden="false" customHeight="true" outlineLevel="0" collapsed="false">
      <c r="B23" s="50"/>
      <c r="C23" s="50" t="s">
        <v>8</v>
      </c>
      <c r="D23" s="51" t="str">
        <f aca="false">IFERROR(AVERAGE(O8:O19),"")</f>
        <v/>
      </c>
      <c r="E23" s="52"/>
      <c r="F23" s="52" t="s">
        <v>9</v>
      </c>
      <c r="G23" s="52"/>
      <c r="H23" s="53" t="str">
        <f aca="false">IFERROR(COUNTIF(P8:P19,"Успевает")/R25*100,"")</f>
        <v/>
      </c>
      <c r="I23" s="54" t="s">
        <v>79</v>
      </c>
      <c r="J23" s="54"/>
      <c r="K23" s="55" t="str">
        <f aca="false">IFERROR(AVERAGE(Q8:Q19),"")</f>
        <v/>
      </c>
      <c r="L23" s="52"/>
      <c r="M23" s="52"/>
      <c r="N23" s="52"/>
      <c r="O23" s="158"/>
      <c r="P23" s="48"/>
      <c r="Q23" s="48"/>
      <c r="R23" s="48"/>
    </row>
    <row r="24" customFormat="false" ht="15" hidden="false" customHeight="true" outlineLevel="0" collapsed="false">
      <c r="B24" s="50"/>
      <c r="C24" s="50"/>
      <c r="D24" s="50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</row>
    <row r="25" customFormat="false" ht="15" hidden="false" customHeight="true" outlineLevel="0" collapsed="false">
      <c r="B25" s="61" t="s">
        <v>81</v>
      </c>
      <c r="C25" s="61"/>
      <c r="D25" s="61"/>
      <c r="E25" s="61"/>
      <c r="F25" s="61"/>
      <c r="G25" s="61"/>
      <c r="H25" s="61"/>
      <c r="I25" s="61"/>
      <c r="J25" s="61"/>
      <c r="K25" s="61"/>
      <c r="L25" s="61" t="s">
        <v>82</v>
      </c>
      <c r="M25" s="61"/>
      <c r="N25" s="61"/>
      <c r="O25" s="56"/>
      <c r="P25" s="57" t="s">
        <v>80</v>
      </c>
      <c r="Q25" s="57"/>
      <c r="R25" s="58" t="n">
        <f aca="false">SUM(R26,R27)</f>
        <v>0</v>
      </c>
    </row>
    <row r="26" customFormat="false" ht="15" hidden="false" customHeight="true" outlineLevel="0" collapsed="false">
      <c r="B26" s="65" t="str">
        <f aca="false">$E$6</f>
        <v> История России</v>
      </c>
      <c r="C26" s="65"/>
      <c r="D26" s="65"/>
      <c r="E26" s="65"/>
      <c r="F26" s="65"/>
      <c r="G26" s="65"/>
      <c r="H26" s="65"/>
      <c r="I26" s="65"/>
      <c r="J26" s="65"/>
      <c r="K26" s="65"/>
      <c r="L26" s="66"/>
      <c r="M26" s="66"/>
      <c r="N26" s="66"/>
      <c r="O26" s="67"/>
      <c r="P26" s="57" t="s">
        <v>83</v>
      </c>
      <c r="Q26" s="57"/>
      <c r="R26" s="58" t="n">
        <f aca="false">COUNTIF(P8:P19,"Успевает")</f>
        <v>0</v>
      </c>
    </row>
    <row r="27" customFormat="false" ht="15" hidden="false" customHeight="true" outlineLevel="0" collapsed="false">
      <c r="B27" s="65" t="str">
        <f aca="false">$F$6</f>
        <v>Организация и обеспечение гражданской защиты и обороны</v>
      </c>
      <c r="C27" s="65"/>
      <c r="D27" s="65"/>
      <c r="E27" s="65"/>
      <c r="F27" s="65"/>
      <c r="G27" s="65"/>
      <c r="H27" s="65"/>
      <c r="I27" s="65"/>
      <c r="J27" s="65"/>
      <c r="K27" s="65"/>
      <c r="L27" s="66"/>
      <c r="M27" s="66"/>
      <c r="N27" s="66"/>
      <c r="O27" s="67"/>
      <c r="P27" s="98" t="s">
        <v>84</v>
      </c>
      <c r="Q27" s="98"/>
      <c r="R27" s="58" t="n">
        <f aca="false">COUNTIF(P8:P19,"Не успевает")</f>
        <v>0</v>
      </c>
    </row>
    <row r="28" customFormat="false" ht="15" hidden="false" customHeight="true" outlineLevel="0" collapsed="false">
      <c r="B28" s="65" t="str">
        <f aca="false">$H$6</f>
        <v>Теоретическая механика</v>
      </c>
      <c r="C28" s="65"/>
      <c r="D28" s="65"/>
      <c r="E28" s="65"/>
      <c r="F28" s="65"/>
      <c r="G28" s="65"/>
      <c r="H28" s="65"/>
      <c r="I28" s="65"/>
      <c r="J28" s="65"/>
      <c r="K28" s="65"/>
      <c r="L28" s="66"/>
      <c r="M28" s="66"/>
      <c r="N28" s="66"/>
      <c r="O28" s="67"/>
      <c r="P28" s="98" t="s">
        <v>85</v>
      </c>
      <c r="Q28" s="98"/>
      <c r="R28" s="58" t="n">
        <f aca="false">COUNTIF(R8:R19,"Благодарность")</f>
        <v>0</v>
      </c>
    </row>
    <row r="29" customFormat="false" ht="15" hidden="false" customHeight="true" outlineLevel="0" collapsed="false">
      <c r="B29" s="65" t="str">
        <f aca="false">$I$6</f>
        <v> Физика</v>
      </c>
      <c r="C29" s="65"/>
      <c r="D29" s="65"/>
      <c r="E29" s="65"/>
      <c r="F29" s="65"/>
      <c r="G29" s="65"/>
      <c r="H29" s="65"/>
      <c r="I29" s="65"/>
      <c r="J29" s="65"/>
      <c r="K29" s="65"/>
      <c r="L29" s="66"/>
      <c r="M29" s="66"/>
      <c r="N29" s="66"/>
      <c r="O29" s="67"/>
      <c r="P29" s="98" t="s">
        <v>86</v>
      </c>
      <c r="Q29" s="98"/>
      <c r="R29" s="58" t="n">
        <f aca="false">COUNTIF(R8:R19,"Нормально")</f>
        <v>0</v>
      </c>
    </row>
    <row r="30" customFormat="false" ht="15" hidden="false" customHeight="true" outlineLevel="0" collapsed="false">
      <c r="B30" s="65" t="str">
        <f aca="false">$J$6</f>
        <v>Иностранный язык</v>
      </c>
      <c r="C30" s="65"/>
      <c r="D30" s="65"/>
      <c r="E30" s="65"/>
      <c r="F30" s="65"/>
      <c r="G30" s="65"/>
      <c r="H30" s="65"/>
      <c r="I30" s="65"/>
      <c r="J30" s="65"/>
      <c r="K30" s="65"/>
      <c r="L30" s="66"/>
      <c r="M30" s="66"/>
      <c r="N30" s="66"/>
      <c r="O30" s="67"/>
      <c r="P30" s="98" t="s">
        <v>87</v>
      </c>
      <c r="Q30" s="98"/>
      <c r="R30" s="58" t="n">
        <f aca="false">COUNTIF(R8:R19,"Предупреждение")</f>
        <v>0</v>
      </c>
    </row>
    <row r="31" customFormat="false" ht="15" hidden="false" customHeight="true" outlineLevel="0" collapsed="false">
      <c r="B31" s="65" t="str">
        <f aca="false">$K$6</f>
        <v> Материаловедениеа</v>
      </c>
      <c r="C31" s="65"/>
      <c r="D31" s="65"/>
      <c r="E31" s="65"/>
      <c r="F31" s="65"/>
      <c r="G31" s="65"/>
      <c r="H31" s="65"/>
      <c r="I31" s="65"/>
      <c r="J31" s="65"/>
      <c r="K31" s="65"/>
      <c r="L31" s="66"/>
      <c r="M31" s="66"/>
      <c r="N31" s="66"/>
      <c r="O31" s="67"/>
      <c r="P31" s="98" t="s">
        <v>88</v>
      </c>
      <c r="Q31" s="98"/>
      <c r="R31" s="58" t="n">
        <f aca="false">COUNTIF(R8:R19,"Выговор")</f>
        <v>0</v>
      </c>
    </row>
    <row r="32" customFormat="false" ht="15" hidden="false" customHeight="true" outlineLevel="0" collapsed="false">
      <c r="B32" s="65" t="str">
        <f aca="false">$L$6</f>
        <v>Науки о Земле</v>
      </c>
      <c r="C32" s="65"/>
      <c r="D32" s="65"/>
      <c r="E32" s="65"/>
      <c r="F32" s="65"/>
      <c r="G32" s="65"/>
      <c r="H32" s="65"/>
      <c r="I32" s="65"/>
      <c r="J32" s="65"/>
      <c r="K32" s="65"/>
      <c r="L32" s="66"/>
      <c r="M32" s="66"/>
      <c r="N32" s="66"/>
      <c r="O32" s="67"/>
      <c r="P32" s="185" t="s">
        <v>1575</v>
      </c>
      <c r="Q32" s="380"/>
      <c r="R32" s="143" t="n">
        <f aca="false">SUM(S8:S19)</f>
        <v>0</v>
      </c>
    </row>
    <row r="33" customFormat="false" ht="15" hidden="false" customHeight="true" outlineLevel="0" collapsed="false">
      <c r="B33" s="65" t="str">
        <f aca="false">$M$6</f>
        <v>Теория вероятностей и математическая статистика</v>
      </c>
      <c r="C33" s="65"/>
      <c r="D33" s="65"/>
      <c r="E33" s="65"/>
      <c r="F33" s="65"/>
      <c r="G33" s="65"/>
      <c r="H33" s="65"/>
      <c r="I33" s="65"/>
      <c r="J33" s="65"/>
      <c r="K33" s="65"/>
      <c r="L33" s="66"/>
      <c r="M33" s="66"/>
      <c r="N33" s="66"/>
      <c r="O33" s="67"/>
      <c r="P33" s="67"/>
      <c r="Q33" s="67"/>
      <c r="R33" s="48"/>
    </row>
    <row r="34" customFormat="false" ht="15" hidden="false" customHeight="true" outlineLevel="0" collapsed="false">
      <c r="B34" s="65" t="str">
        <f aca="false">$N$6</f>
        <v>Физическая культура и спорт</v>
      </c>
      <c r="C34" s="65"/>
      <c r="D34" s="65"/>
      <c r="E34" s="65"/>
      <c r="F34" s="65"/>
      <c r="G34" s="65"/>
      <c r="H34" s="65"/>
      <c r="I34" s="65"/>
      <c r="J34" s="65"/>
      <c r="K34" s="65"/>
      <c r="L34" s="66"/>
      <c r="M34" s="66"/>
      <c r="N34" s="66"/>
      <c r="O34" s="67"/>
      <c r="P34" s="67"/>
      <c r="Q34" s="67"/>
      <c r="R34" s="48"/>
    </row>
    <row r="35" customFormat="false" ht="15" hidden="false" customHeight="true" outlineLevel="0" collapsed="false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48"/>
      <c r="P35" s="48"/>
      <c r="Q35" s="48"/>
      <c r="R35" s="48"/>
    </row>
    <row r="36" customFormat="false" ht="15" hidden="false" customHeight="true" outlineLevel="0" collapsed="false">
      <c r="B36" s="73" t="s">
        <v>405</v>
      </c>
      <c r="C36" s="455" t="s">
        <v>3202</v>
      </c>
      <c r="D36" s="455"/>
      <c r="E36" s="67"/>
      <c r="F36" s="52"/>
      <c r="G36" s="52" t="s">
        <v>407</v>
      </c>
      <c r="H36" s="300" t="s">
        <v>3203</v>
      </c>
      <c r="I36" s="52"/>
      <c r="J36" s="52"/>
      <c r="K36" s="52"/>
      <c r="L36" s="52"/>
      <c r="M36" s="52"/>
      <c r="N36" s="50"/>
      <c r="O36" s="48"/>
    </row>
    <row r="37" customFormat="false" ht="15" hidden="false" customHeight="true" outlineLevel="0" collapsed="false"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48"/>
    </row>
    <row r="38" customFormat="false" ht="15" hidden="false" customHeight="true" outlineLevel="0" collapsed="false">
      <c r="B38" s="50" t="s">
        <v>93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48"/>
    </row>
    <row r="39" customFormat="false" ht="15" hidden="false" customHeight="true" outlineLevel="0" collapsed="false">
      <c r="B39" s="50" t="s">
        <v>94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48"/>
    </row>
    <row r="40" customFormat="false" ht="15" hidden="false" customHeight="true" outlineLevel="0" collapsed="false">
      <c r="B40" s="50" t="s">
        <v>95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48"/>
    </row>
    <row r="41" customFormat="false" ht="15" hidden="false" customHeight="true" outlineLevel="0" collapsed="false">
      <c r="B41" s="50" t="s">
        <v>96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48"/>
    </row>
    <row r="42" customFormat="false" ht="15" hidden="false" customHeight="true" outlineLevel="0" collapsed="false">
      <c r="B42" s="50" t="s">
        <v>97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48"/>
    </row>
    <row r="43" customFormat="false" ht="15" hidden="false" customHeight="true" outlineLevel="0" collapsed="false">
      <c r="B43" s="50" t="s">
        <v>98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48"/>
    </row>
    <row r="44" customFormat="false" ht="15" hidden="false" customHeight="true" outlineLevel="0" collapsed="false">
      <c r="B44" s="50" t="s">
        <v>99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48"/>
      <c r="P44" s="48"/>
      <c r="Q44" s="48"/>
      <c r="R44" s="48"/>
    </row>
    <row r="45" customFormat="false" ht="15" hidden="false" customHeight="true" outlineLevel="0" collapsed="false"/>
  </sheetData>
  <mergeCells count="42">
    <mergeCell ref="E1:I1"/>
    <mergeCell ref="A3:Q3"/>
    <mergeCell ref="A5:A7"/>
    <mergeCell ref="B5:B7"/>
    <mergeCell ref="C5:C7"/>
    <mergeCell ref="D5:D7"/>
    <mergeCell ref="E5:I5"/>
    <mergeCell ref="J5:N5"/>
    <mergeCell ref="O5:O7"/>
    <mergeCell ref="P5:P7"/>
    <mergeCell ref="Q5:Q7"/>
    <mergeCell ref="R5:R7"/>
    <mergeCell ref="S5:S7"/>
    <mergeCell ref="I23:J23"/>
    <mergeCell ref="B25:K25"/>
    <mergeCell ref="L25:N25"/>
    <mergeCell ref="P25:Q25"/>
    <mergeCell ref="B26:K26"/>
    <mergeCell ref="L26:N26"/>
    <mergeCell ref="P26:Q26"/>
    <mergeCell ref="B27:K27"/>
    <mergeCell ref="L27:N27"/>
    <mergeCell ref="P27:Q27"/>
    <mergeCell ref="B28:K28"/>
    <mergeCell ref="L28:N28"/>
    <mergeCell ref="P28:Q28"/>
    <mergeCell ref="B29:K29"/>
    <mergeCell ref="L29:N29"/>
    <mergeCell ref="P29:Q29"/>
    <mergeCell ref="B30:K30"/>
    <mergeCell ref="L30:N30"/>
    <mergeCell ref="P30:Q30"/>
    <mergeCell ref="B31:K31"/>
    <mergeCell ref="L31:N31"/>
    <mergeCell ref="P31:Q31"/>
    <mergeCell ref="B32:K32"/>
    <mergeCell ref="L32:N32"/>
    <mergeCell ref="B33:K33"/>
    <mergeCell ref="L33:N33"/>
    <mergeCell ref="B34:K34"/>
    <mergeCell ref="L34:N34"/>
    <mergeCell ref="C36:D36"/>
  </mergeCells>
  <conditionalFormatting sqref="G11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8:G10 G12:G19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1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11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11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11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11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11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11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0:O20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19">
    <cfRule type="colorScale" priority="1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E10 E12:E19">
    <cfRule type="colorScale" priority="1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H10 H12:H19">
    <cfRule type="colorScale" priority="1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I8:I10 I12:I19">
    <cfRule type="colorScale" priority="1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J8:J10 J12:J19">
    <cfRule type="colorScale" priority="1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K8:K10 K12:K19">
    <cfRule type="colorScale" priority="1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:F10 F12:F19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L10 L12:L19">
    <cfRule type="colorScale" priority="2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0 M12:M19">
    <cfRule type="colorScale" priority="2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8:N10 N12:N19">
    <cfRule type="colorScale" priority="2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56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4" activeCellId="0" sqref="C14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3" min="3" style="0" width="17.15"/>
    <col collapsed="false" customWidth="true" hidden="false" outlineLevel="0" max="5" min="5" style="0" width="10"/>
    <col collapsed="false" customWidth="true" hidden="false" outlineLevel="0" max="7" min="7" style="0" width="8.57"/>
    <col collapsed="false" customWidth="true" hidden="false" outlineLevel="0" max="15" min="15" style="0" width="10.14"/>
    <col collapsed="false" customWidth="true" hidden="false" outlineLevel="0" max="16" min="16" style="0" width="10.85"/>
    <col collapsed="false" customWidth="true" hidden="false" outlineLevel="0" max="17" min="17" style="0" width="6.85"/>
    <col collapsed="false" customWidth="true" hidden="false" outlineLevel="0" max="18" min="18" style="0" width="15.71"/>
    <col collapsed="false" customWidth="true" hidden="false" outlineLevel="0" max="19" min="19" style="0" width="5.71"/>
    <col collapsed="false" customWidth="true" hidden="false" outlineLevel="0" max="20" min="20" style="0" width="4"/>
    <col collapsed="false" customWidth="true" hidden="false" outlineLevel="0" max="21" min="21" style="0" width="4.71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756"/>
      <c r="M2" s="756"/>
      <c r="N2" s="5"/>
      <c r="O2" s="5"/>
      <c r="P2" s="146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ИУК7-51Б факультета ИУК МГТУ им. Н.Э. Баумана"</f>
        <v>Успеваемость студентов за 1 семестр 24/25 учебного года по группе ИУК7-51Б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301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11"/>
      <c r="O5" s="391" t="s">
        <v>8</v>
      </c>
      <c r="P5" s="392" t="s">
        <v>9</v>
      </c>
      <c r="Q5" s="392" t="s">
        <v>10</v>
      </c>
      <c r="R5" s="14" t="s">
        <v>11</v>
      </c>
      <c r="S5" s="14" t="s">
        <v>1575</v>
      </c>
    </row>
    <row r="6" customFormat="false" ht="1.45" hidden="false" customHeight="false" outlineLevel="0" collapsed="false">
      <c r="A6" s="8"/>
      <c r="B6" s="8"/>
      <c r="C6" s="8"/>
      <c r="D6" s="301"/>
      <c r="E6" s="339" t="s">
        <v>3204</v>
      </c>
      <c r="F6" s="340" t="s">
        <v>3205</v>
      </c>
      <c r="G6" s="340" t="s">
        <v>3206</v>
      </c>
      <c r="H6" s="342" t="s">
        <v>3207</v>
      </c>
      <c r="I6" s="340" t="s">
        <v>18</v>
      </c>
      <c r="J6" s="340" t="s">
        <v>295</v>
      </c>
      <c r="K6" s="340" t="s">
        <v>3208</v>
      </c>
      <c r="L6" s="340" t="s">
        <v>3209</v>
      </c>
      <c r="M6" s="340" t="s">
        <v>3210</v>
      </c>
      <c r="N6" s="342" t="s">
        <v>147</v>
      </c>
      <c r="O6" s="391"/>
      <c r="P6" s="392"/>
      <c r="Q6" s="392"/>
      <c r="R6" s="14"/>
      <c r="S6" s="14"/>
    </row>
    <row r="7" customFormat="false" ht="17.9" hidden="false" customHeight="false" outlineLevel="0" collapsed="false">
      <c r="A7" s="8"/>
      <c r="B7" s="8"/>
      <c r="C7" s="8"/>
      <c r="D7" s="301"/>
      <c r="E7" s="343" t="s">
        <v>3211</v>
      </c>
      <c r="F7" s="344" t="s">
        <v>300</v>
      </c>
      <c r="G7" s="344" t="s">
        <v>300</v>
      </c>
      <c r="H7" s="346" t="s">
        <v>299</v>
      </c>
      <c r="I7" s="344" t="s">
        <v>1456</v>
      </c>
      <c r="J7" s="344" t="s">
        <v>175</v>
      </c>
      <c r="K7" s="344" t="s">
        <v>3212</v>
      </c>
      <c r="L7" s="344" t="s">
        <v>3213</v>
      </c>
      <c r="M7" s="344" t="s">
        <v>3214</v>
      </c>
      <c r="N7" s="346" t="s">
        <v>176</v>
      </c>
      <c r="O7" s="391"/>
      <c r="P7" s="392"/>
      <c r="Q7" s="392"/>
      <c r="R7" s="14"/>
      <c r="S7" s="14"/>
    </row>
    <row r="8" customFormat="false" ht="15" hidden="false" customHeight="true" outlineLevel="0" collapsed="false">
      <c r="A8" s="37" t="n">
        <v>1</v>
      </c>
      <c r="B8" s="37" t="s">
        <v>3215</v>
      </c>
      <c r="C8" s="37" t="s">
        <v>3216</v>
      </c>
      <c r="D8" s="470"/>
      <c r="E8" s="924"/>
      <c r="F8" s="925"/>
      <c r="G8" s="925"/>
      <c r="H8" s="926"/>
      <c r="I8" s="924"/>
      <c r="J8" s="925"/>
      <c r="K8" s="925"/>
      <c r="L8" s="925"/>
      <c r="M8" s="925"/>
      <c r="N8" s="926"/>
      <c r="O8" s="33" t="str">
        <f aca="false">IFERROR(AVERAGE(E8:N8),"")</f>
        <v/>
      </c>
      <c r="P8" s="84" t="str">
        <f aca="false">IF(E8&lt;&gt;"",IF(COUNTIF(E8:N8,"&lt;3"),"Не успевает","Успевает"),"")</f>
        <v/>
      </c>
      <c r="Q8" s="241" t="str">
        <f aca="false">IF(D8&lt;&gt;"",(30*(set!B$5)-D8)/(30*(set!B$5))*100,"")</f>
        <v/>
      </c>
      <c r="R8" s="77" t="str">
        <f aca="false" t="array" ref="R8:R8">IF(E8&lt;&gt;"",IF(O8&lt;1.85,"Выговор",IF(O8=1.85,"Выговор",IF(AND(O8&gt;1.85,O8&lt;3),"Предупреждение",IF(AND(O8&gt;3,O8&lt;4.65),"Нормально",IF(AND(O8&gt;4.65,O8&lt;5.1,E8:N8&gt;=4),"Благодарность","Нормально"))))),"")</f>
        <v/>
      </c>
      <c r="S8" s="77" t="n">
        <f aca="false">COUNTIF(E8:N8,2)+COUNTIF(E8:N8,1)+COUNTIF(E8:N8,0)</f>
        <v>0</v>
      </c>
    </row>
    <row r="9" customFormat="false" ht="15" hidden="false" customHeight="true" outlineLevel="0" collapsed="false">
      <c r="A9" s="37" t="n">
        <v>2</v>
      </c>
      <c r="B9" s="37" t="s">
        <v>3217</v>
      </c>
      <c r="C9" s="37" t="s">
        <v>3218</v>
      </c>
      <c r="D9" s="470"/>
      <c r="E9" s="924"/>
      <c r="F9" s="925"/>
      <c r="G9" s="925"/>
      <c r="H9" s="926"/>
      <c r="I9" s="924"/>
      <c r="J9" s="925"/>
      <c r="K9" s="925"/>
      <c r="L9" s="925"/>
      <c r="M9" s="925"/>
      <c r="N9" s="926"/>
      <c r="O9" s="33" t="str">
        <f aca="false">IFERROR(AVERAGE(E9:N9),"")</f>
        <v/>
      </c>
      <c r="P9" s="84" t="str">
        <f aca="false">IF(E9&lt;&gt;"",IF(COUNTIF(E9:N9,"&lt;3"),"Не успевает","Успевает"),"")</f>
        <v/>
      </c>
      <c r="Q9" s="241" t="str">
        <f aca="false">IF(D9&lt;&gt;"",(30*(set!B$5)-D9)/(30*(set!B$5))*100,"")</f>
        <v/>
      </c>
      <c r="R9" s="77" t="str">
        <f aca="false" t="array" ref="R9:R9">IF(E9&lt;&gt;"",IF(O9&lt;1.85,"Выговор",IF(O9=1.85,"Выговор",IF(AND(O9&gt;1.85,O9&lt;3),"Предупреждение",IF(AND(O9&gt;3,O9&lt;4.65),"Нормально",IF(AND(O9&gt;4.65,O9&lt;5.1,E9:N9&gt;=4),"Благодарность","Нормально"))))),"")</f>
        <v/>
      </c>
      <c r="S9" s="77" t="n">
        <f aca="false">COUNTIF(E9:N9,2)+COUNTIF(E9:N9,1)+COUNTIF(E9:N9,0)</f>
        <v>0</v>
      </c>
    </row>
    <row r="10" customFormat="false" ht="15" hidden="false" customHeight="true" outlineLevel="0" collapsed="false">
      <c r="A10" s="37" t="n">
        <v>3</v>
      </c>
      <c r="B10" s="37" t="s">
        <v>3219</v>
      </c>
      <c r="C10" s="37" t="s">
        <v>3220</v>
      </c>
      <c r="D10" s="470"/>
      <c r="E10" s="927"/>
      <c r="F10" s="928"/>
      <c r="G10" s="928"/>
      <c r="H10" s="929"/>
      <c r="I10" s="927"/>
      <c r="J10" s="928"/>
      <c r="K10" s="928"/>
      <c r="L10" s="928"/>
      <c r="M10" s="928"/>
      <c r="N10" s="929"/>
      <c r="O10" s="33" t="str">
        <f aca="false">IFERROR(AVERAGE(E10:N10),"")</f>
        <v/>
      </c>
      <c r="P10" s="84" t="str">
        <f aca="false">IF(E10&lt;&gt;"",IF(COUNTIF(E10:N10,"&lt;3"),"Не успевает","Успевает"),"")</f>
        <v/>
      </c>
      <c r="Q10" s="241" t="str">
        <f aca="false">IF(D10&lt;&gt;"",(30*(set!B$5)-D10)/(30*(set!B$5))*100,"")</f>
        <v/>
      </c>
      <c r="R10" s="85" t="str">
        <f aca="false" t="array" ref="R10:R10">IF(E10&lt;&gt;"",IF(O10&lt;1.85,"Выговор",IF(O10=1.85,"Выговор",IF(AND(O10&gt;1.85,O10&lt;3),"Предупреждение",IF(AND(O10&gt;3,O10&lt;4.65),"Нормально",IF(AND(O10&gt;4.65,O10&lt;5.1,E10:N10&gt;=4),"Благодарность","Нормально"))))),"")</f>
        <v/>
      </c>
      <c r="S10" s="85" t="n">
        <f aca="false">COUNTIF(E10:N10,2)+COUNTIF(E10:N10,1)+COUNTIF(E10:N10,0)</f>
        <v>0</v>
      </c>
    </row>
    <row r="11" customFormat="false" ht="15" hidden="false" customHeight="true" outlineLevel="0" collapsed="false">
      <c r="A11" s="37" t="n">
        <v>4</v>
      </c>
      <c r="B11" s="45" t="s">
        <v>3221</v>
      </c>
      <c r="C11" s="37" t="s">
        <v>3222</v>
      </c>
      <c r="D11" s="470"/>
      <c r="E11" s="927"/>
      <c r="F11" s="928"/>
      <c r="G11" s="928"/>
      <c r="H11" s="929"/>
      <c r="I11" s="927"/>
      <c r="J11" s="928"/>
      <c r="K11" s="928"/>
      <c r="L11" s="928"/>
      <c r="M11" s="928"/>
      <c r="N11" s="929"/>
      <c r="O11" s="33" t="str">
        <f aca="false">IFERROR(AVERAGE(E11:N11),"")</f>
        <v/>
      </c>
      <c r="P11" s="84" t="str">
        <f aca="false">IF(E11&lt;&gt;"",IF(COUNTIF(E11:N11,"&lt;3"),"Не успевает","Успевает"),"")</f>
        <v/>
      </c>
      <c r="Q11" s="241" t="str">
        <f aca="false">IF(D11&lt;&gt;"",(30*(set!B$5)-D11)/(30*(set!B$5))*100,"")</f>
        <v/>
      </c>
      <c r="R11" s="85" t="str">
        <f aca="false" t="array" ref="R11:R11">IF(E11&lt;&gt;"",IF(O11&lt;1.85,"Выговор",IF(O11=1.85,"Выговор",IF(AND(O11&gt;1.85,O11&lt;3),"Предупреждение",IF(AND(O11&gt;3,O11&lt;4.65),"Нормально",IF(AND(O11&gt;4.65,O11&lt;5.1,E11:N11&gt;=4),"Благодарность","Нормально"))))),"")</f>
        <v/>
      </c>
      <c r="S11" s="85" t="n">
        <f aca="false">COUNTIF(E11:N11,2)+COUNTIF(E11:N11,1)+COUNTIF(E11:N11,0)</f>
        <v>0</v>
      </c>
    </row>
    <row r="12" customFormat="false" ht="15" hidden="false" customHeight="true" outlineLevel="0" collapsed="false">
      <c r="A12" s="37" t="n">
        <v>5</v>
      </c>
      <c r="B12" s="37" t="s">
        <v>3223</v>
      </c>
      <c r="C12" s="37" t="s">
        <v>3224</v>
      </c>
      <c r="D12" s="470"/>
      <c r="E12" s="927"/>
      <c r="F12" s="928"/>
      <c r="G12" s="928"/>
      <c r="H12" s="929"/>
      <c r="I12" s="927"/>
      <c r="J12" s="928"/>
      <c r="K12" s="928"/>
      <c r="L12" s="928"/>
      <c r="M12" s="928"/>
      <c r="N12" s="929"/>
      <c r="O12" s="33" t="str">
        <f aca="false">IFERROR(AVERAGE(E12:N12),"")</f>
        <v/>
      </c>
      <c r="P12" s="84" t="str">
        <f aca="false">IF(E12&lt;&gt;"",IF(COUNTIF(E12:N12,"&lt;3"),"Не успевает","Успевает"),"")</f>
        <v/>
      </c>
      <c r="Q12" s="241" t="str">
        <f aca="false">IF(D12&lt;&gt;"",(30*(set!B$5)-D12)/(30*(set!B$5))*100,"")</f>
        <v/>
      </c>
      <c r="R12" s="85" t="str">
        <f aca="false" t="array" ref="R12:R12">IF(E12&lt;&gt;"",IF(O12&lt;1.85,"Выговор",IF(O12=1.85,"Выговор",IF(AND(O12&gt;1.85,O12&lt;3),"Предупреждение",IF(AND(O12&gt;3,O12&lt;4.65),"Нормально",IF(AND(O12&gt;4.65,O12&lt;5.1,E12:N12&gt;=4),"Благодарность","Нормально"))))),"")</f>
        <v/>
      </c>
      <c r="S12" s="85" t="n">
        <f aca="false">COUNTIF(E12:N12,2)+COUNTIF(E12:N12,1)+COUNTIF(E12:N12,0)</f>
        <v>0</v>
      </c>
    </row>
    <row r="13" customFormat="false" ht="15" hidden="false" customHeight="true" outlineLevel="0" collapsed="false">
      <c r="A13" s="37" t="n">
        <v>6</v>
      </c>
      <c r="B13" s="37" t="s">
        <v>3225</v>
      </c>
      <c r="C13" s="37" t="s">
        <v>3226</v>
      </c>
      <c r="D13" s="470"/>
      <c r="E13" s="927"/>
      <c r="F13" s="928"/>
      <c r="G13" s="928"/>
      <c r="H13" s="929"/>
      <c r="I13" s="927"/>
      <c r="J13" s="928"/>
      <c r="K13" s="928"/>
      <c r="L13" s="928"/>
      <c r="M13" s="928"/>
      <c r="N13" s="929"/>
      <c r="O13" s="33" t="str">
        <f aca="false">IFERROR(AVERAGE(E13:N13),"")</f>
        <v/>
      </c>
      <c r="P13" s="84" t="str">
        <f aca="false">IF(E13&lt;&gt;"",IF(COUNTIF(E13:N13,"&lt;3"),"Не успевает","Успевает"),"")</f>
        <v/>
      </c>
      <c r="Q13" s="241" t="str">
        <f aca="false">IF(D13&lt;&gt;"",(30*(set!B$5)-D13)/(30*(set!B$5))*100,"")</f>
        <v/>
      </c>
      <c r="R13" s="85" t="str">
        <f aca="false" t="array" ref="R13:R13">IF(E13&lt;&gt;"",IF(O13&lt;1.85,"Выговор",IF(O13=1.85,"Выговор",IF(AND(O13&gt;1.85,O13&lt;3),"Предупреждение",IF(AND(O13&gt;3,O13&lt;4.65),"Нормально",IF(AND(O13&gt;4.65,O13&lt;5.1,E13:N13&gt;=4),"Благодарность","Нормально"))))),"")</f>
        <v/>
      </c>
      <c r="S13" s="85" t="n">
        <f aca="false">COUNTIF(E13:N13,2)+COUNTIF(E13:N13,1)+COUNTIF(E13:N13,0)</f>
        <v>0</v>
      </c>
    </row>
    <row r="14" customFormat="false" ht="15" hidden="false" customHeight="true" outlineLevel="0" collapsed="false">
      <c r="A14" s="37" t="n">
        <v>7</v>
      </c>
      <c r="B14" s="37" t="s">
        <v>3227</v>
      </c>
      <c r="C14" s="37" t="s">
        <v>3228</v>
      </c>
      <c r="D14" s="470"/>
      <c r="E14" s="927"/>
      <c r="F14" s="928"/>
      <c r="G14" s="928"/>
      <c r="H14" s="929"/>
      <c r="I14" s="927"/>
      <c r="J14" s="928"/>
      <c r="K14" s="928"/>
      <c r="L14" s="928"/>
      <c r="M14" s="928"/>
      <c r="N14" s="929"/>
      <c r="O14" s="33" t="str">
        <f aca="false">IFERROR(AVERAGE(E14:N14),"")</f>
        <v/>
      </c>
      <c r="P14" s="84" t="str">
        <f aca="false">IF(E14&lt;&gt;"",IF(COUNTIF(E14:N14,"&lt;3"),"Не успевает","Успевает"),"")</f>
        <v/>
      </c>
      <c r="Q14" s="241" t="str">
        <f aca="false">IF(D14&lt;&gt;"",(30*(set!B$5)-D14)/(30*(set!B$5))*100,"")</f>
        <v/>
      </c>
      <c r="R14" s="85" t="str">
        <f aca="false" t="array" ref="R14:R14">IF(E14&lt;&gt;"",IF(O14&lt;1.85,"Выговор",IF(O14=1.85,"Выговор",IF(AND(O14&gt;1.85,O14&lt;3),"Предупреждение",IF(AND(O14&gt;3,O14&lt;4.65),"Нормально",IF(AND(O14&gt;4.65,O14&lt;5.1,E14:N14&gt;=4),"Благодарность","Нормально"))))),"")</f>
        <v/>
      </c>
      <c r="S14" s="85" t="n">
        <f aca="false">COUNTIF(E14:N14,2)+COUNTIF(E14:N14,1)+COUNTIF(E14:N14,0)</f>
        <v>0</v>
      </c>
    </row>
    <row r="15" s="45" customFormat="true" ht="15" hidden="false" customHeight="true" outlineLevel="0" collapsed="false">
      <c r="A15" s="37" t="n">
        <v>8</v>
      </c>
      <c r="B15" s="37" t="s">
        <v>3229</v>
      </c>
      <c r="C15" s="37" t="s">
        <v>3230</v>
      </c>
      <c r="D15" s="470"/>
      <c r="E15" s="927"/>
      <c r="F15" s="928"/>
      <c r="G15" s="928"/>
      <c r="H15" s="929"/>
      <c r="I15" s="927"/>
      <c r="J15" s="928"/>
      <c r="K15" s="928"/>
      <c r="L15" s="928"/>
      <c r="M15" s="928"/>
      <c r="N15" s="929"/>
      <c r="O15" s="33" t="str">
        <f aca="false">IFERROR(AVERAGE(E15:N15),"")</f>
        <v/>
      </c>
      <c r="P15" s="84" t="str">
        <f aca="false">IF(E15&lt;&gt;"",IF(COUNTIF(E15:N15,"&lt;3"),"Не успевает","Успевает"),"")</f>
        <v/>
      </c>
      <c r="Q15" s="241" t="str">
        <f aca="false">IF(D15&lt;&gt;"",(30*(set!B$5)-D15)/(30*(set!B$5))*100,"")</f>
        <v/>
      </c>
      <c r="R15" s="85" t="str">
        <f aca="false" t="array" ref="R15:R15">IF(E15&lt;&gt;"",IF(O15&lt;1.85,"Выговор",IF(O15=1.85,"Выговор",IF(AND(O15&gt;1.85,O15&lt;3),"Предупреждение",IF(AND(O15&gt;3,O15&lt;4.65),"Нормально",IF(AND(O15&gt;4.65,O15&lt;5.1,E15:N15&gt;=4),"Благодарность","Нормально"))))),"")</f>
        <v/>
      </c>
      <c r="S15" s="85" t="n">
        <f aca="false">COUNTIF(E15:N15,2)+COUNTIF(E15:N15,1)+COUNTIF(E15:N15,0)</f>
        <v>0</v>
      </c>
    </row>
    <row r="16" s="45" customFormat="true" ht="15" hidden="false" customHeight="true" outlineLevel="0" collapsed="false">
      <c r="A16" s="37" t="n">
        <v>9</v>
      </c>
      <c r="B16" s="37" t="s">
        <v>3231</v>
      </c>
      <c r="C16" s="37" t="s">
        <v>3232</v>
      </c>
      <c r="D16" s="470"/>
      <c r="E16" s="927"/>
      <c r="F16" s="928"/>
      <c r="G16" s="928"/>
      <c r="H16" s="929"/>
      <c r="I16" s="927"/>
      <c r="J16" s="928"/>
      <c r="K16" s="928"/>
      <c r="L16" s="928"/>
      <c r="M16" s="928"/>
      <c r="N16" s="929"/>
      <c r="O16" s="33" t="str">
        <f aca="false">IFERROR(AVERAGE(E16:N16),"")</f>
        <v/>
      </c>
      <c r="P16" s="84" t="str">
        <f aca="false">IF(E16&lt;&gt;"",IF(COUNTIF(E16:N16,"&lt;3"),"Не успевает","Успевает"),"")</f>
        <v/>
      </c>
      <c r="Q16" s="241" t="str">
        <f aca="false">IF(D16&lt;&gt;"",(30*(set!B$5)-D16)/(30*(set!B$5))*100,"")</f>
        <v/>
      </c>
      <c r="R16" s="85" t="str">
        <f aca="false" t="array" ref="R16:R16">IF(E16&lt;&gt;"",IF(O16&lt;1.85,"Выговор",IF(O16=1.85,"Выговор",IF(AND(O16&gt;1.85,O16&lt;3),"Предупреждение",IF(AND(O16&gt;3,O16&lt;4.65),"Нормально",IF(AND(O16&gt;4.65,O16&lt;5.1,E16:N16&gt;=4),"Благодарность","Нормально"))))),"")</f>
        <v/>
      </c>
      <c r="S16" s="85" t="n">
        <f aca="false">COUNTIF(E16:N16,2)+COUNTIF(E16:N16,1)+COUNTIF(E16:N16,0)</f>
        <v>0</v>
      </c>
    </row>
    <row r="17" s="45" customFormat="true" ht="15" hidden="false" customHeight="true" outlineLevel="0" collapsed="false">
      <c r="A17" s="37" t="n">
        <v>10</v>
      </c>
      <c r="B17" s="37" t="s">
        <v>3233</v>
      </c>
      <c r="C17" s="37" t="s">
        <v>3234</v>
      </c>
      <c r="D17" s="470"/>
      <c r="E17" s="927"/>
      <c r="F17" s="928"/>
      <c r="G17" s="928"/>
      <c r="H17" s="929"/>
      <c r="I17" s="927"/>
      <c r="J17" s="928"/>
      <c r="K17" s="928"/>
      <c r="L17" s="928"/>
      <c r="M17" s="928"/>
      <c r="N17" s="929"/>
      <c r="O17" s="33" t="str">
        <f aca="false">IFERROR(AVERAGE(E17:N17),"")</f>
        <v/>
      </c>
      <c r="P17" s="84" t="str">
        <f aca="false">IF(E17&lt;&gt;"",IF(COUNTIF(E17:N17,"&lt;3"),"Не успевает","Успевает"),"")</f>
        <v/>
      </c>
      <c r="Q17" s="241" t="str">
        <f aca="false">IF(D17&lt;&gt;"",(30*(set!B$5)-D17)/(30*(set!B$5))*100,"")</f>
        <v/>
      </c>
      <c r="R17" s="85" t="str">
        <f aca="false" t="array" ref="R17:R17">IF(E17&lt;&gt;"",IF(O17&lt;1.85,"Выговор",IF(O17=1.85,"Выговор",IF(AND(O17&gt;1.85,O17&lt;3),"Предупреждение",IF(AND(O17&gt;3,O17&lt;4.65),"Нормально",IF(AND(O17&gt;4.65,O17&lt;5.1,E17:N17&gt;=4),"Благодарность","Нормально"))))),"")</f>
        <v/>
      </c>
      <c r="S17" s="85" t="n">
        <f aca="false">COUNTIF(E17:N17,2)+COUNTIF(E17:N17,1)+COUNTIF(E17:N17,0)</f>
        <v>0</v>
      </c>
    </row>
    <row r="18" s="45" customFormat="true" ht="15" hidden="false" customHeight="true" outlineLevel="0" collapsed="false">
      <c r="A18" s="37" t="n">
        <v>11</v>
      </c>
      <c r="B18" s="37" t="s">
        <v>3235</v>
      </c>
      <c r="C18" s="37" t="s">
        <v>3236</v>
      </c>
      <c r="D18" s="470"/>
      <c r="E18" s="927"/>
      <c r="F18" s="928"/>
      <c r="G18" s="928"/>
      <c r="H18" s="929"/>
      <c r="I18" s="927"/>
      <c r="J18" s="928"/>
      <c r="K18" s="928"/>
      <c r="L18" s="928"/>
      <c r="M18" s="928"/>
      <c r="N18" s="929"/>
      <c r="O18" s="33" t="str">
        <f aca="false">IFERROR(AVERAGE(E18:N18),"")</f>
        <v/>
      </c>
      <c r="P18" s="84" t="str">
        <f aca="false">IF(E18&lt;&gt;"",IF(COUNTIF(E18:N18,"&lt;3"),"Не успевает","Успевает"),"")</f>
        <v/>
      </c>
      <c r="Q18" s="241" t="str">
        <f aca="false">IF(D18&lt;&gt;"",(30*(set!B$5)-D18)/(30*(set!B$5))*100,"")</f>
        <v/>
      </c>
      <c r="R18" s="85" t="str">
        <f aca="false" t="array" ref="R18:R18">IF(E18&lt;&gt;"",IF(O18&lt;1.85,"Выговор",IF(O18=1.85,"Выговор",IF(AND(O18&gt;1.85,O18&lt;3),"Предупреждение",IF(AND(O18&gt;3,O18&lt;4.65),"Нормально",IF(AND(O18&gt;4.65,O18&lt;5.1,E18:N18&gt;=4),"Благодарность","Нормально"))))),"")</f>
        <v/>
      </c>
      <c r="S18" s="85" t="n">
        <f aca="false">COUNTIF(E18:N18,2)+COUNTIF(E18:N18,1)+COUNTIF(E18:N18,0)</f>
        <v>0</v>
      </c>
    </row>
    <row r="19" s="45" customFormat="true" ht="15" hidden="false" customHeight="true" outlineLevel="0" collapsed="false">
      <c r="A19" s="37" t="n">
        <v>12</v>
      </c>
      <c r="B19" s="37" t="s">
        <v>3237</v>
      </c>
      <c r="C19" s="37" t="s">
        <v>3238</v>
      </c>
      <c r="D19" s="470"/>
      <c r="E19" s="927"/>
      <c r="F19" s="928"/>
      <c r="G19" s="928"/>
      <c r="H19" s="929"/>
      <c r="I19" s="927"/>
      <c r="J19" s="928"/>
      <c r="K19" s="928"/>
      <c r="L19" s="928"/>
      <c r="M19" s="928"/>
      <c r="N19" s="929"/>
      <c r="O19" s="33" t="str">
        <f aca="false">IFERROR(AVERAGE(E19:N19),"")</f>
        <v/>
      </c>
      <c r="P19" s="84" t="str">
        <f aca="false">IF(E19&lt;&gt;"",IF(COUNTIF(E19:N19,"&lt;3"),"Не успевает","Успевает"),"")</f>
        <v/>
      </c>
      <c r="Q19" s="241" t="str">
        <f aca="false">IF(D19&lt;&gt;"",(30*(set!B$5)-D19)/(30*(set!B$5))*100,"")</f>
        <v/>
      </c>
      <c r="R19" s="85" t="str">
        <f aca="false" t="array" ref="R19:R19">IF(E19&lt;&gt;"",IF(O19&lt;1.85,"Выговор",IF(O19=1.85,"Выговор",IF(AND(O19&gt;1.85,O19&lt;3),"Предупреждение",IF(AND(O19&gt;3,O19&lt;4.65),"Нормально",IF(AND(O19&gt;4.65,O19&lt;5.1,E19:N19&gt;=4),"Благодарность","Нормально"))))),"")</f>
        <v/>
      </c>
      <c r="S19" s="85" t="n">
        <f aca="false">COUNTIF(E19:N19,2)+COUNTIF(E19:N19,1)+COUNTIF(E19:N19,0)</f>
        <v>0</v>
      </c>
    </row>
    <row r="20" s="45" customFormat="true" ht="15" hidden="false" customHeight="true" outlineLevel="0" collapsed="false">
      <c r="A20" s="37" t="n">
        <v>13</v>
      </c>
      <c r="B20" s="37" t="s">
        <v>3239</v>
      </c>
      <c r="C20" s="37" t="s">
        <v>3240</v>
      </c>
      <c r="D20" s="470"/>
      <c r="E20" s="927"/>
      <c r="F20" s="928"/>
      <c r="G20" s="928"/>
      <c r="H20" s="929"/>
      <c r="I20" s="927"/>
      <c r="J20" s="928"/>
      <c r="K20" s="928"/>
      <c r="L20" s="928"/>
      <c r="M20" s="928"/>
      <c r="N20" s="929"/>
      <c r="O20" s="33" t="str">
        <f aca="false">IFERROR(AVERAGE(E20:N20),"")</f>
        <v/>
      </c>
      <c r="P20" s="84" t="str">
        <f aca="false">IF(E20&lt;&gt;"",IF(COUNTIF(E20:N20,"&lt;3"),"Не успевает","Успевает"),"")</f>
        <v/>
      </c>
      <c r="Q20" s="241" t="str">
        <f aca="false">IF(D20&lt;&gt;"",(30*(set!B$5)-D20)/(30*(set!B$5))*100,"")</f>
        <v/>
      </c>
      <c r="R20" s="85" t="str">
        <f aca="false" t="array" ref="R20:R20">IF(E20&lt;&gt;"",IF(O20&lt;1.85,"Выговор",IF(O20=1.85,"Выговор",IF(AND(O20&gt;1.85,O20&lt;3),"Предупреждение",IF(AND(O20&gt;3,O20&lt;4.65),"Нормально",IF(AND(O20&gt;4.65,O20&lt;5.1,E20:N20&gt;=4),"Благодарность","Нормально"))))),"")</f>
        <v/>
      </c>
      <c r="S20" s="85" t="n">
        <f aca="false">COUNTIF(E20:N20,2)+COUNTIF(E20:N20,1)+COUNTIF(E20:N20,0)</f>
        <v>0</v>
      </c>
    </row>
    <row r="21" customFormat="false" ht="15" hidden="false" customHeight="true" outlineLevel="0" collapsed="false">
      <c r="A21" s="37" t="n">
        <v>14</v>
      </c>
      <c r="B21" s="37" t="s">
        <v>3241</v>
      </c>
      <c r="C21" s="37" t="s">
        <v>3242</v>
      </c>
      <c r="D21" s="470"/>
      <c r="E21" s="927"/>
      <c r="F21" s="928"/>
      <c r="G21" s="928"/>
      <c r="H21" s="929"/>
      <c r="I21" s="927"/>
      <c r="J21" s="928"/>
      <c r="K21" s="928"/>
      <c r="L21" s="928"/>
      <c r="M21" s="928"/>
      <c r="N21" s="929"/>
      <c r="O21" s="33" t="str">
        <f aca="false">IFERROR(AVERAGE(E21:N21),"")</f>
        <v/>
      </c>
      <c r="P21" s="84" t="str">
        <f aca="false">IF(E21&lt;&gt;"",IF(COUNTIF(E21:N21,"&lt;3"),"Не успевает","Успевает"),"")</f>
        <v/>
      </c>
      <c r="Q21" s="241" t="str">
        <f aca="false">IF(D21&lt;&gt;"",(30*(set!B$5)-D21)/(30*(set!B$5))*100,"")</f>
        <v/>
      </c>
      <c r="R21" s="85" t="str">
        <f aca="false" t="array" ref="R21:R21">IF(E21&lt;&gt;"",IF(O21&lt;1.85,"Выговор",IF(O21=1.85,"Выговор",IF(AND(O21&gt;1.85,O21&lt;3),"Предупреждение",IF(AND(O21&gt;3,O21&lt;4.65),"Нормально",IF(AND(O21&gt;4.65,O21&lt;5.1,E21:N21&gt;=4),"Благодарность","Нормально"))))),"")</f>
        <v/>
      </c>
      <c r="S21" s="85" t="n">
        <f aca="false">COUNTIF(E21:N21,2)+COUNTIF(E21:N21,1)+COUNTIF(E21:N21,0)</f>
        <v>0</v>
      </c>
    </row>
    <row r="22" customFormat="false" ht="15" hidden="false" customHeight="true" outlineLevel="0" collapsed="false">
      <c r="A22" s="0" t="s">
        <v>77</v>
      </c>
      <c r="D22" s="46"/>
      <c r="E22" s="47" t="e">
        <f aca="false">AVERAGE(E8:E21)</f>
        <v>#DIV/0!</v>
      </c>
      <c r="F22" s="47" t="e">
        <f aca="false">AVERAGE(F8:F21)</f>
        <v>#DIV/0!</v>
      </c>
      <c r="G22" s="47" t="e">
        <f aca="false">AVERAGE(G8:G21)</f>
        <v>#DIV/0!</v>
      </c>
      <c r="H22" s="47" t="e">
        <f aca="false">AVERAGE(H8:H21)</f>
        <v>#DIV/0!</v>
      </c>
      <c r="I22" s="47" t="e">
        <f aca="false">AVERAGE(I8:I21)</f>
        <v>#DIV/0!</v>
      </c>
      <c r="J22" s="47" t="e">
        <f aca="false">AVERAGE(J8:J21)</f>
        <v>#DIV/0!</v>
      </c>
      <c r="K22" s="47" t="e">
        <f aca="false">AVERAGE(K8:K21)</f>
        <v>#DIV/0!</v>
      </c>
      <c r="L22" s="47" t="e">
        <f aca="false">AVERAGE(L8:L21)</f>
        <v>#DIV/0!</v>
      </c>
      <c r="M22" s="47" t="e">
        <f aca="false">AVERAGE(M8:M21)</f>
        <v>#DIV/0!</v>
      </c>
      <c r="N22" s="47" t="e">
        <f aca="false">AVERAGE(N8:N21)</f>
        <v>#DIV/0!</v>
      </c>
      <c r="O22" s="47"/>
      <c r="P22" s="48"/>
      <c r="Q22" s="49"/>
    </row>
    <row r="23" customFormat="false" ht="15" hidden="false" customHeight="true" outlineLevel="0" collapsed="false">
      <c r="A23" s="0" t="s">
        <v>78</v>
      </c>
      <c r="D23" s="537"/>
      <c r="E23" s="49" t="e">
        <f aca="false">(COUNTIF(E8:E21,5)+COUNTIF(E8:E21,4)+COUNTIF(E8:E21,3))/$Q$28*100</f>
        <v>#DIV/0!</v>
      </c>
      <c r="F23" s="49" t="e">
        <f aca="false">(COUNTIF(F8:F21,5)+COUNTIF(F8:F21,4)+COUNTIF(F8:F21,3))/$Q$28*100</f>
        <v>#DIV/0!</v>
      </c>
      <c r="G23" s="49" t="e">
        <f aca="false">(COUNTIF(G8:G21,5)+COUNTIF(G8:G21,4)+COUNTIF(G8:G21,3))/$Q$28*100</f>
        <v>#DIV/0!</v>
      </c>
      <c r="H23" s="49" t="e">
        <f aca="false">(COUNTIF(H8:H21,5)+COUNTIF(H8:H21,4)+COUNTIF(H8:H21,3))/$Q$28*100</f>
        <v>#DIV/0!</v>
      </c>
      <c r="I23" s="49" t="e">
        <f aca="false">(COUNTIF(I8:I21,5)+COUNTIF(I8:I21,4)+COUNTIF(I8:I21,3))/$Q$28*100</f>
        <v>#DIV/0!</v>
      </c>
      <c r="J23" s="49" t="e">
        <f aca="false">(COUNTIF(J8:J21,5)+COUNTIF(J8:J21,4)+COUNTIF(J8:J21,3))/$Q$28*100</f>
        <v>#DIV/0!</v>
      </c>
      <c r="K23" s="49" t="e">
        <f aca="false">(COUNTIF(K8:K21,5)+COUNTIF(K8:K21,4)+COUNTIF(K8:K21,3))/$Q$28*100</f>
        <v>#DIV/0!</v>
      </c>
      <c r="L23" s="49" t="e">
        <f aca="false">(COUNTIF(L8:L21,5)+COUNTIF(L8:L21,4)+COUNTIF(L8:L21,3))/$Q$28*100</f>
        <v>#DIV/0!</v>
      </c>
      <c r="M23" s="49" t="e">
        <f aca="false">(COUNTIF(M8:M21,5)+COUNTIF(M8:M21,4)+COUNTIF(M8:M21,3))/$Q$28*100</f>
        <v>#DIV/0!</v>
      </c>
      <c r="N23" s="49" t="e">
        <f aca="false">(COUNTIF(N8:N21,5)+COUNTIF(N8:N21,4)+COUNTIF(N8:N21,3))/$Q$28*100</f>
        <v>#DIV/0!</v>
      </c>
      <c r="O23" s="48"/>
      <c r="P23" s="47"/>
      <c r="Q23" s="48"/>
      <c r="R23" s="49"/>
      <c r="S23" s="242"/>
    </row>
    <row r="24" customFormat="false" ht="15" hidden="false" customHeight="true" outlineLevel="0" collapsed="false">
      <c r="D24" s="537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7"/>
      <c r="Q24" s="48"/>
      <c r="R24" s="49"/>
      <c r="S24" s="242"/>
    </row>
    <row r="25" customFormat="false" ht="15" hidden="false" customHeight="true" outlineLevel="0" collapsed="false">
      <c r="D25" s="537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7"/>
      <c r="Q25" s="48"/>
      <c r="R25" s="49"/>
      <c r="S25" s="242"/>
    </row>
    <row r="26" customFormat="false" ht="15" hidden="false" customHeight="true" outlineLevel="0" collapsed="false">
      <c r="B26" s="50"/>
      <c r="C26" s="50" t="s">
        <v>8</v>
      </c>
      <c r="D26" s="51" t="str">
        <f aca="false">IFERROR(AVERAGE(O8:O21),"")</f>
        <v/>
      </c>
      <c r="E26" s="52" t="s">
        <v>9</v>
      </c>
      <c r="F26" s="52"/>
      <c r="G26" s="53" t="str">
        <f aca="false">IFERROR(COUNTIF(P8:P21,"Успевает")/Q28*100,"")</f>
        <v/>
      </c>
      <c r="H26" s="54" t="s">
        <v>79</v>
      </c>
      <c r="I26" s="54"/>
      <c r="J26" s="55" t="str">
        <f aca="false">IFERROR(AVERAGE(Q8:Q21),"")</f>
        <v/>
      </c>
      <c r="K26" s="52"/>
      <c r="L26" s="52"/>
      <c r="M26" s="52"/>
      <c r="N26" s="48"/>
      <c r="O26" s="48"/>
      <c r="P26" s="48"/>
      <c r="Q26" s="48"/>
      <c r="R26" s="48"/>
      <c r="S26" s="242"/>
    </row>
    <row r="27" customFormat="false" ht="15" hidden="false" customHeight="true" outlineLevel="0" collapsed="false">
      <c r="B27" s="50"/>
      <c r="C27" s="50"/>
      <c r="D27" s="50"/>
      <c r="E27" s="56"/>
      <c r="F27" s="56"/>
      <c r="G27" s="56"/>
      <c r="H27" s="56"/>
      <c r="I27" s="56"/>
      <c r="J27" s="56"/>
      <c r="K27" s="56"/>
      <c r="L27" s="56"/>
      <c r="M27" s="56"/>
      <c r="Q27" s="59"/>
      <c r="R27" s="59"/>
    </row>
    <row r="28" customFormat="false" ht="15" hidden="false" customHeight="true" outlineLevel="0" collapsed="false">
      <c r="B28" s="61" t="s">
        <v>81</v>
      </c>
      <c r="C28" s="61"/>
      <c r="D28" s="61"/>
      <c r="E28" s="61"/>
      <c r="F28" s="61"/>
      <c r="G28" s="61"/>
      <c r="H28" s="61"/>
      <c r="I28" s="61"/>
      <c r="J28" s="61"/>
      <c r="K28" s="61" t="s">
        <v>82</v>
      </c>
      <c r="L28" s="61"/>
      <c r="M28" s="61"/>
      <c r="O28" s="57" t="s">
        <v>80</v>
      </c>
      <c r="P28" s="57"/>
      <c r="Q28" s="58" t="n">
        <f aca="false">SUM(Q29,Q30)</f>
        <v>0</v>
      </c>
      <c r="R28" s="64"/>
    </row>
    <row r="29" customFormat="false" ht="15" hidden="false" customHeight="true" outlineLevel="0" collapsed="false">
      <c r="B29" s="65" t="str">
        <f aca="false">$E$6</f>
        <v> Детали машин и основы конструирования </v>
      </c>
      <c r="C29" s="65"/>
      <c r="D29" s="65"/>
      <c r="E29" s="65"/>
      <c r="F29" s="65"/>
      <c r="G29" s="65"/>
      <c r="H29" s="65"/>
      <c r="I29" s="65"/>
      <c r="J29" s="65"/>
      <c r="K29" s="66"/>
      <c r="L29" s="66"/>
      <c r="M29" s="66"/>
      <c r="O29" s="57" t="s">
        <v>83</v>
      </c>
      <c r="P29" s="57"/>
      <c r="Q29" s="58" t="n">
        <f aca="false">COUNTIF(P8:P21,"Успевает")</f>
        <v>0</v>
      </c>
      <c r="R29" s="64"/>
    </row>
    <row r="30" customFormat="false" ht="15" hidden="false" customHeight="true" outlineLevel="0" collapsed="false">
      <c r="B30" s="65" t="str">
        <f aca="false">$F$6</f>
        <v> Оценка воздействия на окружающую среду</v>
      </c>
      <c r="C30" s="65"/>
      <c r="D30" s="65"/>
      <c r="E30" s="65"/>
      <c r="F30" s="65"/>
      <c r="G30" s="65"/>
      <c r="H30" s="65"/>
      <c r="I30" s="65"/>
      <c r="J30" s="65"/>
      <c r="K30" s="66"/>
      <c r="L30" s="66"/>
      <c r="M30" s="66"/>
      <c r="O30" s="98" t="s">
        <v>84</v>
      </c>
      <c r="P30" s="98"/>
      <c r="Q30" s="58" t="n">
        <f aca="false">COUNTIF(P8:P21,"Не успевает")</f>
        <v>0</v>
      </c>
      <c r="R30" s="48"/>
    </row>
    <row r="31" customFormat="false" ht="15" hidden="false" customHeight="true" outlineLevel="0" collapsed="false">
      <c r="B31" s="65" t="str">
        <f aca="false">$G$6</f>
        <v> Промышленная акустика</v>
      </c>
      <c r="C31" s="65"/>
      <c r="D31" s="65"/>
      <c r="E31" s="65"/>
      <c r="F31" s="65"/>
      <c r="G31" s="65"/>
      <c r="H31" s="65"/>
      <c r="I31" s="65"/>
      <c r="J31" s="65"/>
      <c r="K31" s="66"/>
      <c r="L31" s="66"/>
      <c r="M31" s="66"/>
      <c r="O31" s="98" t="s">
        <v>85</v>
      </c>
      <c r="P31" s="98"/>
      <c r="Q31" s="58" t="n">
        <f aca="false">COUNTIF(R8:R21,"Благодарность")</f>
        <v>0</v>
      </c>
      <c r="R31" s="48"/>
    </row>
    <row r="32" customFormat="false" ht="15" hidden="false" customHeight="true" outlineLevel="0" collapsed="false">
      <c r="B32" s="65" t="str">
        <f aca="false">$H$6</f>
        <v> Физико-технические процессы в техносфере (к.р.)</v>
      </c>
      <c r="C32" s="65"/>
      <c r="D32" s="65"/>
      <c r="E32" s="65"/>
      <c r="F32" s="65"/>
      <c r="G32" s="65"/>
      <c r="H32" s="65"/>
      <c r="I32" s="65"/>
      <c r="J32" s="65"/>
      <c r="K32" s="66"/>
      <c r="L32" s="66"/>
      <c r="M32" s="66"/>
      <c r="O32" s="98" t="s">
        <v>86</v>
      </c>
      <c r="P32" s="98"/>
      <c r="Q32" s="58" t="n">
        <f aca="false">COUNTIF(R8:R21,"Нормально")</f>
        <v>0</v>
      </c>
      <c r="R32" s="48"/>
    </row>
    <row r="33" customFormat="false" ht="15" hidden="false" customHeight="true" outlineLevel="0" collapsed="false">
      <c r="B33" s="65" t="str">
        <f aca="false">$I$6</f>
        <v>Иностранный язык</v>
      </c>
      <c r="C33" s="65"/>
      <c r="D33" s="65"/>
      <c r="E33" s="65"/>
      <c r="F33" s="65"/>
      <c r="G33" s="65"/>
      <c r="H33" s="65"/>
      <c r="I33" s="65"/>
      <c r="J33" s="65"/>
      <c r="K33" s="66"/>
      <c r="L33" s="66"/>
      <c r="M33" s="66"/>
      <c r="O33" s="98" t="s">
        <v>87</v>
      </c>
      <c r="P33" s="98"/>
      <c r="Q33" s="58" t="n">
        <f aca="false">COUNTIF(R8:R21,"Предупреждение")</f>
        <v>0</v>
      </c>
      <c r="R33" s="48"/>
    </row>
    <row r="34" customFormat="false" ht="15" hidden="false" customHeight="true" outlineLevel="0" collapsed="false">
      <c r="B34" s="65" t="str">
        <f aca="false">$J$6</f>
        <v> Социология</v>
      </c>
      <c r="C34" s="65"/>
      <c r="D34" s="65"/>
      <c r="E34" s="65"/>
      <c r="F34" s="65"/>
      <c r="G34" s="65"/>
      <c r="H34" s="65"/>
      <c r="I34" s="65"/>
      <c r="J34" s="65"/>
      <c r="K34" s="66"/>
      <c r="L34" s="66"/>
      <c r="M34" s="66"/>
      <c r="O34" s="98" t="s">
        <v>88</v>
      </c>
      <c r="P34" s="98"/>
      <c r="Q34" s="58" t="n">
        <f aca="false">COUNTIF(R8:R21,"Выговор")</f>
        <v>0</v>
      </c>
      <c r="R34" s="48"/>
    </row>
    <row r="35" customFormat="false" ht="15" hidden="false" customHeight="true" outlineLevel="0" collapsed="false">
      <c r="B35" s="65" t="str">
        <f aca="false">$K$6</f>
        <v> Теория механизмов и машин (к.р.)</v>
      </c>
      <c r="C35" s="65"/>
      <c r="D35" s="65"/>
      <c r="E35" s="65"/>
      <c r="F35" s="65"/>
      <c r="G35" s="65"/>
      <c r="H35" s="65"/>
      <c r="I35" s="65"/>
      <c r="J35" s="65"/>
      <c r="K35" s="66"/>
      <c r="L35" s="66"/>
      <c r="M35" s="66"/>
      <c r="N35" s="67"/>
      <c r="O35" s="442" t="s">
        <v>1575</v>
      </c>
      <c r="P35" s="380"/>
      <c r="Q35" s="143" t="n">
        <f aca="false">SUM(S8:S21)</f>
        <v>0</v>
      </c>
      <c r="R35" s="48"/>
    </row>
    <row r="36" customFormat="false" ht="15" hidden="false" customHeight="true" outlineLevel="0" collapsed="false">
      <c r="B36" s="65" t="str">
        <f aca="false">$L$6</f>
        <v> Электротехника и электроника</v>
      </c>
      <c r="C36" s="65"/>
      <c r="D36" s="65"/>
      <c r="E36" s="65"/>
      <c r="F36" s="65"/>
      <c r="G36" s="65"/>
      <c r="H36" s="65"/>
      <c r="I36" s="65"/>
      <c r="J36" s="65"/>
      <c r="K36" s="66"/>
      <c r="L36" s="66"/>
      <c r="M36" s="66"/>
      <c r="N36" s="67"/>
      <c r="O36" s="67"/>
      <c r="P36" s="48"/>
      <c r="Q36" s="48"/>
      <c r="R36" s="48"/>
    </row>
    <row r="37" customFormat="false" ht="15" hidden="false" customHeight="true" outlineLevel="0" collapsed="false">
      <c r="B37" s="65" t="str">
        <f aca="false">$M$6</f>
        <v> Язык делового общения </v>
      </c>
      <c r="C37" s="65"/>
      <c r="D37" s="65"/>
      <c r="E37" s="65"/>
      <c r="F37" s="65"/>
      <c r="G37" s="65"/>
      <c r="H37" s="65"/>
      <c r="I37" s="65"/>
      <c r="J37" s="65"/>
      <c r="K37" s="66"/>
      <c r="L37" s="66"/>
      <c r="M37" s="66"/>
      <c r="N37" s="67"/>
      <c r="O37" s="67"/>
      <c r="P37" s="48"/>
      <c r="Q37" s="48"/>
      <c r="R37" s="48"/>
    </row>
    <row r="38" customFormat="false" ht="15" hidden="false" customHeight="true" outlineLevel="0" collapsed="false">
      <c r="B38" s="65" t="str">
        <f aca="false">$N$6</f>
        <v>Физическая культура и спорт</v>
      </c>
      <c r="C38" s="65"/>
      <c r="D38" s="65"/>
      <c r="E38" s="65"/>
      <c r="F38" s="65"/>
      <c r="G38" s="65"/>
      <c r="H38" s="65"/>
      <c r="I38" s="65"/>
      <c r="J38" s="65"/>
      <c r="K38" s="66"/>
      <c r="L38" s="66"/>
      <c r="M38" s="66"/>
      <c r="N38" s="48"/>
      <c r="O38" s="48"/>
      <c r="P38" s="48"/>
      <c r="Q38" s="48"/>
      <c r="R38" s="48"/>
    </row>
    <row r="39" customFormat="false" ht="15" hidden="false" customHeight="true" outlineLevel="0" collapsed="false"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48"/>
      <c r="R39" s="48"/>
    </row>
    <row r="40" customFormat="false" ht="15" hidden="false" customHeight="true" outlineLevel="0" collapsed="false">
      <c r="B40" s="428" t="s">
        <v>405</v>
      </c>
      <c r="C40" s="327" t="s">
        <v>3243</v>
      </c>
      <c r="D40" s="327"/>
      <c r="E40" s="327"/>
      <c r="F40" s="52" t="s">
        <v>369</v>
      </c>
      <c r="G40" s="300" t="s">
        <v>3244</v>
      </c>
      <c r="H40" s="52"/>
      <c r="I40" s="52"/>
      <c r="J40" s="52"/>
      <c r="K40" s="52"/>
      <c r="L40" s="50"/>
      <c r="M40" s="50"/>
      <c r="N40" s="48"/>
      <c r="R40" s="48"/>
    </row>
    <row r="41" customFormat="false" ht="15" hidden="false" customHeight="true" outlineLevel="0" collapsed="false"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48"/>
      <c r="R41" s="48"/>
    </row>
    <row r="42" customFormat="false" ht="15" hidden="false" customHeight="true" outlineLevel="0" collapsed="false">
      <c r="B42" s="50" t="s">
        <v>93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48"/>
      <c r="R42" s="48"/>
    </row>
    <row r="43" customFormat="false" ht="15" hidden="false" customHeight="true" outlineLevel="0" collapsed="false">
      <c r="B43" s="50" t="s">
        <v>94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48"/>
      <c r="R43" s="48"/>
    </row>
    <row r="44" customFormat="false" ht="15" hidden="false" customHeight="true" outlineLevel="0" collapsed="false">
      <c r="B44" s="50" t="s">
        <v>95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48"/>
      <c r="R44" s="48"/>
    </row>
    <row r="45" customFormat="false" ht="15" hidden="false" customHeight="true" outlineLevel="0" collapsed="false">
      <c r="B45" s="50" t="s">
        <v>96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48"/>
      <c r="R45" s="48"/>
    </row>
    <row r="46" customFormat="false" ht="15" hidden="false" customHeight="true" outlineLevel="0" collapsed="false">
      <c r="B46" s="50" t="s">
        <v>97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48"/>
    </row>
    <row r="47" customFormat="false" ht="15" hidden="false" customHeight="true" outlineLevel="0" collapsed="false">
      <c r="B47" s="50" t="s">
        <v>98</v>
      </c>
      <c r="C47" s="50"/>
      <c r="D47" s="50"/>
      <c r="E47" s="50"/>
      <c r="F47" s="50"/>
      <c r="G47" s="50"/>
      <c r="H47" s="50"/>
      <c r="I47" s="50"/>
      <c r="J47" s="50"/>
      <c r="K47" s="50"/>
    </row>
    <row r="48" customFormat="false" ht="15" hidden="false" customHeight="true" outlineLevel="0" collapsed="false">
      <c r="B48" s="50" t="s">
        <v>99</v>
      </c>
      <c r="C48" s="50"/>
      <c r="D48" s="50"/>
      <c r="E48" s="50"/>
      <c r="F48" s="50"/>
      <c r="G48" s="50"/>
      <c r="H48" s="50"/>
      <c r="I48" s="50"/>
      <c r="J48" s="50"/>
      <c r="K48" s="50"/>
    </row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</sheetData>
  <mergeCells count="45">
    <mergeCell ref="E1:H1"/>
    <mergeCell ref="N2:O2"/>
    <mergeCell ref="A3:O3"/>
    <mergeCell ref="A5:A7"/>
    <mergeCell ref="B5:B7"/>
    <mergeCell ref="C5:C7"/>
    <mergeCell ref="D5:D7"/>
    <mergeCell ref="E5:H5"/>
    <mergeCell ref="I5:N5"/>
    <mergeCell ref="O5:O7"/>
    <mergeCell ref="P5:P7"/>
    <mergeCell ref="Q5:Q7"/>
    <mergeCell ref="R5:R7"/>
    <mergeCell ref="S5:S7"/>
    <mergeCell ref="H26:I26"/>
    <mergeCell ref="B28:J28"/>
    <mergeCell ref="K28:M28"/>
    <mergeCell ref="O28:P28"/>
    <mergeCell ref="B29:J29"/>
    <mergeCell ref="K29:M29"/>
    <mergeCell ref="O29:P29"/>
    <mergeCell ref="B30:J30"/>
    <mergeCell ref="K30:M30"/>
    <mergeCell ref="O30:P30"/>
    <mergeCell ref="B31:J31"/>
    <mergeCell ref="K31:M31"/>
    <mergeCell ref="O31:P31"/>
    <mergeCell ref="B32:J32"/>
    <mergeCell ref="K32:M32"/>
    <mergeCell ref="O32:P32"/>
    <mergeCell ref="B33:J33"/>
    <mergeCell ref="K33:M33"/>
    <mergeCell ref="O33:P33"/>
    <mergeCell ref="B34:J34"/>
    <mergeCell ref="K34:M34"/>
    <mergeCell ref="O34:P34"/>
    <mergeCell ref="B35:J35"/>
    <mergeCell ref="K35:M35"/>
    <mergeCell ref="B36:J36"/>
    <mergeCell ref="K36:M36"/>
    <mergeCell ref="B37:J37"/>
    <mergeCell ref="K37:M37"/>
    <mergeCell ref="B38:J38"/>
    <mergeCell ref="K38:M38"/>
    <mergeCell ref="C40:E40"/>
  </mergeCells>
  <conditionalFormatting sqref="N15 N1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6:N17 N19:N20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2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8:O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O23:O25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P23:P25 O10:O22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2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3:N14 N8:N11 N21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23:N25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22:N22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M14 E21:M21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M20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Q44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4" activeCellId="0" sqref="C14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2" min="2" style="0" width="10.42"/>
    <col collapsed="false" customWidth="true" hidden="false" outlineLevel="0" max="3" min="3" style="0" width="17.15"/>
    <col collapsed="false" customWidth="true" hidden="false" outlineLevel="0" max="5" min="5" style="0" width="10.29"/>
    <col collapsed="false" customWidth="true" hidden="false" outlineLevel="0" max="6" min="6" style="0" width="9.42"/>
    <col collapsed="false" customWidth="true" hidden="false" outlineLevel="0" max="11" min="11" style="0" width="11.71"/>
    <col collapsed="false" customWidth="true" hidden="false" outlineLevel="0" max="12" min="12" style="0" width="11.43"/>
    <col collapsed="false" customWidth="true" hidden="false" outlineLevel="0" max="13" min="13" style="0" width="10.14"/>
    <col collapsed="false" customWidth="true" hidden="false" outlineLevel="0" max="14" min="14" style="0" width="10.57"/>
    <col collapsed="false" customWidth="true" hidden="false" outlineLevel="0" max="15" min="15" style="0" width="10.85"/>
    <col collapsed="false" customWidth="true" hidden="false" outlineLevel="0" max="16" min="16" style="0" width="10"/>
    <col collapsed="false" customWidth="true" hidden="false" outlineLevel="0" max="17" min="17" style="0" width="4.42"/>
    <col collapsed="false" customWidth="true" hidden="false" outlineLevel="0" max="18" min="18" style="0" width="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L2" s="0" t="s">
        <v>1</v>
      </c>
      <c r="M2" s="75"/>
      <c r="N2" s="72"/>
      <c r="O2" s="75" t="n">
        <f aca="false">set!B4</f>
        <v>45608</v>
      </c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ИУК7-71Б факультета ИУК МГТУ им. Н.Э. Баумана"</f>
        <v>Успеваемость студентов за 1 семестр 24/25 учебного года по группе ИУК7-71Б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493" t="s">
        <v>6</v>
      </c>
      <c r="F5" s="493"/>
      <c r="G5" s="493"/>
      <c r="H5" s="493"/>
      <c r="I5" s="11" t="s">
        <v>7</v>
      </c>
      <c r="J5" s="11"/>
      <c r="K5" s="11"/>
      <c r="L5" s="11"/>
      <c r="M5" s="391" t="s">
        <v>8</v>
      </c>
      <c r="N5" s="392" t="s">
        <v>9</v>
      </c>
      <c r="O5" s="392" t="s">
        <v>10</v>
      </c>
      <c r="P5" s="14" t="s">
        <v>11</v>
      </c>
      <c r="Q5" s="600" t="s">
        <v>1575</v>
      </c>
    </row>
    <row r="6" customFormat="false" ht="1.45" hidden="false" customHeight="false" outlineLevel="0" collapsed="false">
      <c r="A6" s="8"/>
      <c r="B6" s="8"/>
      <c r="C6" s="8"/>
      <c r="D6" s="9"/>
      <c r="E6" s="339" t="s">
        <v>3245</v>
      </c>
      <c r="F6" s="340" t="s">
        <v>3246</v>
      </c>
      <c r="G6" s="340" t="s">
        <v>3247</v>
      </c>
      <c r="H6" s="342" t="s">
        <v>3248</v>
      </c>
      <c r="I6" s="405" t="s">
        <v>2967</v>
      </c>
      <c r="J6" s="340" t="s">
        <v>467</v>
      </c>
      <c r="K6" s="340" t="s">
        <v>2969</v>
      </c>
      <c r="L6" s="342" t="s">
        <v>379</v>
      </c>
      <c r="M6" s="391"/>
      <c r="N6" s="392"/>
      <c r="O6" s="392"/>
      <c r="P6" s="14"/>
      <c r="Q6" s="600"/>
    </row>
    <row r="7" customFormat="false" ht="17.9" hidden="false" customHeight="false" outlineLevel="0" collapsed="false">
      <c r="A7" s="8"/>
      <c r="B7" s="8"/>
      <c r="C7" s="8"/>
      <c r="D7" s="9"/>
      <c r="E7" s="343" t="s">
        <v>3249</v>
      </c>
      <c r="F7" s="344" t="s">
        <v>3249</v>
      </c>
      <c r="G7" s="344" t="s">
        <v>3250</v>
      </c>
      <c r="H7" s="346" t="s">
        <v>3249</v>
      </c>
      <c r="I7" s="407" t="s">
        <v>300</v>
      </c>
      <c r="J7" s="344" t="s">
        <v>3251</v>
      </c>
      <c r="K7" s="344" t="s">
        <v>175</v>
      </c>
      <c r="L7" s="346" t="s">
        <v>380</v>
      </c>
      <c r="M7" s="391"/>
      <c r="N7" s="392"/>
      <c r="O7" s="392"/>
      <c r="P7" s="14"/>
      <c r="Q7" s="600"/>
    </row>
    <row r="8" customFormat="false" ht="15" hidden="false" customHeight="false" outlineLevel="0" collapsed="false">
      <c r="A8" s="77" t="n">
        <v>1</v>
      </c>
      <c r="B8" s="77" t="s">
        <v>3252</v>
      </c>
      <c r="C8" s="77" t="s">
        <v>3253</v>
      </c>
      <c r="D8" s="470"/>
      <c r="E8" s="550"/>
      <c r="F8" s="551"/>
      <c r="G8" s="551"/>
      <c r="H8" s="711"/>
      <c r="I8" s="930"/>
      <c r="J8" s="551"/>
      <c r="K8" s="551"/>
      <c r="L8" s="711"/>
      <c r="M8" s="33" t="str">
        <f aca="false">IFERROR(AVERAGE(E8:L8),"")</f>
        <v/>
      </c>
      <c r="N8" s="84" t="str">
        <f aca="false">IF(E8&lt;&gt;"",IF(COUNTIF(E8:L8,"&lt;3"),"Не успевает","Успевает"),"")</f>
        <v/>
      </c>
      <c r="O8" s="241" t="str">
        <f aca="false">IF(D8&lt;&gt;"",(30*(set!B$5)-D8)/(30*(set!B$5))*100,"")</f>
        <v/>
      </c>
      <c r="P8" s="77" t="str">
        <f aca="false" t="array" ref="P8:P8">IF(E8&lt;&gt;"",IF(M8&lt;1.85,"Выговор",IF(M8=1.85,"Выговор",IF(AND(M8&gt;1.85,M8&lt;3),"Предупреждение",IF(AND(M8&gt;3,M8&lt;4.65),"Нормально",IF(AND(M8&gt;4.65,M8&lt;5.1,E8:L8&gt;=4),"Благодарность","Нормально"))))),"")</f>
        <v/>
      </c>
      <c r="Q8" s="36" t="n">
        <f aca="false">COUNTIF(E8:L8,2)+COUNTIF(E8:L8,1)+COUNTIF(E8:L8,0)</f>
        <v>0</v>
      </c>
    </row>
    <row r="9" customFormat="false" ht="15" hidden="false" customHeight="false" outlineLevel="0" collapsed="false">
      <c r="A9" s="77" t="n">
        <v>2</v>
      </c>
      <c r="B9" s="77" t="s">
        <v>3254</v>
      </c>
      <c r="C9" s="77" t="s">
        <v>3255</v>
      </c>
      <c r="D9" s="470"/>
      <c r="E9" s="555"/>
      <c r="F9" s="556"/>
      <c r="G9" s="556"/>
      <c r="H9" s="595"/>
      <c r="I9" s="596"/>
      <c r="J9" s="556"/>
      <c r="K9" s="556"/>
      <c r="L9" s="595"/>
      <c r="M9" s="33" t="str">
        <f aca="false">IFERROR(AVERAGE(E9:L9),"")</f>
        <v/>
      </c>
      <c r="N9" s="84" t="str">
        <f aca="false">IF(E9&lt;&gt;"",IF(COUNTIF(E9:L9,"&lt;3"),"Не успевает","Успевает"),"")</f>
        <v/>
      </c>
      <c r="O9" s="241" t="str">
        <f aca="false">IF(D9&lt;&gt;"",(30*(set!B$5)-D9)/(30*(set!B$5))*100,"")</f>
        <v/>
      </c>
      <c r="P9" s="85" t="str">
        <f aca="false" t="array" ref="P9:P9">IF(E9&lt;&gt;"",IF(M9&lt;1.85,"Выговор",IF(M9=1.85,"Выговор",IF(AND(M9&gt;1.85,M9&lt;3),"Предупреждение",IF(AND(M9&gt;3,M9&lt;4.65),"Нормально",IF(AND(M9&gt;4.65,M9&lt;5.1,E9:L9&gt;=4),"Благодарность","Нормально"))))),"")</f>
        <v/>
      </c>
      <c r="Q9" s="118" t="n">
        <f aca="false">COUNTIF(E9:L9,2)+COUNTIF(E9:L9,1)+COUNTIF(E9:L9,0)</f>
        <v>0</v>
      </c>
    </row>
    <row r="10" customFormat="false" ht="15" hidden="false" customHeight="false" outlineLevel="0" collapsed="false">
      <c r="A10" s="77" t="n">
        <v>3</v>
      </c>
      <c r="B10" s="37" t="s">
        <v>3256</v>
      </c>
      <c r="C10" s="37" t="s">
        <v>3257</v>
      </c>
      <c r="D10" s="470"/>
      <c r="E10" s="555"/>
      <c r="F10" s="556"/>
      <c r="G10" s="556"/>
      <c r="H10" s="595"/>
      <c r="I10" s="596"/>
      <c r="J10" s="556"/>
      <c r="K10" s="556"/>
      <c r="L10" s="595"/>
      <c r="M10" s="33" t="str">
        <f aca="false">IFERROR(AVERAGE(E10:L10),"")</f>
        <v/>
      </c>
      <c r="N10" s="84" t="str">
        <f aca="false">IF(E10&lt;&gt;"",IF(COUNTIF(E10:L10,"&lt;3"),"Не успевает","Успевает"),"")</f>
        <v/>
      </c>
      <c r="O10" s="241" t="str">
        <f aca="false">IF(D10&lt;&gt;"",(30*(set!B$5)-D10)/(30*(set!B$5))*100,"")</f>
        <v/>
      </c>
      <c r="P10" s="85" t="str">
        <f aca="false" t="array" ref="P10:P10">IF(E10&lt;&gt;"",IF(M10&lt;1.85,"Выговор",IF(M10=1.85,"Выговор",IF(AND(M10&gt;1.85,M10&lt;3),"Предупреждение",IF(AND(M10&gt;3,M10&lt;4.65),"Нормально",IF(AND(M10&gt;4.65,M10&lt;5.1,E10:L10&gt;=4),"Благодарность","Нормально"))))),"")</f>
        <v/>
      </c>
      <c r="Q10" s="118" t="n">
        <f aca="false">COUNTIF(E10:L10,2)+COUNTIF(E10:L10,1)+COUNTIF(E10:L10,0)</f>
        <v>0</v>
      </c>
    </row>
    <row r="11" customFormat="false" ht="15" hidden="false" customHeight="false" outlineLevel="0" collapsed="false">
      <c r="A11" s="77" t="n">
        <v>4</v>
      </c>
      <c r="B11" s="37" t="s">
        <v>3258</v>
      </c>
      <c r="C11" s="37" t="s">
        <v>3259</v>
      </c>
      <c r="D11" s="470"/>
      <c r="E11" s="555"/>
      <c r="F11" s="556"/>
      <c r="G11" s="556"/>
      <c r="H11" s="595"/>
      <c r="I11" s="596"/>
      <c r="J11" s="556"/>
      <c r="K11" s="556"/>
      <c r="L11" s="595"/>
      <c r="M11" s="33" t="str">
        <f aca="false">IFERROR(AVERAGE(E11:L11),"")</f>
        <v/>
      </c>
      <c r="N11" s="84" t="str">
        <f aca="false">IF(E11&lt;&gt;"",IF(COUNTIF(E11:L11,"&lt;3"),"Не успевает","Успевает"),"")</f>
        <v/>
      </c>
      <c r="O11" s="241" t="str">
        <f aca="false">IF(D11&lt;&gt;"",(30*(set!B$5)-D11)/(30*(set!B$5))*100,"")</f>
        <v/>
      </c>
      <c r="P11" s="85" t="str">
        <f aca="false" t="array" ref="P11:P11">IF(E11&lt;&gt;"",IF(M11&lt;1.85,"Выговор",IF(M11=1.85,"Выговор",IF(AND(M11&gt;1.85,M11&lt;3),"Предупреждение",IF(AND(M11&gt;3,M11&lt;4.65),"Нормально",IF(AND(M11&gt;4.65,M11&lt;5.1,E11:L11&gt;=4),"Благодарность","Нормально"))))),"")</f>
        <v/>
      </c>
      <c r="Q11" s="118" t="n">
        <f aca="false">COUNTIF(E11:L11,2)+COUNTIF(E11:L11,1)+COUNTIF(E11:L11,0)</f>
        <v>0</v>
      </c>
    </row>
    <row r="12" customFormat="false" ht="15.75" hidden="false" customHeight="true" outlineLevel="0" collapsed="false">
      <c r="A12" s="77" t="n">
        <v>5</v>
      </c>
      <c r="B12" s="37" t="s">
        <v>3260</v>
      </c>
      <c r="C12" s="37" t="s">
        <v>3261</v>
      </c>
      <c r="D12" s="470"/>
      <c r="E12" s="555"/>
      <c r="F12" s="556"/>
      <c r="G12" s="556"/>
      <c r="H12" s="595"/>
      <c r="I12" s="596"/>
      <c r="J12" s="556"/>
      <c r="K12" s="556"/>
      <c r="L12" s="595"/>
      <c r="M12" s="33" t="str">
        <f aca="false">IFERROR(AVERAGE(E12:L12),"")</f>
        <v/>
      </c>
      <c r="N12" s="84" t="str">
        <f aca="false">IF(E12&lt;&gt;"",IF(COUNTIF(E12:L12,"&lt;3"),"Не успевает","Успевает"),"")</f>
        <v/>
      </c>
      <c r="O12" s="241" t="str">
        <f aca="false">IF(D12&lt;&gt;"",(30*(set!B$5)-D12)/(30*(set!B$5))*100,"")</f>
        <v/>
      </c>
      <c r="P12" s="85" t="str">
        <f aca="false" t="array" ref="P12:P12">IF(E12&lt;&gt;"",IF(M12&lt;1.85,"Выговор",IF(M12=1.85,"Выговор",IF(AND(M12&gt;1.85,M12&lt;3),"Предупреждение",IF(AND(M12&gt;3,M12&lt;4.65),"Нормально",IF(AND(M12&gt;4.65,M12&lt;5.1,E12:L12&gt;=4),"Благодарность","Нормально"))))),"")</f>
        <v/>
      </c>
      <c r="Q12" s="118" t="n">
        <f aca="false">COUNTIF(E12:L12,2)+COUNTIF(E12:L12,1)+COUNTIF(E12:L12,0)</f>
        <v>0</v>
      </c>
    </row>
    <row r="13" customFormat="false" ht="15" hidden="false" customHeight="false" outlineLevel="0" collapsed="false">
      <c r="A13" s="77" t="n">
        <v>6</v>
      </c>
      <c r="B13" s="37" t="s">
        <v>3262</v>
      </c>
      <c r="C13" s="37" t="s">
        <v>3263</v>
      </c>
      <c r="D13" s="470"/>
      <c r="E13" s="555"/>
      <c r="F13" s="556"/>
      <c r="G13" s="556"/>
      <c r="H13" s="595"/>
      <c r="I13" s="596"/>
      <c r="J13" s="556"/>
      <c r="K13" s="556"/>
      <c r="L13" s="595"/>
      <c r="M13" s="33" t="str">
        <f aca="false">IFERROR(AVERAGE(E13:L13),"")</f>
        <v/>
      </c>
      <c r="N13" s="84" t="str">
        <f aca="false">IF(E13&lt;&gt;"",IF(COUNTIF(E13:L13,"&lt;3"),"Не успевает","Успевает"),"")</f>
        <v/>
      </c>
      <c r="O13" s="241" t="str">
        <f aca="false">IF(D13&lt;&gt;"",(30*(set!B$5)-D13)/(30*(set!B$5))*100,"")</f>
        <v/>
      </c>
      <c r="P13" s="85" t="str">
        <f aca="false" t="array" ref="P13:P13">IF(E13&lt;&gt;"",IF(M13&lt;1.85,"Выговор",IF(M13=1.85,"Выговор",IF(AND(M13&gt;1.85,M13&lt;3),"Предупреждение",IF(AND(M13&gt;3,M13&lt;4.65),"Нормально",IF(AND(M13&gt;4.65,M13&lt;5.1,E13:L13&gt;=4),"Благодарность","Нормально"))))),"")</f>
        <v/>
      </c>
      <c r="Q13" s="118" t="n">
        <f aca="false">COUNTIF(E13:L13,2)+COUNTIF(E13:L13,1)+COUNTIF(E13:L13,0)</f>
        <v>0</v>
      </c>
    </row>
    <row r="14" customFormat="false" ht="15" hidden="false" customHeight="false" outlineLevel="0" collapsed="false">
      <c r="A14" s="77" t="n">
        <v>7</v>
      </c>
      <c r="B14" s="37" t="s">
        <v>3264</v>
      </c>
      <c r="C14" s="37" t="s">
        <v>3265</v>
      </c>
      <c r="D14" s="470"/>
      <c r="E14" s="555"/>
      <c r="F14" s="556"/>
      <c r="G14" s="556"/>
      <c r="H14" s="595"/>
      <c r="I14" s="596"/>
      <c r="J14" s="556"/>
      <c r="K14" s="556"/>
      <c r="L14" s="595"/>
      <c r="M14" s="33" t="str">
        <f aca="false">IFERROR(AVERAGE(E14:L14),"")</f>
        <v/>
      </c>
      <c r="N14" s="84" t="str">
        <f aca="false">IF(E14&lt;&gt;"",IF(COUNTIF(E14:L14,"&lt;3"),"Не успевает","Успевает"),"")</f>
        <v/>
      </c>
      <c r="O14" s="241" t="str">
        <f aca="false">IF(D14&lt;&gt;"",(30*(set!B$5)-D14)/(30*(set!B$5))*100,"")</f>
        <v/>
      </c>
      <c r="P14" s="85" t="str">
        <f aca="false" t="array" ref="P14:P14">IF(E14&lt;&gt;"",IF(M14&lt;1.85,"Выговор",IF(M14=1.85,"Выговор",IF(AND(M14&gt;1.85,M14&lt;3),"Предупреждение",IF(AND(M14&gt;3,M14&lt;4.65),"Нормально",IF(AND(M14&gt;4.65,M14&lt;5.1,E14:L14&gt;=4),"Благодарность","Нормально"))))),"")</f>
        <v/>
      </c>
      <c r="Q14" s="118" t="n">
        <f aca="false">COUNTIF(E14:L14,2)+COUNTIF(E14:L14,1)+COUNTIF(E14:L14,0)</f>
        <v>0</v>
      </c>
    </row>
    <row r="15" customFormat="false" ht="15.75" hidden="false" customHeight="true" outlineLevel="0" collapsed="false">
      <c r="A15" s="466" t="s">
        <v>77</v>
      </c>
      <c r="B15" s="466"/>
      <c r="C15" s="466"/>
      <c r="D15" s="209"/>
      <c r="E15" s="210" t="e">
        <f aca="false">AVERAGE(E8:E14)</f>
        <v>#DIV/0!</v>
      </c>
      <c r="F15" s="210" t="e">
        <f aca="false">AVERAGE(F8:F14)</f>
        <v>#DIV/0!</v>
      </c>
      <c r="G15" s="210" t="e">
        <f aca="false">AVERAGE(G8:G14)</f>
        <v>#DIV/0!</v>
      </c>
      <c r="H15" s="210" t="e">
        <f aca="false">AVERAGE(H8:H14)</f>
        <v>#DIV/0!</v>
      </c>
      <c r="I15" s="210" t="e">
        <f aca="false">AVERAGE(I8:I14)</f>
        <v>#DIV/0!</v>
      </c>
      <c r="J15" s="210" t="e">
        <f aca="false">AVERAGE(J8:J14)</f>
        <v>#DIV/0!</v>
      </c>
      <c r="K15" s="210" t="e">
        <f aca="false">AVERAGE(K8:K14)</f>
        <v>#DIV/0!</v>
      </c>
      <c r="L15" s="210" t="e">
        <f aca="false">AVERAGE(L8:L14)</f>
        <v>#DIV/0!</v>
      </c>
      <c r="M15" s="47"/>
      <c r="N15" s="48"/>
      <c r="O15" s="49"/>
    </row>
    <row r="16" customFormat="false" ht="15.75" hidden="false" customHeight="true" outlineLevel="0" collapsed="false">
      <c r="A16" s="0" t="s">
        <v>78</v>
      </c>
      <c r="D16" s="536"/>
      <c r="E16" s="137" t="e">
        <f aca="false">(COUNTIF(E8:E14,5)+COUNTIF(E8:E14,4)+COUNTIF(E8:E14,3))/$O$21*100</f>
        <v>#DIV/0!</v>
      </c>
      <c r="F16" s="137" t="e">
        <f aca="false">(COUNTIF(F8:F14,5)+COUNTIF(F8:F14,4)+COUNTIF(F8:F14,3))/$O$21*100</f>
        <v>#DIV/0!</v>
      </c>
      <c r="G16" s="137" t="e">
        <f aca="false">(COUNTIF(G8:G14,5)+COUNTIF(G8:G14,4)+COUNTIF(G8:G14,3))/$O$21*100</f>
        <v>#DIV/0!</v>
      </c>
      <c r="H16" s="137" t="e">
        <f aca="false">(COUNTIF(H8:H14,5)+COUNTIF(H8:H14,4)+COUNTIF(H8:H14,3))/$O$21*100</f>
        <v>#DIV/0!</v>
      </c>
      <c r="I16" s="137" t="e">
        <f aca="false">(COUNTIF(I8:I14,5)+COUNTIF(I8:I14,4)+COUNTIF(I8:I14,3))/$O$21*100</f>
        <v>#DIV/0!</v>
      </c>
      <c r="J16" s="137" t="e">
        <f aca="false">(COUNTIF(J8:J14,5)+COUNTIF(J8:J14,4)+COUNTIF(J8:J14,3))/$O$21*100</f>
        <v>#DIV/0!</v>
      </c>
      <c r="K16" s="137" t="e">
        <f aca="false">(COUNTIF(K8:K14,5)+COUNTIF(K8:K14,4)+COUNTIF(K8:K14,3))/$O$21*100</f>
        <v>#DIV/0!</v>
      </c>
      <c r="L16" s="137" t="e">
        <f aca="false">(COUNTIF(L8:L14,5)+COUNTIF(L8:L14,4)+COUNTIF(L8:L14,3))/$O$21*100</f>
        <v>#DIV/0!</v>
      </c>
      <c r="M16" s="48"/>
      <c r="N16" s="47"/>
      <c r="O16" s="48"/>
      <c r="P16" s="49"/>
    </row>
    <row r="17" customFormat="false" ht="15.75" hidden="false" customHeight="true" outlineLevel="0" collapsed="false">
      <c r="D17" s="537"/>
      <c r="E17" s="48"/>
      <c r="F17" s="48"/>
      <c r="G17" s="48"/>
      <c r="H17" s="48"/>
      <c r="I17" s="48"/>
      <c r="J17" s="48"/>
      <c r="K17" s="48"/>
      <c r="L17" s="48"/>
      <c r="M17" s="48"/>
      <c r="N17" s="47"/>
      <c r="O17" s="48"/>
      <c r="P17" s="49"/>
    </row>
    <row r="18" customFormat="false" ht="15.75" hidden="false" customHeight="true" outlineLevel="0" collapsed="false">
      <c r="D18" s="537"/>
      <c r="E18" s="48"/>
      <c r="F18" s="48"/>
      <c r="G18" s="48"/>
      <c r="H18" s="48"/>
      <c r="I18" s="48"/>
      <c r="J18" s="48"/>
      <c r="K18" s="48"/>
      <c r="L18" s="48"/>
      <c r="M18" s="48"/>
      <c r="N18" s="47"/>
      <c r="O18" s="48"/>
      <c r="P18" s="49"/>
    </row>
    <row r="19" customFormat="false" ht="15.75" hidden="false" customHeight="true" outlineLevel="0" collapsed="false">
      <c r="B19" s="50"/>
      <c r="C19" s="50" t="s">
        <v>8</v>
      </c>
      <c r="D19" s="51" t="str">
        <f aca="false">IFERROR(AVERAGE(M8:M14),"")</f>
        <v/>
      </c>
      <c r="E19" s="52" t="s">
        <v>9</v>
      </c>
      <c r="F19" s="52"/>
      <c r="G19" s="53" t="str">
        <f aca="false">IFERROR(COUNTIF(N8:N14,"Успевает")/O21*100,"")</f>
        <v/>
      </c>
      <c r="H19" s="54" t="s">
        <v>79</v>
      </c>
      <c r="I19" s="54"/>
      <c r="J19" s="55" t="str">
        <f aca="false">IFERROR(AVERAGE(O8:O14),"")</f>
        <v/>
      </c>
      <c r="K19" s="52"/>
      <c r="L19" s="52"/>
      <c r="M19" s="48"/>
      <c r="N19" s="48"/>
      <c r="O19" s="48"/>
      <c r="P19" s="48"/>
    </row>
    <row r="20" customFormat="false" ht="15.75" hidden="false" customHeight="true" outlineLevel="0" collapsed="false">
      <c r="B20" s="50"/>
      <c r="C20" s="50"/>
      <c r="D20" s="50"/>
      <c r="E20" s="56"/>
      <c r="F20" s="56"/>
      <c r="G20" s="56"/>
      <c r="H20" s="56"/>
      <c r="I20" s="56"/>
      <c r="J20" s="56"/>
      <c r="K20" s="56"/>
      <c r="L20" s="56"/>
      <c r="O20" s="59"/>
      <c r="P20" s="59"/>
    </row>
    <row r="21" customFormat="false" ht="15.75" hidden="false" customHeight="true" outlineLevel="0" collapsed="false">
      <c r="B21" s="61" t="s">
        <v>81</v>
      </c>
      <c r="C21" s="61"/>
      <c r="D21" s="61"/>
      <c r="E21" s="61"/>
      <c r="F21" s="61"/>
      <c r="G21" s="61"/>
      <c r="H21" s="61"/>
      <c r="I21" s="61"/>
      <c r="J21" s="61"/>
      <c r="K21" s="61" t="s">
        <v>82</v>
      </c>
      <c r="L21" s="61"/>
      <c r="M21" s="490" t="s">
        <v>80</v>
      </c>
      <c r="N21" s="490"/>
      <c r="O21" s="58" t="n">
        <f aca="false">SUM(O22,O23)</f>
        <v>0</v>
      </c>
      <c r="P21" s="64"/>
    </row>
    <row r="22" customFormat="false" ht="15.75" hidden="false" customHeight="true" outlineLevel="0" collapsed="false">
      <c r="B22" s="65" t="str">
        <f aca="false">$E$6</f>
        <v> Промышленная безопасность</v>
      </c>
      <c r="C22" s="65"/>
      <c r="D22" s="65"/>
      <c r="E22" s="65"/>
      <c r="F22" s="65"/>
      <c r="G22" s="65"/>
      <c r="H22" s="65"/>
      <c r="I22" s="65"/>
      <c r="J22" s="65"/>
      <c r="K22" s="66"/>
      <c r="L22" s="66"/>
      <c r="M22" s="490" t="s">
        <v>83</v>
      </c>
      <c r="N22" s="490"/>
      <c r="O22" s="58" t="n">
        <f aca="false">COUNTIF(N8:N14,"Успевает")</f>
        <v>0</v>
      </c>
      <c r="P22" s="64"/>
    </row>
    <row r="23" customFormat="false" ht="15.75" hidden="false" customHeight="true" outlineLevel="0" collapsed="false">
      <c r="B23" s="65" t="str">
        <f aca="false">$F$6</f>
        <v>Системы водоподготовки и технологии очистки сточных вод</v>
      </c>
      <c r="C23" s="65"/>
      <c r="D23" s="65"/>
      <c r="E23" s="65"/>
      <c r="F23" s="65"/>
      <c r="G23" s="65"/>
      <c r="H23" s="65"/>
      <c r="I23" s="65"/>
      <c r="J23" s="65"/>
      <c r="K23" s="66"/>
      <c r="L23" s="66"/>
      <c r="M23" s="491" t="s">
        <v>84</v>
      </c>
      <c r="N23" s="491"/>
      <c r="O23" s="58" t="n">
        <f aca="false">COUNTIF(N8:N14,"Не успевает")</f>
        <v>0</v>
      </c>
      <c r="P23" s="48"/>
    </row>
    <row r="24" customFormat="false" ht="15" hidden="false" customHeight="true" outlineLevel="0" collapsed="false">
      <c r="B24" s="65" t="str">
        <f aca="false">$G$6</f>
        <v> Системы обеспечения техносферной безопасности (к.п.)</v>
      </c>
      <c r="C24" s="65"/>
      <c r="D24" s="65"/>
      <c r="E24" s="65"/>
      <c r="F24" s="65"/>
      <c r="G24" s="65"/>
      <c r="H24" s="65"/>
      <c r="I24" s="65"/>
      <c r="J24" s="65"/>
      <c r="K24" s="66"/>
      <c r="L24" s="66"/>
      <c r="M24" s="491" t="s">
        <v>85</v>
      </c>
      <c r="N24" s="491"/>
      <c r="O24" s="58" t="n">
        <f aca="false">COUNTIF(P8:P14,"Благодарность")</f>
        <v>0</v>
      </c>
      <c r="P24" s="48"/>
    </row>
    <row r="25" customFormat="false" ht="15" hidden="false" customHeight="true" outlineLevel="0" collapsed="false">
      <c r="B25" s="65" t="str">
        <f aca="false">$H$6</f>
        <v> Экология техносферы </v>
      </c>
      <c r="C25" s="65"/>
      <c r="D25" s="65"/>
      <c r="E25" s="65"/>
      <c r="F25" s="65"/>
      <c r="G25" s="65"/>
      <c r="H25" s="65"/>
      <c r="I25" s="65"/>
      <c r="J25" s="65"/>
      <c r="K25" s="66"/>
      <c r="L25" s="66"/>
      <c r="M25" s="491" t="s">
        <v>86</v>
      </c>
      <c r="N25" s="491"/>
      <c r="O25" s="58" t="n">
        <f aca="false">COUNTIF(P8:P14,"Нормально")</f>
        <v>0</v>
      </c>
      <c r="P25" s="48"/>
    </row>
    <row r="26" customFormat="false" ht="15.75" hidden="false" customHeight="true" outlineLevel="0" collapsed="false">
      <c r="B26" s="65" t="str">
        <f aca="false">$I$6</f>
        <v> Безопасность жизнедеятельности</v>
      </c>
      <c r="C26" s="65"/>
      <c r="D26" s="65"/>
      <c r="E26" s="65"/>
      <c r="F26" s="65"/>
      <c r="G26" s="65"/>
      <c r="H26" s="65"/>
      <c r="I26" s="65"/>
      <c r="J26" s="65"/>
      <c r="K26" s="66"/>
      <c r="L26" s="66"/>
      <c r="M26" s="491" t="s">
        <v>87</v>
      </c>
      <c r="N26" s="491"/>
      <c r="O26" s="58" t="n">
        <f aca="false">COUNTIF(P8:P14,"Предупреждение")</f>
        <v>0</v>
      </c>
      <c r="P26" s="48"/>
    </row>
    <row r="27" customFormat="false" ht="15.75" hidden="false" customHeight="true" outlineLevel="0" collapsed="false">
      <c r="B27" s="65" t="str">
        <f aca="false">$J$6</f>
        <v>Научно-исследовательская работа</v>
      </c>
      <c r="C27" s="65"/>
      <c r="D27" s="65"/>
      <c r="E27" s="65"/>
      <c r="F27" s="65"/>
      <c r="G27" s="65"/>
      <c r="H27" s="65"/>
      <c r="I27" s="65"/>
      <c r="J27" s="65"/>
      <c r="K27" s="66"/>
      <c r="L27" s="66"/>
      <c r="M27" s="491" t="s">
        <v>88</v>
      </c>
      <c r="N27" s="491"/>
      <c r="O27" s="58" t="n">
        <f aca="false">COUNTIF(P8:P14,"Выговор")</f>
        <v>0</v>
      </c>
      <c r="P27" s="48"/>
    </row>
    <row r="28" customFormat="false" ht="15.75" hidden="false" customHeight="true" outlineLevel="0" collapsed="false">
      <c r="B28" s="65" t="str">
        <f aca="false">$K$6</f>
        <v> Правоведение</v>
      </c>
      <c r="C28" s="65"/>
      <c r="D28" s="65"/>
      <c r="E28" s="65"/>
      <c r="F28" s="65"/>
      <c r="G28" s="65"/>
      <c r="H28" s="65"/>
      <c r="I28" s="65"/>
      <c r="J28" s="65"/>
      <c r="K28" s="66"/>
      <c r="L28" s="66"/>
      <c r="M28" s="765" t="s">
        <v>1575</v>
      </c>
      <c r="N28" s="765"/>
      <c r="O28" s="143" t="n">
        <f aca="false">SUM(Q8:Q14)</f>
        <v>0</v>
      </c>
      <c r="P28" s="48"/>
    </row>
    <row r="29" customFormat="false" ht="15.75" hidden="false" customHeight="true" outlineLevel="0" collapsed="false">
      <c r="B29" s="65" t="str">
        <f aca="false">$L$6</f>
        <v>Экономика</v>
      </c>
      <c r="C29" s="65"/>
      <c r="D29" s="65"/>
      <c r="E29" s="65"/>
      <c r="F29" s="65"/>
      <c r="G29" s="65"/>
      <c r="H29" s="65"/>
      <c r="I29" s="65"/>
      <c r="J29" s="65"/>
      <c r="K29" s="66"/>
      <c r="L29" s="66"/>
      <c r="M29" s="67"/>
      <c r="N29" s="48"/>
      <c r="O29" s="48"/>
      <c r="P29" s="48"/>
    </row>
    <row r="30" customFormat="false" ht="15.75" hidden="false" customHeight="true" outlineLevel="0" collapsed="false">
      <c r="B30" s="654"/>
      <c r="C30" s="654"/>
      <c r="D30" s="654"/>
      <c r="E30" s="654"/>
      <c r="F30" s="654"/>
      <c r="G30" s="654"/>
      <c r="H30" s="654"/>
      <c r="I30" s="654"/>
      <c r="J30" s="654"/>
      <c r="K30" s="654"/>
      <c r="L30" s="654"/>
      <c r="M30" s="48"/>
      <c r="N30" s="48"/>
      <c r="O30" s="48"/>
      <c r="P30" s="48"/>
    </row>
    <row r="31" customFormat="false" ht="15.75" hidden="false" customHeight="true" outlineLevel="0" collapsed="false">
      <c r="K31" s="139"/>
      <c r="L31" s="139"/>
      <c r="M31" s="48"/>
      <c r="N31" s="48"/>
      <c r="O31" s="48"/>
      <c r="P31" s="48"/>
    </row>
    <row r="32" customFormat="false" ht="15.75" hidden="false" customHeight="true" outlineLevel="0" collapsed="false">
      <c r="B32" s="73" t="s">
        <v>405</v>
      </c>
      <c r="C32" s="449" t="s">
        <v>3266</v>
      </c>
      <c r="D32" s="449"/>
      <c r="E32" s="449"/>
      <c r="F32" s="52" t="s">
        <v>369</v>
      </c>
      <c r="G32" s="300" t="s">
        <v>3267</v>
      </c>
      <c r="H32" s="52"/>
      <c r="I32" s="52"/>
      <c r="J32" s="52"/>
      <c r="K32" s="50"/>
      <c r="L32" s="50"/>
      <c r="M32" s="48"/>
      <c r="N32" s="48"/>
      <c r="O32" s="48"/>
      <c r="P32" s="48"/>
    </row>
    <row r="33" customFormat="false" ht="15.75" hidden="false" customHeight="true" outlineLevel="0" collapsed="false">
      <c r="B33" s="50"/>
      <c r="C33" s="50"/>
      <c r="D33" s="50"/>
      <c r="E33" s="50"/>
      <c r="F33" s="50"/>
      <c r="G33" s="50"/>
      <c r="H33" s="50"/>
      <c r="I33" s="50"/>
      <c r="J33" s="50"/>
      <c r="K33" s="52"/>
      <c r="L33" s="50"/>
    </row>
    <row r="34" customFormat="false" ht="15.75" hidden="false" customHeight="true" outlineLevel="0" collapsed="false">
      <c r="B34" s="50" t="s">
        <v>93</v>
      </c>
      <c r="C34" s="50"/>
      <c r="D34" s="50"/>
      <c r="E34" s="50"/>
      <c r="F34" s="50"/>
      <c r="G34" s="50"/>
      <c r="H34" s="50"/>
      <c r="I34" s="50"/>
      <c r="K34" s="50"/>
      <c r="L34" s="50"/>
    </row>
    <row r="35" customFormat="false" ht="15.75" hidden="false" customHeight="true" outlineLevel="0" collapsed="false">
      <c r="B35" s="50" t="s">
        <v>94</v>
      </c>
      <c r="C35" s="50"/>
      <c r="D35" s="50"/>
      <c r="E35" s="50"/>
      <c r="F35" s="50"/>
      <c r="G35" s="50"/>
      <c r="H35" s="50"/>
      <c r="I35" s="50"/>
    </row>
    <row r="36" customFormat="false" ht="15.75" hidden="false" customHeight="true" outlineLevel="0" collapsed="false">
      <c r="B36" s="50" t="s">
        <v>95</v>
      </c>
      <c r="C36" s="50"/>
      <c r="D36" s="50"/>
      <c r="E36" s="50"/>
      <c r="F36" s="50"/>
      <c r="G36" s="50"/>
      <c r="H36" s="50"/>
      <c r="I36" s="50"/>
    </row>
    <row r="37" customFormat="false" ht="15.75" hidden="false" customHeight="true" outlineLevel="0" collapsed="false">
      <c r="B37" s="50" t="s">
        <v>96</v>
      </c>
      <c r="C37" s="50"/>
      <c r="D37" s="50"/>
      <c r="E37" s="50"/>
      <c r="F37" s="50"/>
      <c r="G37" s="50"/>
      <c r="H37" s="50"/>
      <c r="I37" s="50"/>
    </row>
    <row r="38" customFormat="false" ht="15.75" hidden="false" customHeight="true" outlineLevel="0" collapsed="false">
      <c r="B38" s="50" t="s">
        <v>97</v>
      </c>
      <c r="C38" s="50"/>
      <c r="D38" s="50"/>
      <c r="E38" s="50"/>
      <c r="F38" s="50"/>
      <c r="G38" s="50"/>
      <c r="H38" s="50"/>
      <c r="I38" s="50"/>
    </row>
    <row r="39" customFormat="false" ht="15.75" hidden="false" customHeight="true" outlineLevel="0" collapsed="false">
      <c r="B39" s="50" t="s">
        <v>98</v>
      </c>
      <c r="C39" s="50"/>
      <c r="D39" s="50"/>
      <c r="E39" s="50"/>
      <c r="F39" s="50"/>
      <c r="G39" s="50"/>
      <c r="H39" s="50"/>
      <c r="I39" s="50"/>
    </row>
    <row r="40" customFormat="false" ht="15.75" hidden="false" customHeight="true" outlineLevel="0" collapsed="false">
      <c r="B40" s="50" t="s">
        <v>99</v>
      </c>
      <c r="C40" s="50"/>
      <c r="D40" s="50"/>
      <c r="E40" s="50"/>
      <c r="F40" s="50"/>
      <c r="G40" s="50"/>
      <c r="H40" s="50"/>
      <c r="I40" s="50"/>
    </row>
    <row r="41" customFormat="false" ht="15.7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</sheetData>
  <mergeCells count="42">
    <mergeCell ref="E1:H1"/>
    <mergeCell ref="A3:M3"/>
    <mergeCell ref="A5:A7"/>
    <mergeCell ref="B5:B7"/>
    <mergeCell ref="C5:C7"/>
    <mergeCell ref="D5:D7"/>
    <mergeCell ref="E5:H5"/>
    <mergeCell ref="I5:L5"/>
    <mergeCell ref="M5:M7"/>
    <mergeCell ref="N5:N7"/>
    <mergeCell ref="O5:O7"/>
    <mergeCell ref="P5:P7"/>
    <mergeCell ref="Q5:Q7"/>
    <mergeCell ref="A15:C15"/>
    <mergeCell ref="H19:I19"/>
    <mergeCell ref="B21:J21"/>
    <mergeCell ref="K21:L21"/>
    <mergeCell ref="M21:N21"/>
    <mergeCell ref="B22:J22"/>
    <mergeCell ref="K22:L22"/>
    <mergeCell ref="M22:N22"/>
    <mergeCell ref="B23:J23"/>
    <mergeCell ref="K23:L23"/>
    <mergeCell ref="M23:N23"/>
    <mergeCell ref="B24:J24"/>
    <mergeCell ref="K24:L24"/>
    <mergeCell ref="M24:N24"/>
    <mergeCell ref="B25:J25"/>
    <mergeCell ref="K25:L25"/>
    <mergeCell ref="M25:N25"/>
    <mergeCell ref="B26:J26"/>
    <mergeCell ref="K26:L26"/>
    <mergeCell ref="M26:N26"/>
    <mergeCell ref="B27:J27"/>
    <mergeCell ref="K27:L27"/>
    <mergeCell ref="M27:N27"/>
    <mergeCell ref="B28:J28"/>
    <mergeCell ref="K28:L28"/>
    <mergeCell ref="M28:N28"/>
    <mergeCell ref="B29:J29"/>
    <mergeCell ref="K29:L29"/>
    <mergeCell ref="C32:E32"/>
  </mergeCells>
  <conditionalFormatting sqref="M16:M1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N16:N18 M1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L18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15:L15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L14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K14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39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B8" activeCellId="0" sqref="B8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5.86"/>
    <col collapsed="false" customWidth="true" hidden="false" outlineLevel="0" max="2" min="2" style="0" width="12"/>
    <col collapsed="false" customWidth="true" hidden="false" outlineLevel="0" max="3" min="3" style="0" width="16.29"/>
    <col collapsed="false" customWidth="true" hidden="false" outlineLevel="0" max="5" min="5" style="0" width="9.14"/>
    <col collapsed="false" customWidth="true" hidden="false" outlineLevel="0" max="7" min="7" style="0" width="9.14"/>
    <col collapsed="false" customWidth="true" hidden="false" outlineLevel="0" max="8" min="8" style="0" width="8"/>
    <col collapsed="false" customWidth="true" hidden="false" outlineLevel="0" max="9" min="9" style="0" width="9.86"/>
    <col collapsed="false" customWidth="true" hidden="false" outlineLevel="0" max="10" min="10" style="0" width="8.86"/>
    <col collapsed="false" customWidth="true" hidden="false" outlineLevel="0" max="11" min="11" style="0" width="9.14"/>
    <col collapsed="false" customWidth="true" hidden="false" outlineLevel="0" max="12" min="12" style="0" width="9.57"/>
    <col collapsed="false" customWidth="true" hidden="false" outlineLevel="0" max="14" min="14" style="0" width="12.15"/>
    <col collapsed="false" customWidth="true" hidden="false" outlineLevel="0" max="15" min="15" style="0" width="10.71"/>
    <col collapsed="false" customWidth="true" hidden="false" outlineLevel="0" max="16" min="16" style="0" width="13.15"/>
    <col collapsed="false" customWidth="true" hidden="false" outlineLevel="0" max="17" min="17" style="0" width="4.42"/>
    <col collapsed="false" customWidth="true" hidden="false" outlineLevel="0" max="18" min="18" style="0" width="4.14"/>
  </cols>
  <sheetData>
    <row r="1" customFormat="false" ht="19.7" hidden="false" customHeight="false" outlineLevel="0" collapsed="false">
      <c r="E1" s="216" t="s">
        <v>0</v>
      </c>
      <c r="F1" s="216"/>
      <c r="G1" s="216"/>
      <c r="H1" s="216"/>
      <c r="I1" s="216"/>
      <c r="J1" s="2" t="n">
        <f aca="false">set!B1</f>
        <v>2</v>
      </c>
      <c r="K1" s="3"/>
      <c r="L1" s="3"/>
    </row>
    <row r="2" customFormat="false" ht="15" hidden="false" customHeight="false" outlineLevel="0" collapsed="false">
      <c r="I2" s="4"/>
      <c r="L2" s="5" t="s">
        <v>1</v>
      </c>
      <c r="M2" s="5"/>
      <c r="N2" s="5"/>
      <c r="O2" s="6" t="n">
        <f aca="false">set!B4</f>
        <v>45608</v>
      </c>
      <c r="P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ИУК7-11М факультета ИУК МГТУ им. Н.Э. Баумана"</f>
        <v>Успеваемость студентов за 1 семестр 24/25 учебного года по группе ИУК7-11М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2403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391" t="s">
        <v>8</v>
      </c>
      <c r="N5" s="392" t="s">
        <v>9</v>
      </c>
      <c r="O5" s="392" t="s">
        <v>10</v>
      </c>
      <c r="P5" s="417" t="s">
        <v>11</v>
      </c>
      <c r="Q5" s="931" t="s">
        <v>1575</v>
      </c>
    </row>
    <row r="6" customFormat="false" ht="131.25" hidden="false" customHeight="true" outlineLevel="0" collapsed="false">
      <c r="A6" s="8"/>
      <c r="B6" s="8"/>
      <c r="C6" s="8"/>
      <c r="D6" s="9"/>
      <c r="E6" s="339" t="s">
        <v>3268</v>
      </c>
      <c r="F6" s="340" t="s">
        <v>3269</v>
      </c>
      <c r="G6" s="341" t="s">
        <v>3270</v>
      </c>
      <c r="H6" s="342" t="s">
        <v>3271</v>
      </c>
      <c r="I6" s="405" t="s">
        <v>18</v>
      </c>
      <c r="J6" s="340" t="s">
        <v>467</v>
      </c>
      <c r="K6" s="340" t="s">
        <v>1455</v>
      </c>
      <c r="L6" s="342" t="s">
        <v>1405</v>
      </c>
      <c r="M6" s="391"/>
      <c r="N6" s="392"/>
      <c r="O6" s="392"/>
      <c r="P6" s="417"/>
      <c r="Q6" s="931"/>
    </row>
    <row r="7" customFormat="false" ht="34.5" hidden="false" customHeight="true" outlineLevel="0" collapsed="false">
      <c r="A7" s="8"/>
      <c r="B7" s="8"/>
      <c r="C7" s="8"/>
      <c r="D7" s="9"/>
      <c r="E7" s="343" t="s">
        <v>3249</v>
      </c>
      <c r="F7" s="344" t="s">
        <v>3272</v>
      </c>
      <c r="G7" s="826" t="s">
        <v>3249</v>
      </c>
      <c r="H7" s="406" t="s">
        <v>300</v>
      </c>
      <c r="I7" s="445" t="s">
        <v>27</v>
      </c>
      <c r="J7" s="366" t="s">
        <v>3273</v>
      </c>
      <c r="K7" s="366" t="s">
        <v>3274</v>
      </c>
      <c r="L7" s="406" t="s">
        <v>380</v>
      </c>
      <c r="M7" s="391"/>
      <c r="N7" s="392"/>
      <c r="O7" s="392"/>
      <c r="P7" s="417"/>
      <c r="Q7" s="931"/>
    </row>
    <row r="8" customFormat="false" ht="15" hidden="false" customHeight="true" outlineLevel="0" collapsed="false">
      <c r="A8" s="25" t="n">
        <v>1</v>
      </c>
      <c r="B8" s="25" t="s">
        <v>3275</v>
      </c>
      <c r="C8" s="25" t="s">
        <v>3276</v>
      </c>
      <c r="D8" s="202"/>
      <c r="E8" s="622"/>
      <c r="F8" s="563"/>
      <c r="G8" s="819"/>
      <c r="H8" s="573"/>
      <c r="I8" s="633"/>
      <c r="J8" s="634"/>
      <c r="K8" s="634"/>
      <c r="L8" s="573"/>
      <c r="M8" s="33" t="str">
        <f aca="false">IFERROR(AVERAGE(E8:L8),"")</f>
        <v/>
      </c>
      <c r="N8" s="84" t="str">
        <f aca="false">IF(E8&lt;&gt;"",IF(COUNTIF(E8:L8,"&lt;3"),"Не успевает","Успевает"),"")</f>
        <v/>
      </c>
      <c r="O8" s="241" t="str">
        <f aca="false">IF(D8&lt;&gt;"",(30*(set!B$5)-D8)/(30*(set!B$5))*100,"")</f>
        <v/>
      </c>
      <c r="P8" s="85" t="str">
        <f aca="false">IF(E8&lt;&gt;"",IF(M8&lt;1.85,"Выговор",IF(M8=1.85,"Выговор",IF(AND(M8&gt;1.85,M8&lt;3),"Предупреждение",IF(AND(M8&gt;3,M8&lt;4.65),"Нормально",IF(AND(M8&gt;4.65,M8&lt;5.1,MIN(E8:L8)&gt;=4),"Благодарность","Нормально"))))),"")</f>
        <v/>
      </c>
      <c r="Q8" s="437" t="n">
        <f aca="false">COUNTIF(E8:L8,2)+COUNTIF(E8:L8,1)+COUNTIF(E8:L8,0)</f>
        <v>0</v>
      </c>
    </row>
    <row r="9" customFormat="false" ht="15" hidden="false" customHeight="true" outlineLevel="0" collapsed="false">
      <c r="A9" s="85" t="n">
        <v>2</v>
      </c>
      <c r="B9" s="37" t="s">
        <v>3277</v>
      </c>
      <c r="C9" s="37" t="s">
        <v>3278</v>
      </c>
      <c r="D9" s="202"/>
      <c r="E9" s="474"/>
      <c r="F9" s="475"/>
      <c r="G9" s="476"/>
      <c r="H9" s="568"/>
      <c r="I9" s="567"/>
      <c r="J9" s="475"/>
      <c r="K9" s="475"/>
      <c r="L9" s="568"/>
      <c r="M9" s="33" t="str">
        <f aca="false">IFERROR(AVERAGE(E9:L9),"")</f>
        <v/>
      </c>
      <c r="N9" s="84" t="str">
        <f aca="false">IF(E9&lt;&gt;"",IF(COUNTIF(E9:L9,"&lt;3"),"Не успевает","Успевает"),"")</f>
        <v/>
      </c>
      <c r="O9" s="241" t="str">
        <f aca="false">IF(D9&lt;&gt;"",(30*(set!B$5)-D9)/(30*(set!B$5))*100,"")</f>
        <v/>
      </c>
      <c r="P9" s="85" t="str">
        <f aca="false">IF(E9&lt;&gt;"",IF(M9&lt;1.85,"Выговор",IF(M9=1.85,"Выговор",IF(AND(M9&gt;1.85,M9&lt;3),"Предупреждение",IF(AND(M9&gt;3,M9&lt;4.65),"Нормально",IF(AND(M9&gt;4.65,M9&lt;5.1,MIN(E9:L9)&gt;=4),"Благодарность","Нормально"))))),"")</f>
        <v/>
      </c>
      <c r="Q9" s="437" t="n">
        <f aca="false">COUNTIF(E9:L9,2)+COUNTIF(E9:L9,1)+COUNTIF(E9:L9,0)</f>
        <v>0</v>
      </c>
    </row>
    <row r="10" customFormat="false" ht="15" hidden="false" customHeight="true" outlineLevel="0" collapsed="false">
      <c r="A10" s="37" t="n">
        <v>3</v>
      </c>
      <c r="B10" s="37" t="s">
        <v>3279</v>
      </c>
      <c r="C10" s="37" t="s">
        <v>3280</v>
      </c>
      <c r="D10" s="202"/>
      <c r="E10" s="474"/>
      <c r="F10" s="475"/>
      <c r="G10" s="476"/>
      <c r="H10" s="568"/>
      <c r="I10" s="567"/>
      <c r="J10" s="475"/>
      <c r="K10" s="475"/>
      <c r="L10" s="568"/>
      <c r="M10" s="33" t="str">
        <f aca="false">IFERROR(AVERAGE(E10:L10),"")</f>
        <v/>
      </c>
      <c r="N10" s="84" t="str">
        <f aca="false">IF(E10&lt;&gt;"",IF(COUNTIF(E10:L10,"&lt;3"),"Не успевает","Успевает"),"")</f>
        <v/>
      </c>
      <c r="O10" s="241" t="str">
        <f aca="false">IF(D10&lt;&gt;"",(30*(set!B$5)-D10)/(30*(set!B$5))*100,"")</f>
        <v/>
      </c>
      <c r="P10" s="85" t="str">
        <f aca="false">IF(E10&lt;&gt;"",IF(M10&lt;1.85,"Выговор",IF(M10=1.85,"Выговор",IF(AND(M10&gt;1.85,M10&lt;3),"Предупреждение",IF(AND(M10&gt;3,M10&lt;4.65),"Нормально",IF(AND(M10&gt;4.65,M10&lt;5.1,MIN(E10:L10)&gt;=4),"Благодарность","Нормально"))))),"")</f>
        <v/>
      </c>
      <c r="Q10" s="437" t="n">
        <f aca="false">COUNTIF(E10:L10,2)+COUNTIF(E10:L10,1)+COUNTIF(E10:L10,0)</f>
        <v>0</v>
      </c>
    </row>
    <row r="11" customFormat="false" ht="15" hidden="false" customHeight="true" outlineLevel="0" collapsed="false">
      <c r="A11" s="85" t="n">
        <v>4</v>
      </c>
      <c r="B11" s="37" t="s">
        <v>3281</v>
      </c>
      <c r="C11" s="37" t="s">
        <v>3282</v>
      </c>
      <c r="D11" s="202"/>
      <c r="E11" s="474"/>
      <c r="F11" s="475"/>
      <c r="G11" s="476"/>
      <c r="H11" s="568"/>
      <c r="I11" s="567"/>
      <c r="J11" s="475"/>
      <c r="K11" s="475"/>
      <c r="L11" s="568"/>
      <c r="M11" s="33" t="str">
        <f aca="false">IFERROR(AVERAGE(E11:L11),"")</f>
        <v/>
      </c>
      <c r="N11" s="84" t="str">
        <f aca="false">IF(E11&lt;&gt;"",IF(COUNTIF(E11:L11,"&lt;3"),"Не успевает","Успевает"),"")</f>
        <v/>
      </c>
      <c r="O11" s="241" t="str">
        <f aca="false">IF(D11&lt;&gt;"",(30*(set!B$5)-D11)/(30*(set!B$5))*100,"")</f>
        <v/>
      </c>
      <c r="P11" s="85" t="str">
        <f aca="false">IF(E11&lt;&gt;"",IF(M11&lt;1.85,"Выговор",IF(M11=1.85,"Выговор",IF(AND(M11&gt;1.85,M11&lt;3),"Предупреждение",IF(AND(M11&gt;3,M11&lt;4.65),"Нормально",IF(AND(M11&gt;4.65,M11&lt;5.1,MIN(E11:L11)&gt;=4),"Благодарность","Нормально"))))),"")</f>
        <v/>
      </c>
      <c r="Q11" s="437" t="n">
        <f aca="false">COUNTIF(E11:L11,2)+COUNTIF(E11:L11,1)+COUNTIF(E11:L11,0)</f>
        <v>0</v>
      </c>
    </row>
    <row r="12" customFormat="false" ht="15" hidden="false" customHeight="true" outlineLevel="0" collapsed="false">
      <c r="A12" s="37" t="n">
        <v>5</v>
      </c>
      <c r="B12" s="37" t="s">
        <v>3283</v>
      </c>
      <c r="C12" s="37" t="s">
        <v>3284</v>
      </c>
      <c r="D12" s="202"/>
      <c r="E12" s="474"/>
      <c r="F12" s="475"/>
      <c r="G12" s="476"/>
      <c r="H12" s="568"/>
      <c r="I12" s="567"/>
      <c r="J12" s="475"/>
      <c r="K12" s="475"/>
      <c r="L12" s="568"/>
      <c r="M12" s="33" t="str">
        <f aca="false">IFERROR(AVERAGE(E12:L12),"")</f>
        <v/>
      </c>
      <c r="N12" s="84" t="str">
        <f aca="false">IF(E12&lt;&gt;"",IF(COUNTIF(E12:L12,"&lt;3"),"Не успевает","Успевает"),"")</f>
        <v/>
      </c>
      <c r="O12" s="241" t="str">
        <f aca="false">IF(D12&lt;&gt;"",(30*(set!B$5)-D12)/(30*(set!B$5))*100,"")</f>
        <v/>
      </c>
      <c r="P12" s="85" t="str">
        <f aca="false">IF(E12&lt;&gt;"",IF(M12&lt;1.85,"Выговор",IF(M12=1.85,"Выговор",IF(AND(M12&gt;1.85,M12&lt;3),"Предупреждение",IF(AND(M12&gt;3,M12&lt;4.65),"Нормально",IF(AND(M12&gt;4.65,M12&lt;5.1,MIN(E12:L12)&gt;=4),"Благодарность","Нормально"))))),"")</f>
        <v/>
      </c>
      <c r="Q12" s="437" t="n">
        <f aca="false">COUNTIF(E12:L12,2)+COUNTIF(E12:L12,1)+COUNTIF(E12:L12,0)</f>
        <v>0</v>
      </c>
    </row>
    <row r="13" customFormat="false" ht="15" hidden="false" customHeight="true" outlineLevel="0" collapsed="false">
      <c r="A13" s="37" t="n">
        <v>6</v>
      </c>
      <c r="B13" s="37" t="s">
        <v>3285</v>
      </c>
      <c r="C13" s="37" t="s">
        <v>3286</v>
      </c>
      <c r="D13" s="202"/>
      <c r="E13" s="474"/>
      <c r="F13" s="475"/>
      <c r="G13" s="476"/>
      <c r="H13" s="568"/>
      <c r="I13" s="567"/>
      <c r="J13" s="475"/>
      <c r="K13" s="475"/>
      <c r="L13" s="568"/>
      <c r="M13" s="33" t="str">
        <f aca="false">IFERROR(AVERAGE(E13:L13),"")</f>
        <v/>
      </c>
      <c r="N13" s="84" t="str">
        <f aca="false">IF(E13&lt;&gt;"",IF(COUNTIF(E13:L13,"&lt;3"),"Не успевает","Успевает"),"")</f>
        <v/>
      </c>
      <c r="O13" s="241" t="str">
        <f aca="false">IF(D13&lt;&gt;"",(30*(set!B$5)-D13)/(30*(set!B$5))*100,"")</f>
        <v/>
      </c>
      <c r="P13" s="85" t="str">
        <f aca="false">IF(E13&lt;&gt;"",IF(M13&lt;1.85,"Выговор",IF(M13=1.85,"Выговор",IF(AND(M13&gt;1.85,M13&lt;3),"Предупреждение",IF(AND(M13&gt;3,M13&lt;4.65),"Нормально",IF(AND(M13&gt;4.65,M13&lt;5.1,MIN(E13:L13)&gt;=4),"Благодарность","Нормально"))))),"")</f>
        <v/>
      </c>
      <c r="Q13" s="437" t="n">
        <f aca="false">COUNTIF(E13:L13,2)+COUNTIF(E13:L13,1)+COUNTIF(E13:L13,0)</f>
        <v>0</v>
      </c>
    </row>
    <row r="14" customFormat="false" ht="15" hidden="false" customHeight="true" outlineLevel="0" collapsed="false">
      <c r="A14" s="85" t="n">
        <v>7</v>
      </c>
      <c r="B14" s="37" t="s">
        <v>3287</v>
      </c>
      <c r="C14" s="37" t="s">
        <v>3288</v>
      </c>
      <c r="D14" s="202"/>
      <c r="E14" s="474"/>
      <c r="F14" s="475"/>
      <c r="G14" s="476"/>
      <c r="H14" s="568"/>
      <c r="I14" s="567"/>
      <c r="J14" s="475"/>
      <c r="K14" s="475"/>
      <c r="L14" s="568"/>
      <c r="M14" s="33" t="str">
        <f aca="false">IFERROR(AVERAGE(E14:L14),"")</f>
        <v/>
      </c>
      <c r="N14" s="84" t="str">
        <f aca="false">IF(E14&lt;&gt;"",IF(COUNTIF(E14:L14,"&lt;3"),"Не успевает","Успевает"),"")</f>
        <v/>
      </c>
      <c r="O14" s="241" t="str">
        <f aca="false">IF(D14&lt;&gt;"",(30*(set!B$5)-D14)/(30*(set!B$5))*100,"")</f>
        <v/>
      </c>
      <c r="P14" s="85" t="str">
        <f aca="false">IF(E14&lt;&gt;"",IF(M14&lt;1.85,"Выговор",IF(M14=1.85,"Выговор",IF(AND(M14&gt;1.85,M14&lt;3),"Предупреждение",IF(AND(M14&gt;3,M14&lt;4.65),"Нормально",IF(AND(M14&gt;4.65,M14&lt;5.1,MIN(E14:L14)&gt;=4),"Благодарность","Нормально"))))),"")</f>
        <v/>
      </c>
      <c r="Q14" s="437" t="n">
        <f aca="false">COUNTIF(E14:L14,2)+COUNTIF(E14:L14,1)+COUNTIF(E14:L14,0)</f>
        <v>0</v>
      </c>
    </row>
    <row r="15" customFormat="false" ht="15" hidden="false" customHeight="true" outlineLevel="0" collapsed="false">
      <c r="A15" s="466" t="s">
        <v>77</v>
      </c>
      <c r="B15" s="466"/>
      <c r="C15" s="466"/>
      <c r="D15" s="46"/>
      <c r="E15" s="47" t="e">
        <f aca="false">AVERAGE(E8:E14)</f>
        <v>#DIV/0!</v>
      </c>
      <c r="F15" s="47" t="e">
        <f aca="false">AVERAGE(F8:F14)</f>
        <v>#DIV/0!</v>
      </c>
      <c r="G15" s="47" t="e">
        <f aca="false">AVERAGE(G8:G14)</f>
        <v>#DIV/0!</v>
      </c>
      <c r="H15" s="47" t="e">
        <f aca="false">AVERAGE(H8:H14)</f>
        <v>#DIV/0!</v>
      </c>
      <c r="I15" s="47" t="e">
        <f aca="false">AVERAGE(I8:I14)</f>
        <v>#DIV/0!</v>
      </c>
      <c r="J15" s="47" t="e">
        <f aca="false">AVERAGE(J8:J14)</f>
        <v>#DIV/0!</v>
      </c>
      <c r="K15" s="47" t="e">
        <f aca="false">AVERAGE(K8:K14)</f>
        <v>#DIV/0!</v>
      </c>
      <c r="L15" s="47" t="e">
        <f aca="false">AVERAGE(L8:L14)</f>
        <v>#DIV/0!</v>
      </c>
      <c r="M15" s="47"/>
      <c r="N15" s="48"/>
      <c r="O15" s="48"/>
      <c r="P15" s="48"/>
    </row>
    <row r="16" customFormat="false" ht="15" hidden="false" customHeight="true" outlineLevel="0" collapsed="false">
      <c r="A16" s="0" t="s">
        <v>78</v>
      </c>
      <c r="B16" s="72"/>
      <c r="C16" s="72"/>
      <c r="D16" s="46"/>
      <c r="E16" s="47" t="e">
        <f aca="false">(COUNTIF(E8:E14,5)+COUNTIF(E8:E14,4)+COUNTIF(E8:E14,3))/$Q$21*100</f>
        <v>#DIV/0!</v>
      </c>
      <c r="F16" s="47" t="e">
        <f aca="false">(COUNTIF(F8:F14,5)+COUNTIF(F8:F14,4)+COUNTIF(F8:F14,3))/$Q$21*100</f>
        <v>#DIV/0!</v>
      </c>
      <c r="G16" s="47" t="e">
        <f aca="false">(COUNTIF(G8:G14,5)+COUNTIF(G8:G14,4)+COUNTIF(G8:G14,3))/$Q$21*100</f>
        <v>#DIV/0!</v>
      </c>
      <c r="H16" s="47" t="e">
        <f aca="false">(COUNTIF(H8:H14,5)+COUNTIF(H8:H14,4)+COUNTIF(H8:H14,3))/$Q$21*100</f>
        <v>#DIV/0!</v>
      </c>
      <c r="I16" s="47" t="e">
        <f aca="false">(COUNTIF(I8:I14,5)+COUNTIF(I8:I14,4)+COUNTIF(I8:I14,3))/$Q$21*100</f>
        <v>#DIV/0!</v>
      </c>
      <c r="J16" s="47" t="e">
        <f aca="false">(COUNTIF(J8:J14,5)+COUNTIF(J8:J14,4)+COUNTIF(J8:J14,3))/$Q$21*100</f>
        <v>#DIV/0!</v>
      </c>
      <c r="K16" s="47" t="e">
        <f aca="false">(COUNTIF(K8:K14,5)+COUNTIF(K8:K14,4)+COUNTIF(K8:K14,3))/$Q$21*100</f>
        <v>#DIV/0!</v>
      </c>
      <c r="L16" s="47" t="e">
        <f aca="false">(COUNTIF(L8:L14,5)+COUNTIF(L8:L14,4)+COUNTIF(L8:L14,3))/$Q$21*100</f>
        <v>#DIV/0!</v>
      </c>
      <c r="M16" s="47"/>
      <c r="N16" s="48"/>
      <c r="O16" s="48"/>
      <c r="P16" s="48"/>
    </row>
    <row r="17" customFormat="false" ht="15" hidden="false" customHeight="true" outlineLevel="0" collapsed="false">
      <c r="A17" s="72"/>
      <c r="B17" s="72"/>
      <c r="C17" s="72"/>
      <c r="D17" s="46"/>
      <c r="E17" s="47"/>
      <c r="F17" s="47"/>
      <c r="G17" s="47"/>
      <c r="H17" s="47"/>
      <c r="I17" s="47"/>
      <c r="J17" s="47"/>
      <c r="K17" s="47"/>
      <c r="L17" s="47"/>
      <c r="M17" s="47"/>
      <c r="N17" s="48"/>
      <c r="O17" s="48"/>
      <c r="P17" s="48"/>
    </row>
    <row r="18" customFormat="false" ht="15" hidden="false" customHeight="true" outlineLevel="0" collapsed="false"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</row>
    <row r="19" customFormat="false" ht="15" hidden="false" customHeight="true" outlineLevel="0" collapsed="false">
      <c r="B19" s="50"/>
      <c r="C19" s="50" t="s">
        <v>8</v>
      </c>
      <c r="D19" s="51" t="str">
        <f aca="false">IFERROR(AVERAGE(M8:M14),"")</f>
        <v/>
      </c>
      <c r="E19" s="51"/>
      <c r="F19" s="52" t="s">
        <v>9</v>
      </c>
      <c r="G19" s="52"/>
      <c r="H19" s="53" t="str">
        <f aca="false">IFERROR(COUNTIF(N8:N14,"Успевает")/Q21*100,"")</f>
        <v/>
      </c>
      <c r="I19" s="932" t="s">
        <v>79</v>
      </c>
      <c r="J19" s="932"/>
      <c r="K19" s="53" t="str">
        <f aca="false">IFERROR(AVERAGE(O8:O14),"")</f>
        <v/>
      </c>
      <c r="L19" s="55"/>
      <c r="M19" s="158"/>
      <c r="N19" s="48"/>
      <c r="O19" s="48"/>
      <c r="P19" s="48"/>
    </row>
    <row r="20" customFormat="false" ht="15" hidden="false" customHeight="true" outlineLevel="0" collapsed="false">
      <c r="B20" s="50"/>
      <c r="C20" s="50"/>
      <c r="D20" s="50"/>
      <c r="E20" s="50"/>
      <c r="F20" s="56"/>
      <c r="G20" s="56"/>
      <c r="H20" s="56"/>
      <c r="I20" s="56"/>
      <c r="J20" s="56"/>
      <c r="K20" s="56"/>
      <c r="L20" s="56"/>
      <c r="P20" s="59"/>
    </row>
    <row r="21" customFormat="false" ht="15" hidden="false" customHeight="true" outlineLevel="0" collapsed="false">
      <c r="A21" s="50"/>
      <c r="B21" s="61" t="s">
        <v>81</v>
      </c>
      <c r="C21" s="61"/>
      <c r="D21" s="61"/>
      <c r="E21" s="61"/>
      <c r="F21" s="61"/>
      <c r="G21" s="61"/>
      <c r="H21" s="61"/>
      <c r="I21" s="61"/>
      <c r="J21" s="61"/>
      <c r="K21" s="61" t="s">
        <v>82</v>
      </c>
      <c r="L21" s="61"/>
      <c r="M21" s="61"/>
      <c r="O21" s="57" t="s">
        <v>80</v>
      </c>
      <c r="P21" s="57"/>
      <c r="Q21" s="58" t="n">
        <f aca="false">SUM(Q22,Q23)</f>
        <v>0</v>
      </c>
    </row>
    <row r="22" customFormat="false" ht="15" hidden="false" customHeight="true" outlineLevel="0" collapsed="false">
      <c r="A22" s="50"/>
      <c r="B22" s="65" t="str">
        <f aca="false">$E$6</f>
        <v> Методы и приборы контроля параметров окружающей среды</v>
      </c>
      <c r="C22" s="65"/>
      <c r="D22" s="65"/>
      <c r="E22" s="65"/>
      <c r="F22" s="65"/>
      <c r="G22" s="65"/>
      <c r="H22" s="65"/>
      <c r="I22" s="65"/>
      <c r="J22" s="65"/>
      <c r="K22" s="66"/>
      <c r="L22" s="66"/>
      <c r="M22" s="66"/>
      <c r="O22" s="57" t="s">
        <v>83</v>
      </c>
      <c r="P22" s="57"/>
      <c r="Q22" s="58" t="n">
        <f aca="false">COUNTIF(N8:N14,"Успевает")</f>
        <v>0</v>
      </c>
    </row>
    <row r="23" customFormat="false" ht="15" hidden="false" customHeight="true" outlineLevel="0" collapsed="false">
      <c r="A23" s="50"/>
      <c r="B23" s="65" t="str">
        <f aca="false">$F$6</f>
        <v>Организация и проведение научно_x005F_x0002_исследовательских работ</v>
      </c>
      <c r="C23" s="65"/>
      <c r="D23" s="65"/>
      <c r="E23" s="65"/>
      <c r="F23" s="65"/>
      <c r="G23" s="65"/>
      <c r="H23" s="65"/>
      <c r="I23" s="65"/>
      <c r="J23" s="65"/>
      <c r="K23" s="66"/>
      <c r="L23" s="66"/>
      <c r="M23" s="66"/>
      <c r="O23" s="98" t="s">
        <v>84</v>
      </c>
      <c r="P23" s="98"/>
      <c r="Q23" s="58" t="n">
        <f aca="false">COUNTIF(N8:N14,"Не успевает")</f>
        <v>0</v>
      </c>
    </row>
    <row r="24" customFormat="false" ht="15" hidden="false" customHeight="true" outlineLevel="0" collapsed="false">
      <c r="A24" s="50"/>
      <c r="B24" s="65" t="str">
        <f aca="false">$G$6</f>
        <v> Экологически чистые и ресурсосберегающие технологии</v>
      </c>
      <c r="C24" s="65"/>
      <c r="D24" s="65"/>
      <c r="E24" s="65"/>
      <c r="F24" s="65"/>
      <c r="G24" s="65"/>
      <c r="H24" s="65"/>
      <c r="I24" s="65"/>
      <c r="J24" s="65"/>
      <c r="K24" s="66"/>
      <c r="L24" s="66"/>
      <c r="M24" s="66"/>
      <c r="O24" s="98" t="s">
        <v>85</v>
      </c>
      <c r="P24" s="98"/>
      <c r="Q24" s="58" t="n">
        <f aca="false">COUNTIF(P8:P14,"Благодарность")</f>
        <v>0</v>
      </c>
    </row>
    <row r="25" customFormat="false" ht="15" hidden="false" customHeight="true" outlineLevel="0" collapsed="false">
      <c r="A25" s="50"/>
      <c r="B25" s="65" t="str">
        <f aca="false">$H$6</f>
        <v> Экологический аудит</v>
      </c>
      <c r="C25" s="65"/>
      <c r="D25" s="65"/>
      <c r="E25" s="65"/>
      <c r="F25" s="65"/>
      <c r="G25" s="65"/>
      <c r="H25" s="65"/>
      <c r="I25" s="65"/>
      <c r="J25" s="65"/>
      <c r="K25" s="66"/>
      <c r="L25" s="66"/>
      <c r="M25" s="66"/>
      <c r="O25" s="98" t="s">
        <v>86</v>
      </c>
      <c r="P25" s="98"/>
      <c r="Q25" s="58" t="n">
        <f aca="false">COUNTIF(P8:P14,"Нормально")</f>
        <v>0</v>
      </c>
    </row>
    <row r="26" customFormat="false" ht="15" hidden="false" customHeight="true" outlineLevel="0" collapsed="false">
      <c r="A26" s="50"/>
      <c r="B26" s="65" t="str">
        <f aca="false">$I$6</f>
        <v>Иностранный язык</v>
      </c>
      <c r="C26" s="65"/>
      <c r="D26" s="65"/>
      <c r="E26" s="65"/>
      <c r="F26" s="65"/>
      <c r="G26" s="65"/>
      <c r="H26" s="65"/>
      <c r="I26" s="65"/>
      <c r="J26" s="65"/>
      <c r="K26" s="66"/>
      <c r="L26" s="66"/>
      <c r="M26" s="66"/>
      <c r="O26" s="98" t="s">
        <v>87</v>
      </c>
      <c r="P26" s="98"/>
      <c r="Q26" s="58" t="n">
        <f aca="false">COUNTIF(P8:P14,"Предупреждение")</f>
        <v>0</v>
      </c>
    </row>
    <row r="27" customFormat="false" ht="15" hidden="false" customHeight="true" outlineLevel="0" collapsed="false">
      <c r="A27" s="50"/>
      <c r="B27" s="65" t="str">
        <f aca="false">$J$6</f>
        <v>Научно-исследовательская работа</v>
      </c>
      <c r="C27" s="65"/>
      <c r="D27" s="65"/>
      <c r="E27" s="65"/>
      <c r="F27" s="65"/>
      <c r="G27" s="65"/>
      <c r="H27" s="65"/>
      <c r="I27" s="65"/>
      <c r="J27" s="65"/>
      <c r="K27" s="66"/>
      <c r="L27" s="66"/>
      <c r="M27" s="66"/>
      <c r="O27" s="98" t="s">
        <v>88</v>
      </c>
      <c r="P27" s="98"/>
      <c r="Q27" s="58" t="n">
        <f aca="false">COUNTIF(P8:P14,"Выговор")</f>
        <v>0</v>
      </c>
    </row>
    <row r="28" customFormat="false" ht="15" hidden="false" customHeight="true" outlineLevel="0" collapsed="false">
      <c r="A28" s="50"/>
      <c r="B28" s="65" t="str">
        <f aca="false">$K$6</f>
        <v> Ознакомительная практика</v>
      </c>
      <c r="C28" s="65"/>
      <c r="D28" s="65"/>
      <c r="E28" s="65"/>
      <c r="F28" s="65"/>
      <c r="G28" s="65"/>
      <c r="H28" s="65"/>
      <c r="I28" s="65"/>
      <c r="J28" s="65"/>
      <c r="K28" s="66"/>
      <c r="L28" s="66"/>
      <c r="M28" s="66"/>
      <c r="O28" s="653" t="s">
        <v>1575</v>
      </c>
      <c r="P28" s="653"/>
      <c r="Q28" s="427" t="n">
        <f aca="false">SUM(Q8:Q14)</f>
        <v>0</v>
      </c>
    </row>
    <row r="29" customFormat="false" ht="15" hidden="false" customHeight="true" outlineLevel="0" collapsed="false">
      <c r="A29" s="50"/>
      <c r="B29" s="65" t="str">
        <f aca="false">$L$6</f>
        <v> Управление персоналом</v>
      </c>
      <c r="C29" s="65"/>
      <c r="D29" s="65"/>
      <c r="E29" s="65"/>
      <c r="F29" s="65"/>
      <c r="G29" s="65"/>
      <c r="H29" s="65"/>
      <c r="I29" s="65"/>
      <c r="J29" s="65"/>
      <c r="K29" s="66"/>
      <c r="L29" s="66"/>
      <c r="M29" s="66"/>
      <c r="N29" s="48"/>
      <c r="O29" s="48"/>
      <c r="P29" s="48"/>
    </row>
    <row r="30" customFormat="false" ht="15" hidden="false" customHeight="true" outlineLevel="0" collapsed="false">
      <c r="A30" s="50"/>
      <c r="B30" s="67"/>
      <c r="C30" s="67"/>
      <c r="D30" s="67"/>
      <c r="E30" s="67"/>
      <c r="F30" s="67"/>
      <c r="G30" s="67"/>
      <c r="H30" s="67"/>
      <c r="I30" s="67"/>
      <c r="J30" s="67"/>
      <c r="K30" s="361"/>
      <c r="L30" s="361"/>
      <c r="M30" s="48"/>
      <c r="N30" s="48"/>
      <c r="O30" s="48"/>
      <c r="P30" s="48"/>
    </row>
    <row r="31" customFormat="false" ht="15" hidden="false" customHeight="true" outlineLevel="0" collapsed="false">
      <c r="A31" s="50"/>
      <c r="B31" s="73" t="s">
        <v>405</v>
      </c>
      <c r="C31" s="449" t="s">
        <v>3289</v>
      </c>
      <c r="D31" s="449"/>
      <c r="E31" s="449"/>
      <c r="F31" s="67"/>
      <c r="G31" s="52" t="s">
        <v>369</v>
      </c>
      <c r="H31" s="300" t="s">
        <v>3290</v>
      </c>
      <c r="I31" s="52"/>
      <c r="J31" s="52"/>
      <c r="K31" s="52"/>
      <c r="L31" s="52"/>
      <c r="M31" s="48"/>
      <c r="N31" s="48"/>
      <c r="O31" s="48"/>
      <c r="P31" s="48"/>
    </row>
    <row r="32" customFormat="false" ht="15" hidden="false" customHeight="true" outlineLevel="0" collapsed="false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48"/>
      <c r="N32" s="48"/>
    </row>
    <row r="33" customFormat="false" ht="15" hidden="false" customHeight="true" outlineLevel="0" collapsed="false">
      <c r="A33" s="50"/>
      <c r="B33" s="50" t="s">
        <v>93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48"/>
      <c r="N33" s="48"/>
    </row>
    <row r="34" customFormat="false" ht="15" hidden="false" customHeight="true" outlineLevel="0" collapsed="false">
      <c r="A34" s="50"/>
      <c r="B34" s="50" t="s">
        <v>94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48"/>
      <c r="N34" s="48"/>
    </row>
    <row r="35" customFormat="false" ht="15" hidden="false" customHeight="true" outlineLevel="0" collapsed="false">
      <c r="A35" s="50"/>
      <c r="B35" s="50" t="s">
        <v>95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48"/>
      <c r="N35" s="48"/>
    </row>
    <row r="36" customFormat="false" ht="15" hidden="false" customHeight="true" outlineLevel="0" collapsed="false">
      <c r="A36" s="50"/>
      <c r="B36" s="50" t="s">
        <v>96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48"/>
      <c r="N36" s="48"/>
    </row>
    <row r="37" customFormat="false" ht="15" hidden="false" customHeight="true" outlineLevel="0" collapsed="false">
      <c r="A37" s="50"/>
      <c r="B37" s="50" t="s">
        <v>97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48"/>
      <c r="N37" s="48"/>
    </row>
    <row r="38" customFormat="false" ht="15" hidden="false" customHeight="true" outlineLevel="0" collapsed="false">
      <c r="A38" s="50"/>
      <c r="B38" s="50" t="s">
        <v>98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48"/>
      <c r="N38" s="48"/>
    </row>
    <row r="39" customFormat="false" ht="15" hidden="false" customHeight="true" outlineLevel="0" collapsed="false">
      <c r="A39" s="50"/>
      <c r="B39" s="50" t="s">
        <v>99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48"/>
      <c r="N39" s="48"/>
    </row>
  </sheetData>
  <mergeCells count="42">
    <mergeCell ref="E1:I1"/>
    <mergeCell ref="L2:N2"/>
    <mergeCell ref="A3:M3"/>
    <mergeCell ref="A5:A7"/>
    <mergeCell ref="B5:B7"/>
    <mergeCell ref="C5:C7"/>
    <mergeCell ref="D5:D7"/>
    <mergeCell ref="E5:H5"/>
    <mergeCell ref="I5:L5"/>
    <mergeCell ref="M5:M7"/>
    <mergeCell ref="N5:N7"/>
    <mergeCell ref="O5:O7"/>
    <mergeCell ref="P5:P7"/>
    <mergeCell ref="Q5:Q7"/>
    <mergeCell ref="A15:C15"/>
    <mergeCell ref="I19:J19"/>
    <mergeCell ref="B21:J21"/>
    <mergeCell ref="K21:M21"/>
    <mergeCell ref="O21:P21"/>
    <mergeCell ref="B22:J22"/>
    <mergeCell ref="K22:M22"/>
    <mergeCell ref="O22:P22"/>
    <mergeCell ref="B23:J23"/>
    <mergeCell ref="K23:M23"/>
    <mergeCell ref="O23:P23"/>
    <mergeCell ref="B24:J24"/>
    <mergeCell ref="K24:M24"/>
    <mergeCell ref="O24:P24"/>
    <mergeCell ref="B25:J25"/>
    <mergeCell ref="K25:M25"/>
    <mergeCell ref="O25:P25"/>
    <mergeCell ref="B26:J26"/>
    <mergeCell ref="K26:M26"/>
    <mergeCell ref="O26:P26"/>
    <mergeCell ref="B27:J27"/>
    <mergeCell ref="K27:M27"/>
    <mergeCell ref="O27:P27"/>
    <mergeCell ref="B28:J28"/>
    <mergeCell ref="K28:M28"/>
    <mergeCell ref="B29:J29"/>
    <mergeCell ref="K29:M29"/>
    <mergeCell ref="C31:E31"/>
  </mergeCells>
  <conditionalFormatting sqref="I8:I1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5:M17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H14 J8:L1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:M14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H14 J8:L14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Q57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8" activeCellId="0" sqref="C8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5.29"/>
    <col collapsed="false" customWidth="true" hidden="false" outlineLevel="0" max="2" min="2" style="0" width="10.42"/>
    <col collapsed="false" customWidth="true" hidden="false" outlineLevel="0" max="3" min="3" style="0" width="17"/>
    <col collapsed="false" customWidth="false" hidden="false" outlineLevel="0" max="5" min="5" style="45" width="9.14"/>
    <col collapsed="false" customWidth="false" hidden="false" outlineLevel="0" max="10" min="9" style="45" width="9.14"/>
    <col collapsed="false" customWidth="true" hidden="false" outlineLevel="0" max="13" min="13" style="0" width="7.42"/>
    <col collapsed="false" customWidth="true" hidden="false" outlineLevel="0" max="14" min="14" style="0" width="9.86"/>
    <col collapsed="false" customWidth="true" hidden="false" outlineLevel="0" max="15" min="15" style="0" width="10.29"/>
    <col collapsed="false" customWidth="true" hidden="false" outlineLevel="0" max="16" min="16" style="0" width="11.85"/>
    <col collapsed="false" customWidth="true" hidden="false" outlineLevel="0" max="17" min="17" style="0" width="4.42"/>
  </cols>
  <sheetData>
    <row r="1" customFormat="false" ht="19.7" hidden="false" customHeight="false" outlineLevel="0" collapsed="false">
      <c r="F1" s="1" t="s">
        <v>0</v>
      </c>
      <c r="G1" s="1"/>
      <c r="H1" s="1"/>
      <c r="I1" s="1"/>
      <c r="J1" s="1"/>
      <c r="K1" s="1"/>
      <c r="L1" s="2" t="n">
        <f aca="false">set!B1</f>
        <v>2</v>
      </c>
    </row>
    <row r="2" customFormat="false" ht="15" hidden="false" customHeight="false" outlineLevel="0" collapsed="false">
      <c r="K2" s="4"/>
      <c r="M2" s="0" t="s">
        <v>1</v>
      </c>
      <c r="P2" s="6" t="n">
        <f aca="false">set!B4</f>
        <v>45608</v>
      </c>
    </row>
    <row r="3" customFormat="false" ht="15" hidden="false" customHeight="false" outlineLevel="0" collapsed="false">
      <c r="A3" s="0" t="str">
        <f aca="false">"Успеваемость студентов за "&amp;(set!B2)&amp;" "&amp;"семестр"&amp;" "&amp;(set!B3) &amp;" "&amp; "учебного года по группе ИУК7-31М факультета ИУК МГТУ им. Н.Э. Баумана"</f>
        <v>Успеваемость студентов за 1 семестр 24/25 учебного года по группе ИУК7-31М факультета ИУК МГТУ им. Н.Э. Баумана</v>
      </c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2403</v>
      </c>
      <c r="E5" s="11" t="s">
        <v>6</v>
      </c>
      <c r="F5" s="11"/>
      <c r="G5" s="11"/>
      <c r="H5" s="404" t="s">
        <v>7</v>
      </c>
      <c r="I5" s="404"/>
      <c r="J5" s="404"/>
      <c r="K5" s="404"/>
      <c r="L5" s="404"/>
      <c r="M5" s="391" t="s">
        <v>8</v>
      </c>
      <c r="N5" s="392" t="s">
        <v>9</v>
      </c>
      <c r="O5" s="392" t="s">
        <v>10</v>
      </c>
      <c r="P5" s="14" t="s">
        <v>11</v>
      </c>
      <c r="Q5" s="620" t="s">
        <v>1575</v>
      </c>
    </row>
    <row r="6" customFormat="false" ht="129.75" hidden="false" customHeight="true" outlineLevel="0" collapsed="false">
      <c r="A6" s="8"/>
      <c r="B6" s="8"/>
      <c r="C6" s="8"/>
      <c r="D6" s="9"/>
      <c r="E6" s="339" t="s">
        <v>3291</v>
      </c>
      <c r="F6" s="340" t="s">
        <v>504</v>
      </c>
      <c r="G6" s="342" t="s">
        <v>3292</v>
      </c>
      <c r="H6" s="339" t="s">
        <v>3293</v>
      </c>
      <c r="I6" s="405" t="s">
        <v>3294</v>
      </c>
      <c r="J6" s="405" t="s">
        <v>3295</v>
      </c>
      <c r="K6" s="405" t="s">
        <v>3296</v>
      </c>
      <c r="L6" s="342" t="s">
        <v>508</v>
      </c>
      <c r="M6" s="391"/>
      <c r="N6" s="392"/>
      <c r="O6" s="392"/>
      <c r="P6" s="14"/>
      <c r="Q6" s="620"/>
    </row>
    <row r="7" customFormat="false" ht="17.9" hidden="false" customHeight="false" outlineLevel="0" collapsed="false">
      <c r="A7" s="8"/>
      <c r="B7" s="8"/>
      <c r="C7" s="8"/>
      <c r="D7" s="9"/>
      <c r="E7" s="343" t="s">
        <v>3249</v>
      </c>
      <c r="F7" s="366" t="s">
        <v>509</v>
      </c>
      <c r="G7" s="346" t="s">
        <v>3297</v>
      </c>
      <c r="H7" s="343" t="s">
        <v>3298</v>
      </c>
      <c r="I7" s="407" t="s">
        <v>3299</v>
      </c>
      <c r="J7" s="407" t="s">
        <v>3274</v>
      </c>
      <c r="K7" s="407" t="s">
        <v>3297</v>
      </c>
      <c r="L7" s="346" t="s">
        <v>300</v>
      </c>
      <c r="M7" s="391"/>
      <c r="N7" s="392"/>
      <c r="O7" s="392"/>
      <c r="P7" s="14"/>
      <c r="Q7" s="620"/>
    </row>
    <row r="8" customFormat="false" ht="15" hidden="false" customHeight="true" outlineLevel="0" collapsed="false">
      <c r="A8" s="77" t="n">
        <v>1</v>
      </c>
      <c r="B8" s="77" t="s">
        <v>3300</v>
      </c>
      <c r="C8" s="77" t="s">
        <v>3301</v>
      </c>
      <c r="D8" s="470"/>
      <c r="E8" s="933"/>
      <c r="F8" s="248"/>
      <c r="G8" s="934"/>
      <c r="H8" s="933"/>
      <c r="I8" s="935"/>
      <c r="J8" s="935"/>
      <c r="K8" s="935"/>
      <c r="L8" s="934"/>
      <c r="M8" s="33" t="str">
        <f aca="false">IFERROR(AVERAGE(G8:L8),"")</f>
        <v/>
      </c>
      <c r="N8" s="84" t="str">
        <f aca="false">IF(G8&lt;&gt;"",IF(COUNTIF(G8:L8,"&lt;3"),"Не успевает","Успевает"),"")</f>
        <v/>
      </c>
      <c r="O8" s="241" t="str">
        <f aca="false">IF(D8&lt;&gt;"",(30*(set!B$5)-D8)/(30*(set!B$5))*100,"")</f>
        <v/>
      </c>
      <c r="P8" s="77" t="str">
        <f aca="false" t="array" ref="P8:P8">IF(G8&lt;&gt;"",IF(M8&lt;1.85,"Выговор",IF(M8=1.85,"Выговор",IF(AND(M8&gt;1.85,M8&lt;3),"Предупреждение",IF(AND(M8&gt;3,M8&lt;4.65),"Нормально",IF(AND(M8&gt;4.65,M8&lt;5.1,G8:L8&gt;=4),"Благодарность","Нормально"))))),"")</f>
        <v/>
      </c>
      <c r="Q8" s="608" t="n">
        <f aca="false">COUNTIF(F8:L8,2)+COUNTIF(F8:L8,1)+COUNTIF(F8:L8,0)</f>
        <v>0</v>
      </c>
    </row>
    <row r="9" customFormat="false" ht="15" hidden="false" customHeight="true" outlineLevel="0" collapsed="false">
      <c r="A9" s="37" t="n">
        <v>2</v>
      </c>
      <c r="B9" s="37" t="s">
        <v>3302</v>
      </c>
      <c r="C9" s="37" t="s">
        <v>3303</v>
      </c>
      <c r="D9" s="497"/>
      <c r="E9" s="253"/>
      <c r="F9" s="254"/>
      <c r="G9" s="934"/>
      <c r="H9" s="933"/>
      <c r="I9" s="936"/>
      <c r="J9" s="936"/>
      <c r="K9" s="936"/>
      <c r="L9" s="255"/>
      <c r="M9" s="33" t="str">
        <f aca="false">IFERROR(AVERAGE(G9:L9),"")</f>
        <v/>
      </c>
      <c r="N9" s="84" t="str">
        <f aca="false">IF(G9&lt;&gt;"",IF(COUNTIF(G9:L9,"&lt;3"),"Не успевает","Успевает"),"")</f>
        <v/>
      </c>
      <c r="O9" s="241" t="str">
        <f aca="false">IF(D9&lt;&gt;"",(30*(set!B$5)-D9)/(30*(set!B$5))*100,"")</f>
        <v/>
      </c>
      <c r="P9" s="85" t="str">
        <f aca="false" t="array" ref="P9:P9">IF(G9&lt;&gt;"",IF(M9&lt;1.85,"Выговор",IF(M9=1.85,"Выговор",IF(AND(M9&gt;1.85,M9&lt;3),"Предупреждение",IF(AND(M9&gt;3,M9&lt;4.65),"Нормально",IF(AND(M9&gt;4.65,M9&lt;5.1,G9:L9&gt;=4),"Благодарность","Нормально"))))),"")</f>
        <v/>
      </c>
      <c r="Q9" s="437" t="n">
        <f aca="false">COUNTIF(F9:L9,2)+COUNTIF(F9:L9,1)+COUNTIF(F9:L9,0)</f>
        <v>0</v>
      </c>
    </row>
    <row r="10" customFormat="false" ht="15" hidden="false" customHeight="true" outlineLevel="0" collapsed="false">
      <c r="A10" s="77" t="n">
        <v>3</v>
      </c>
      <c r="B10" s="37" t="s">
        <v>3304</v>
      </c>
      <c r="C10" s="37" t="s">
        <v>3305</v>
      </c>
      <c r="D10" s="497"/>
      <c r="E10" s="253"/>
      <c r="F10" s="254"/>
      <c r="G10" s="934"/>
      <c r="H10" s="933"/>
      <c r="I10" s="936"/>
      <c r="J10" s="936"/>
      <c r="K10" s="936"/>
      <c r="L10" s="255"/>
      <c r="M10" s="33" t="str">
        <f aca="false">IFERROR(AVERAGE(G10:L10),"")</f>
        <v/>
      </c>
      <c r="N10" s="84" t="str">
        <f aca="false">IF(G10&lt;&gt;"",IF(COUNTIF(G10:L10,"&lt;3"),"Не успевает","Успевает"),"")</f>
        <v/>
      </c>
      <c r="O10" s="241" t="str">
        <f aca="false">IF(D10&lt;&gt;"",(30*(set!B$5)-D10)/(30*(set!B$5))*100,"")</f>
        <v/>
      </c>
      <c r="P10" s="85" t="str">
        <f aca="false" t="array" ref="P10:P10">IF(G10&lt;&gt;"",IF(M10&lt;1.85,"Выговор",IF(M10=1.85,"Выговор",IF(AND(M10&gt;1.85,M10&lt;3),"Предупреждение",IF(AND(M10&gt;3,M10&lt;4.65),"Нормально",IF(AND(M10&gt;4.65,M10&lt;5.1,G10:L10&gt;=4),"Благодарность","Нормально"))))),"")</f>
        <v/>
      </c>
      <c r="Q10" s="437" t="n">
        <f aca="false">COUNTIF(F10:L10,2)+COUNTIF(F10:L10,1)+COUNTIF(F10:L10,0)</f>
        <v>0</v>
      </c>
    </row>
    <row r="11" customFormat="false" ht="15" hidden="false" customHeight="true" outlineLevel="0" collapsed="false">
      <c r="A11" s="37" t="n">
        <v>4</v>
      </c>
      <c r="B11" s="37" t="s">
        <v>3306</v>
      </c>
      <c r="C11" s="37" t="s">
        <v>3307</v>
      </c>
      <c r="D11" s="497"/>
      <c r="E11" s="253"/>
      <c r="F11" s="254"/>
      <c r="G11" s="934"/>
      <c r="H11" s="933"/>
      <c r="I11" s="936"/>
      <c r="J11" s="936"/>
      <c r="K11" s="936"/>
      <c r="L11" s="255"/>
      <c r="M11" s="33" t="str">
        <f aca="false">IFERROR(AVERAGE(G11:L11),"")</f>
        <v/>
      </c>
      <c r="N11" s="84" t="str">
        <f aca="false">IF(G11&lt;&gt;"",IF(COUNTIF(G11:L11,"&lt;3"),"Не успевает","Успевает"),"")</f>
        <v/>
      </c>
      <c r="O11" s="241" t="str">
        <f aca="false">IF(D11&lt;&gt;"",(30*(set!B$5)-D11)/(30*(set!B$5))*100,"")</f>
        <v/>
      </c>
      <c r="P11" s="85" t="str">
        <f aca="false" t="array" ref="P11:P11">IF(G11&lt;&gt;"",IF(M11&lt;1.85,"Выговор",IF(M11=1.85,"Выговор",IF(AND(M11&gt;1.85,M11&lt;3),"Предупреждение",IF(AND(M11&gt;3,M11&lt;4.65),"Нормально",IF(AND(M11&gt;4.65,M11&lt;5.1,G11:L11&gt;=4),"Благодарность","Нормально"))))),"")</f>
        <v/>
      </c>
      <c r="Q11" s="437" t="n">
        <f aca="false">COUNTIF(F11:L11,2)+COUNTIF(F11:L11,1)+COUNTIF(F11:L11,0)</f>
        <v>0</v>
      </c>
    </row>
    <row r="12" customFormat="false" ht="15" hidden="false" customHeight="true" outlineLevel="0" collapsed="false">
      <c r="A12" s="77" t="n">
        <v>5</v>
      </c>
      <c r="B12" s="37" t="s">
        <v>3308</v>
      </c>
      <c r="C12" s="37" t="s">
        <v>3309</v>
      </c>
      <c r="D12" s="497"/>
      <c r="E12" s="253"/>
      <c r="F12" s="254"/>
      <c r="G12" s="934"/>
      <c r="H12" s="933"/>
      <c r="I12" s="936"/>
      <c r="J12" s="936"/>
      <c r="K12" s="936"/>
      <c r="L12" s="255"/>
      <c r="M12" s="33" t="str">
        <f aca="false">IFERROR(AVERAGE(G12:L12),"")</f>
        <v/>
      </c>
      <c r="N12" s="84" t="str">
        <f aca="false">IF(G12&lt;&gt;"",IF(COUNTIF(G12:L12,"&lt;3"),"Не успевает","Успевает"),"")</f>
        <v/>
      </c>
      <c r="O12" s="241" t="str">
        <f aca="false">IF(D12&lt;&gt;"",(30*(set!B$5)-D12)/(30*(set!B$5))*100,"")</f>
        <v/>
      </c>
      <c r="P12" s="85" t="str">
        <f aca="false" t="array" ref="P12:P12">IF(G12&lt;&gt;"",IF(M12&lt;1.85,"Выговор",IF(M12=1.85,"Выговор",IF(AND(M12&gt;1.85,M12&lt;3),"Предупреждение",IF(AND(M12&gt;3,M12&lt;4.65),"Нормально",IF(AND(M12&gt;4.65,M12&lt;5.1,G12:L12&gt;=4),"Благодарность","Нормально"))))),"")</f>
        <v/>
      </c>
      <c r="Q12" s="437" t="n">
        <f aca="false">COUNTIF(F12:L12,2)+COUNTIF(F12:L12,1)+COUNTIF(F12:L12,0)</f>
        <v>0</v>
      </c>
    </row>
    <row r="13" customFormat="false" ht="15" hidden="false" customHeight="true" outlineLevel="0" collapsed="false">
      <c r="A13" s="77" t="n">
        <v>6</v>
      </c>
      <c r="B13" s="37" t="s">
        <v>3310</v>
      </c>
      <c r="C13" s="37" t="s">
        <v>3311</v>
      </c>
      <c r="D13" s="497"/>
      <c r="E13" s="253"/>
      <c r="F13" s="254"/>
      <c r="G13" s="934"/>
      <c r="H13" s="933"/>
      <c r="I13" s="936"/>
      <c r="J13" s="936"/>
      <c r="K13" s="936"/>
      <c r="L13" s="255"/>
      <c r="M13" s="33" t="str">
        <f aca="false">IFERROR(AVERAGE(G13:L13),"")</f>
        <v/>
      </c>
      <c r="N13" s="84" t="str">
        <f aca="false">IF(G13&lt;&gt;"",IF(COUNTIF(G13:L13,"&lt;3"),"Не успевает","Успевает"),"")</f>
        <v/>
      </c>
      <c r="O13" s="241" t="str">
        <f aca="false">IF(D13&lt;&gt;"",(30*(set!B$5)-D13)/(30*(set!B$5))*100,"")</f>
        <v/>
      </c>
      <c r="P13" s="85" t="str">
        <f aca="false" t="array" ref="P13:P13">IF(G13&lt;&gt;"",IF(M13&lt;1.85,"Выговор",IF(M13=1.85,"Выговор",IF(AND(M13&gt;1.85,M13&lt;3),"Предупреждение",IF(AND(M13&gt;3,M13&lt;4.65),"Нормально",IF(AND(M13&gt;4.65,M13&lt;5.1,G13:L13&gt;=4),"Благодарность","Нормально"))))),"")</f>
        <v/>
      </c>
      <c r="Q13" s="437" t="n">
        <f aca="false">COUNTIF(F13:L13,2)+COUNTIF(F13:L13,1)+COUNTIF(F13:L13,0)</f>
        <v>0</v>
      </c>
    </row>
    <row r="14" customFormat="false" ht="15" hidden="false" customHeight="true" outlineLevel="0" collapsed="false">
      <c r="A14" s="37" t="n">
        <v>7</v>
      </c>
      <c r="B14" s="37" t="s">
        <v>3312</v>
      </c>
      <c r="C14" s="37" t="s">
        <v>3313</v>
      </c>
      <c r="D14" s="497"/>
      <c r="E14" s="253"/>
      <c r="F14" s="254"/>
      <c r="G14" s="934"/>
      <c r="H14" s="933"/>
      <c r="I14" s="936"/>
      <c r="J14" s="936"/>
      <c r="K14" s="936"/>
      <c r="L14" s="255"/>
      <c r="M14" s="33" t="str">
        <f aca="false">IFERROR(AVERAGE(G14:L14),"")</f>
        <v/>
      </c>
      <c r="N14" s="84" t="str">
        <f aca="false">IF(G14&lt;&gt;"",IF(COUNTIF(G14:L14,"&lt;3"),"Не успевает","Успевает"),"")</f>
        <v/>
      </c>
      <c r="O14" s="241" t="str">
        <f aca="false">IF(D14&lt;&gt;"",(30*(set!B$5)-D14)/(30*(set!B$5))*100,"")</f>
        <v/>
      </c>
      <c r="P14" s="85" t="str">
        <f aca="false" t="array" ref="P14:P14">IF(G14&lt;&gt;"",IF(M14&lt;1.85,"Выговор",IF(M14=1.85,"Выговор",IF(AND(M14&gt;1.85,M14&lt;3),"Предупреждение",IF(AND(M14&gt;3,M14&lt;4.65),"Нормально",IF(AND(M14&gt;4.65,M14&lt;5.1,G14:L14&gt;=4),"Благодарность","Нормально"))))),"")</f>
        <v/>
      </c>
      <c r="Q14" s="437" t="n">
        <f aca="false">COUNTIF(F14:L14,2)+COUNTIF(F14:L14,1)+COUNTIF(F14:L14,0)</f>
        <v>0</v>
      </c>
    </row>
    <row r="15" customFormat="false" ht="15" hidden="false" customHeight="true" outlineLevel="0" collapsed="false">
      <c r="A15" s="77" t="n">
        <v>8</v>
      </c>
      <c r="B15" s="37" t="s">
        <v>3314</v>
      </c>
      <c r="C15" s="37" t="s">
        <v>3315</v>
      </c>
      <c r="D15" s="497"/>
      <c r="E15" s="253"/>
      <c r="F15" s="254"/>
      <c r="G15" s="934"/>
      <c r="H15" s="933"/>
      <c r="I15" s="936"/>
      <c r="J15" s="936"/>
      <c r="K15" s="936"/>
      <c r="L15" s="255"/>
      <c r="M15" s="33" t="str">
        <f aca="false">IFERROR(AVERAGE(G15:L15),"")</f>
        <v/>
      </c>
      <c r="N15" s="84" t="str">
        <f aca="false">IF(G15&lt;&gt;"",IF(COUNTIF(G15:L15,"&lt;3"),"Не успевает","Успевает"),"")</f>
        <v/>
      </c>
      <c r="O15" s="241" t="str">
        <f aca="false">IF(D15&lt;&gt;"",(30*(set!B$5)-D15)/(30*(set!B$5))*100,"")</f>
        <v/>
      </c>
      <c r="P15" s="85" t="str">
        <f aca="false" t="array" ref="P15:P15">IF(G15&lt;&gt;"",IF(M15&lt;1.85,"Выговор",IF(M15=1.85,"Выговор",IF(AND(M15&gt;1.85,M15&lt;3),"Предупреждение",IF(AND(M15&gt;3,M15&lt;4.65),"Нормально",IF(AND(M15&gt;4.65,M15&lt;5.1,G15:L15&gt;=4),"Благодарность","Нормально"))))),"")</f>
        <v/>
      </c>
      <c r="Q15" s="437" t="n">
        <f aca="false">COUNTIF(F15:L15,2)+COUNTIF(F15:L15,1)+COUNTIF(F15:L15,0)</f>
        <v>0</v>
      </c>
    </row>
    <row r="16" customFormat="false" ht="15" hidden="false" customHeight="true" outlineLevel="0" collapsed="false">
      <c r="A16" s="466" t="s">
        <v>77</v>
      </c>
      <c r="B16" s="466"/>
      <c r="C16" s="466"/>
      <c r="E16" s="260" t="e">
        <f aca="false">AVERAGE(E8:E15)</f>
        <v>#DIV/0!</v>
      </c>
      <c r="F16" s="260" t="e">
        <f aca="false">AVERAGE(F8:F15)</f>
        <v>#DIV/0!</v>
      </c>
      <c r="G16" s="260" t="e">
        <f aca="false">AVERAGE(G8:G15)</f>
        <v>#DIV/0!</v>
      </c>
      <c r="H16" s="260" t="e">
        <f aca="false">AVERAGE(H8:H15)</f>
        <v>#DIV/0!</v>
      </c>
      <c r="I16" s="260" t="e">
        <f aca="false">AVERAGE(I8:I15)</f>
        <v>#DIV/0!</v>
      </c>
      <c r="J16" s="260" t="e">
        <f aca="false">AVERAGE(J8:J15)</f>
        <v>#DIV/0!</v>
      </c>
      <c r="K16" s="260" t="e">
        <f aca="false">AVERAGE(K8:K15)</f>
        <v>#DIV/0!</v>
      </c>
      <c r="L16" s="260" t="e">
        <f aca="false">AVERAGE(L8:L15)</f>
        <v>#DIV/0!</v>
      </c>
      <c r="M16" s="357"/>
      <c r="N16" s="357"/>
      <c r="O16" s="357"/>
      <c r="P16" s="357"/>
    </row>
    <row r="17" customFormat="false" ht="15" hidden="false" customHeight="true" outlineLevel="0" collapsed="false">
      <c r="A17" s="0" t="s">
        <v>78</v>
      </c>
      <c r="E17" s="72" t="e">
        <f aca="false">(COUNTIF(E8:E15,5)+COUNTIF(E8:E15,4)+COUNTIF(E8:E15,3))/$Q$21*100</f>
        <v>#DIV/0!</v>
      </c>
      <c r="F17" s="72" t="e">
        <f aca="false">(COUNTIF(F8:F15,5)+COUNTIF(F8:F15,4)+COUNTIF(F8:F15,3))/$Q$21*100</f>
        <v>#DIV/0!</v>
      </c>
      <c r="G17" s="72" t="e">
        <f aca="false">(COUNTIF(G8:G15,5)+COUNTIF(G8:G15,4)+COUNTIF(G8:G15,3))/$Q$21*100</f>
        <v>#DIV/0!</v>
      </c>
      <c r="H17" s="72" t="e">
        <f aca="false">(COUNTIF(H8:H15,5)+COUNTIF(H8:H15,4)+COUNTIF(H8:H15,3))/$Q$21*100</f>
        <v>#DIV/0!</v>
      </c>
      <c r="I17" s="72" t="e">
        <f aca="false">(COUNTIF(I8:I15,5)+COUNTIF(I8:I15,4)+COUNTIF(I8:I15,3))/$Q$21*100</f>
        <v>#DIV/0!</v>
      </c>
      <c r="J17" s="72" t="e">
        <f aca="false">(COUNTIF(J8:J15,5)+COUNTIF(J8:J15,4)+COUNTIF(J8:J15,3))/$Q$21*100</f>
        <v>#DIV/0!</v>
      </c>
      <c r="K17" s="72" t="e">
        <f aca="false">(COUNTIF(K8:K15,5)+COUNTIF(K8:K15,4)+COUNTIF(K8:K15,3))/$Q$21*100</f>
        <v>#DIV/0!</v>
      </c>
      <c r="L17" s="72" t="e">
        <f aca="false">(COUNTIF(L8:L15,5)+COUNTIF(L8:L15,4)+COUNTIF(L8:L15,3))/$Q$21*100</f>
        <v>#DIV/0!</v>
      </c>
    </row>
    <row r="18" customFormat="false" ht="15" hidden="false" customHeight="true" outlineLevel="0" collapsed="false"/>
    <row r="19" customFormat="false" ht="15" hidden="false" customHeight="true" outlineLevel="0" collapsed="false">
      <c r="C19" s="50" t="s">
        <v>8</v>
      </c>
      <c r="D19" s="51" t="str">
        <f aca="false">IFERROR(AVERAGE(M8:M15),"")</f>
        <v/>
      </c>
      <c r="E19" s="51"/>
      <c r="F19" s="52" t="s">
        <v>9</v>
      </c>
      <c r="G19" s="52"/>
      <c r="H19" s="53" t="str">
        <f aca="false">IFERROR(COUNTIF(N8:N15,"Успевает")/Q21*100,"")</f>
        <v/>
      </c>
      <c r="I19" s="53"/>
      <c r="J19" s="53"/>
      <c r="K19" s="319" t="s">
        <v>79</v>
      </c>
      <c r="L19" s="319"/>
      <c r="M19" s="0" t="str">
        <f aca="false">IFERROR(AVERAGE(O8:O15),"")</f>
        <v/>
      </c>
      <c r="N19" s="158"/>
      <c r="O19" s="48"/>
      <c r="P19" s="48"/>
    </row>
    <row r="20" customFormat="false" ht="15" hidden="false" customHeight="true" outlineLevel="0" collapsed="false">
      <c r="B20" s="50"/>
      <c r="C20" s="50"/>
      <c r="D20" s="50"/>
      <c r="E20" s="50"/>
      <c r="F20" s="56"/>
      <c r="G20" s="56"/>
      <c r="H20" s="56"/>
      <c r="I20" s="56"/>
      <c r="J20" s="56"/>
      <c r="K20" s="56"/>
      <c r="L20" s="56"/>
      <c r="M20" s="56"/>
    </row>
    <row r="21" customFormat="false" ht="15" hidden="false" customHeight="true" outlineLevel="0" collapsed="false">
      <c r="A21" s="50"/>
      <c r="B21" s="61" t="s">
        <v>81</v>
      </c>
      <c r="C21" s="61"/>
      <c r="D21" s="61"/>
      <c r="E21" s="61"/>
      <c r="F21" s="61"/>
      <c r="G21" s="61"/>
      <c r="H21" s="61"/>
      <c r="I21" s="61"/>
      <c r="J21" s="61" t="s">
        <v>82</v>
      </c>
      <c r="K21" s="61"/>
      <c r="L21" s="61"/>
      <c r="M21" s="61"/>
      <c r="O21" s="57" t="s">
        <v>80</v>
      </c>
      <c r="P21" s="57"/>
      <c r="Q21" s="58" t="n">
        <f aca="false">SUM(Q22,Q23)</f>
        <v>0</v>
      </c>
    </row>
    <row r="22" customFormat="false" ht="15" hidden="false" customHeight="true" outlineLevel="0" collapsed="false">
      <c r="A22" s="50"/>
      <c r="B22" s="65" t="str">
        <f aca="false">$E$6</f>
        <v> Защита атмосферы от техногенных воздействий</v>
      </c>
      <c r="C22" s="65"/>
      <c r="D22" s="65"/>
      <c r="E22" s="65"/>
      <c r="F22" s="65"/>
      <c r="G22" s="65"/>
      <c r="H22" s="65"/>
      <c r="I22" s="65"/>
      <c r="J22" s="66"/>
      <c r="K22" s="66"/>
      <c r="L22" s="66"/>
      <c r="M22" s="66"/>
      <c r="O22" s="57" t="s">
        <v>83</v>
      </c>
      <c r="P22" s="57"/>
      <c r="Q22" s="58" t="n">
        <f aca="false">COUNTIF(N8:N15,"Успевает")</f>
        <v>0</v>
      </c>
    </row>
    <row r="23" customFormat="false" ht="15" hidden="false" customHeight="true" outlineLevel="0" collapsed="false">
      <c r="A23" s="50"/>
      <c r="B23" s="65" t="str">
        <f aca="false">$F$6</f>
        <v> Основы системного анализа</v>
      </c>
      <c r="C23" s="65"/>
      <c r="D23" s="65"/>
      <c r="E23" s="65"/>
      <c r="F23" s="65"/>
      <c r="G23" s="65"/>
      <c r="H23" s="65"/>
      <c r="I23" s="65"/>
      <c r="J23" s="66"/>
      <c r="K23" s="66"/>
      <c r="L23" s="66"/>
      <c r="M23" s="66"/>
      <c r="O23" s="98" t="s">
        <v>84</v>
      </c>
      <c r="P23" s="98"/>
      <c r="Q23" s="58" t="n">
        <f aca="false">COUNTIF(N8:N15,"Не успевает")</f>
        <v>0</v>
      </c>
    </row>
    <row r="24" customFormat="false" ht="15" hidden="false" customHeight="true" outlineLevel="0" collapsed="false">
      <c r="A24" s="50"/>
      <c r="B24" s="65" t="str">
        <f aca="false">$G$6</f>
        <v> Экологическая экспертиза</v>
      </c>
      <c r="C24" s="65"/>
      <c r="D24" s="65"/>
      <c r="E24" s="65"/>
      <c r="F24" s="65"/>
      <c r="G24" s="65"/>
      <c r="H24" s="65"/>
      <c r="I24" s="65"/>
      <c r="J24" s="66"/>
      <c r="K24" s="66"/>
      <c r="L24" s="66"/>
      <c r="M24" s="66"/>
      <c r="O24" s="98" t="s">
        <v>85</v>
      </c>
      <c r="P24" s="98"/>
      <c r="Q24" s="58" t="n">
        <f aca="false">COUNTIF(P8:P15,"Благодарность")</f>
        <v>0</v>
      </c>
    </row>
    <row r="25" customFormat="false" ht="15" hidden="false" customHeight="true" outlineLevel="0" collapsed="false">
      <c r="A25" s="50"/>
      <c r="B25" s="65" t="str">
        <f aca="false">$H$6</f>
        <v> Водоподготовка, водоотведение и обработка осадка сточных вод (к.п.)</v>
      </c>
      <c r="C25" s="65"/>
      <c r="D25" s="65"/>
      <c r="E25" s="65"/>
      <c r="F25" s="65"/>
      <c r="G25" s="65"/>
      <c r="H25" s="65"/>
      <c r="I25" s="65"/>
      <c r="J25" s="66"/>
      <c r="K25" s="66"/>
      <c r="L25" s="66"/>
      <c r="M25" s="66"/>
      <c r="O25" s="98" t="s">
        <v>86</v>
      </c>
      <c r="P25" s="98"/>
      <c r="Q25" s="58" t="n">
        <f aca="false">COUNTIF(P8:P15,"Нормально")</f>
        <v>0</v>
      </c>
    </row>
    <row r="26" customFormat="false" ht="15" hidden="false" customHeight="true" outlineLevel="0" collapsed="false">
      <c r="A26" s="50"/>
      <c r="B26" s="65" t="str">
        <f aca="false">$I$6</f>
        <v> Информационные технологии в моделировании и проектировании технических объектов</v>
      </c>
      <c r="C26" s="65"/>
      <c r="D26" s="65"/>
      <c r="E26" s="65"/>
      <c r="F26" s="65"/>
      <c r="G26" s="65"/>
      <c r="H26" s="65"/>
      <c r="I26" s="65"/>
      <c r="J26" s="66"/>
      <c r="K26" s="66"/>
      <c r="L26" s="66"/>
      <c r="M26" s="66"/>
      <c r="O26" s="98" t="s">
        <v>87</v>
      </c>
      <c r="P26" s="98"/>
      <c r="Q26" s="58" t="n">
        <f aca="false">COUNTIF(P8:P15,"Предупреждение")</f>
        <v>0</v>
      </c>
    </row>
    <row r="27" customFormat="false" ht="15" hidden="false" customHeight="true" outlineLevel="0" collapsed="false">
      <c r="A27" s="50"/>
      <c r="B27" s="65" t="str">
        <f aca="false">$J$6</f>
        <v> Педагогическая практик</v>
      </c>
      <c r="C27" s="65"/>
      <c r="D27" s="65"/>
      <c r="E27" s="65"/>
      <c r="F27" s="65"/>
      <c r="G27" s="65"/>
      <c r="H27" s="65"/>
      <c r="I27" s="65"/>
      <c r="J27" s="66"/>
      <c r="K27" s="66"/>
      <c r="L27" s="66"/>
      <c r="M27" s="66"/>
      <c r="O27" s="98" t="s">
        <v>88</v>
      </c>
      <c r="P27" s="98"/>
      <c r="Q27" s="58" t="n">
        <f aca="false">COUNTIF(P8:P15,"Выговор")</f>
        <v>0</v>
      </c>
    </row>
    <row r="28" customFormat="false" ht="15" hidden="false" customHeight="true" outlineLevel="0" collapsed="false">
      <c r="A28" s="50"/>
      <c r="B28" s="65" t="str">
        <f aca="false">$K$6</f>
        <v> Проектно-технологическая практика </v>
      </c>
      <c r="C28" s="65"/>
      <c r="D28" s="65"/>
      <c r="E28" s="65"/>
      <c r="F28" s="65"/>
      <c r="G28" s="65"/>
      <c r="H28" s="65"/>
      <c r="I28" s="65"/>
      <c r="J28" s="66"/>
      <c r="K28" s="66"/>
      <c r="L28" s="66"/>
      <c r="M28" s="66"/>
      <c r="N28" s="67"/>
      <c r="O28" s="937" t="s">
        <v>1575</v>
      </c>
      <c r="P28" s="937"/>
      <c r="Q28" s="443" t="n">
        <f aca="false">SUM(Q8:Q15)</f>
        <v>0</v>
      </c>
    </row>
    <row r="29" customFormat="false" ht="15" hidden="false" customHeight="true" outlineLevel="0" collapsed="false">
      <c r="A29" s="50"/>
      <c r="B29" s="65" t="str">
        <f aca="false">$L$6</f>
        <v> Специальная оценка условий труда</v>
      </c>
      <c r="C29" s="65"/>
      <c r="D29" s="65"/>
      <c r="E29" s="65"/>
      <c r="F29" s="65"/>
      <c r="G29" s="65"/>
      <c r="H29" s="65"/>
      <c r="I29" s="65"/>
      <c r="J29" s="66"/>
      <c r="K29" s="66"/>
      <c r="L29" s="66"/>
      <c r="M29" s="66"/>
      <c r="N29" s="67"/>
      <c r="O29" s="67"/>
      <c r="P29" s="67"/>
    </row>
    <row r="30" customFormat="false" ht="15" hidden="false" customHeight="true" outlineLevel="0" collapsed="false">
      <c r="A30" s="50"/>
      <c r="B30" s="139"/>
      <c r="C30" s="139"/>
      <c r="D30" s="139"/>
      <c r="E30" s="139"/>
      <c r="F30" s="139"/>
      <c r="G30" s="139"/>
      <c r="H30" s="139"/>
      <c r="I30" s="139"/>
      <c r="J30" s="139"/>
      <c r="K30" s="139"/>
      <c r="L30" s="139"/>
      <c r="N30" s="67"/>
      <c r="O30" s="67"/>
      <c r="P30" s="67"/>
    </row>
    <row r="31" customFormat="false" ht="15" hidden="false" customHeight="true" outlineLevel="0" collapsed="false">
      <c r="A31" s="50"/>
      <c r="B31" s="139"/>
      <c r="C31" s="139"/>
      <c r="D31" s="139"/>
      <c r="E31" s="139"/>
      <c r="F31" s="139"/>
      <c r="G31" s="139"/>
      <c r="H31" s="139"/>
      <c r="I31" s="139"/>
      <c r="J31" s="139"/>
      <c r="K31" s="139"/>
      <c r="L31" s="139"/>
      <c r="N31" s="48"/>
    </row>
    <row r="32" customFormat="false" ht="15" hidden="false" customHeight="true" outlineLevel="0" collapsed="false">
      <c r="A32" s="50"/>
      <c r="B32" s="73" t="s">
        <v>405</v>
      </c>
      <c r="C32" s="327" t="s">
        <v>3316</v>
      </c>
      <c r="D32" s="327"/>
      <c r="E32" s="327"/>
      <c r="F32" s="327"/>
      <c r="G32" s="52" t="s">
        <v>407</v>
      </c>
      <c r="H32" s="300" t="s">
        <v>3290</v>
      </c>
      <c r="I32" s="300"/>
      <c r="J32" s="300"/>
      <c r="K32" s="52"/>
      <c r="L32" s="52"/>
      <c r="N32" s="48"/>
      <c r="O32" s="48"/>
      <c r="P32" s="48"/>
    </row>
    <row r="33" customFormat="false" ht="15" hidden="false" customHeight="true" outlineLevel="0" collapsed="false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N33" s="48"/>
    </row>
    <row r="34" customFormat="false" ht="15" hidden="false" customHeight="true" outlineLevel="0" collapsed="false">
      <c r="A34" s="50"/>
      <c r="B34" s="50" t="s">
        <v>93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N34" s="48"/>
    </row>
    <row r="35" customFormat="false" ht="15" hidden="false" customHeight="true" outlineLevel="0" collapsed="false">
      <c r="A35" s="50"/>
      <c r="B35" s="50" t="s">
        <v>94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N35" s="48"/>
    </row>
    <row r="36" customFormat="false" ht="15" hidden="false" customHeight="true" outlineLevel="0" collapsed="false">
      <c r="A36" s="50"/>
      <c r="B36" s="50" t="s">
        <v>95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N36" s="48"/>
    </row>
    <row r="37" customFormat="false" ht="15" hidden="false" customHeight="true" outlineLevel="0" collapsed="false">
      <c r="A37" s="50"/>
      <c r="B37" s="50" t="s">
        <v>96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N37" s="48"/>
    </row>
    <row r="38" customFormat="false" ht="15" hidden="false" customHeight="true" outlineLevel="0" collapsed="false">
      <c r="A38" s="50"/>
      <c r="B38" s="50" t="s">
        <v>97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N38" s="48"/>
    </row>
    <row r="39" customFormat="false" ht="15" hidden="false" customHeight="true" outlineLevel="0" collapsed="false">
      <c r="A39" s="50"/>
      <c r="B39" s="50" t="s">
        <v>98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N39" s="48"/>
    </row>
    <row r="40" customFormat="false" ht="15" hidden="false" customHeight="true" outlineLevel="0" collapsed="false">
      <c r="A40" s="50"/>
      <c r="B40" s="50" t="s">
        <v>99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N40" s="48"/>
    </row>
    <row r="41" customFormat="false" ht="15" hidden="false" customHeight="true" outlineLevel="0" collapsed="false"/>
    <row r="42" customFormat="false" ht="15.75" hidden="false" customHeight="true" outlineLevel="0" collapsed="false"/>
    <row r="43" customFormat="false" ht="15.75" hidden="false" customHeight="true" outlineLevel="0" collapsed="false"/>
    <row r="44" customFormat="false" ht="15.75" hidden="false" customHeight="true" outlineLevel="0" collapsed="false"/>
    <row r="45" customFormat="false" ht="15.75" hidden="false" customHeight="true" outlineLevel="0" collapsed="false"/>
    <row r="46" customFormat="false" ht="15.75" hidden="false" customHeight="true" outlineLevel="0" collapsed="false"/>
    <row r="47" customFormat="false" ht="15.75" hidden="false" customHeight="true" outlineLevel="0" collapsed="false"/>
    <row r="48" customFormat="false" ht="15.75" hidden="false" customHeight="true" outlineLevel="0" collapsed="false"/>
    <row r="49" customFormat="false" ht="15.75" hidden="false" customHeight="true" outlineLevel="0" collapsed="false"/>
    <row r="50" customFormat="false" ht="15.75" hidden="false" customHeight="true" outlineLevel="0" collapsed="false"/>
    <row r="51" customFormat="false" ht="15.75" hidden="false" customHeight="true" outlineLevel="0" collapsed="false"/>
    <row r="52" customFormat="false" ht="15.75" hidden="false" customHeight="true" outlineLevel="0" collapsed="false"/>
    <row r="53" customFormat="false" ht="15.75" hidden="false" customHeight="true" outlineLevel="0" collapsed="false"/>
    <row r="54" customFormat="false" ht="15.75" hidden="false" customHeight="true" outlineLevel="0" collapsed="false"/>
    <row r="55" customFormat="false" ht="15.75" hidden="false" customHeight="true" outlineLevel="0" collapsed="false"/>
    <row r="56" customFormat="false" ht="15.75" hidden="false" customHeight="true" outlineLevel="0" collapsed="false"/>
    <row r="57" customFormat="false" ht="15.75" hidden="false" customHeight="true" outlineLevel="0" collapsed="false"/>
  </sheetData>
  <mergeCells count="40">
    <mergeCell ref="F1:K1"/>
    <mergeCell ref="A5:A7"/>
    <mergeCell ref="B5:B7"/>
    <mergeCell ref="C5:C7"/>
    <mergeCell ref="D5:D7"/>
    <mergeCell ref="E5:G5"/>
    <mergeCell ref="H5:L5"/>
    <mergeCell ref="M5:M7"/>
    <mergeCell ref="N5:N7"/>
    <mergeCell ref="O5:O7"/>
    <mergeCell ref="P5:P7"/>
    <mergeCell ref="Q5:Q7"/>
    <mergeCell ref="A16:C16"/>
    <mergeCell ref="K19:L19"/>
    <mergeCell ref="B21:I21"/>
    <mergeCell ref="J21:M21"/>
    <mergeCell ref="O21:P21"/>
    <mergeCell ref="B22:I22"/>
    <mergeCell ref="J22:M22"/>
    <mergeCell ref="O22:P22"/>
    <mergeCell ref="B23:I23"/>
    <mergeCell ref="J23:M23"/>
    <mergeCell ref="O23:P23"/>
    <mergeCell ref="B24:I24"/>
    <mergeCell ref="J24:M24"/>
    <mergeCell ref="O24:P24"/>
    <mergeCell ref="B25:I25"/>
    <mergeCell ref="J25:M25"/>
    <mergeCell ref="O25:P25"/>
    <mergeCell ref="B26:I26"/>
    <mergeCell ref="J26:M26"/>
    <mergeCell ref="O26:P26"/>
    <mergeCell ref="B27:I27"/>
    <mergeCell ref="J27:M27"/>
    <mergeCell ref="O27:P27"/>
    <mergeCell ref="B28:I28"/>
    <mergeCell ref="J28:M28"/>
    <mergeCell ref="B29:I29"/>
    <mergeCell ref="J29:M29"/>
    <mergeCell ref="C32:F32"/>
  </mergeCells>
  <conditionalFormatting sqref="I8:J15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8:G15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9:F15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E15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H15 K8:L15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"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8">
    <cfRule type="colorScale" priority="9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M9:M15">
    <cfRule type="colorScale" priority="1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6:L16">
    <cfRule type="colorScale" priority="1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">
    <cfRule type="colorScale" priority="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F8">
    <cfRule type="colorScale" priority="1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62"/>
  <sheetViews>
    <sheetView showFormulas="false" showGridLines="true" showRowColHeaders="true" showZeros="true" rightToLeft="false" tabSelected="false" showOutlineSymbols="true" defaultGridColor="true" view="normal" topLeftCell="A6" colorId="64" zoomScale="140" zoomScaleNormal="140" zoomScalePageLayoutView="100" workbookViewId="0">
      <selection pane="topLeft" activeCell="C22" activeCellId="0" sqref="C22"/>
    </sheetView>
  </sheetViews>
  <sheetFormatPr defaultColWidth="9.1484375" defaultRowHeight="15" zeroHeight="false" outlineLevelRow="0" outlineLevelCol="0"/>
  <cols>
    <col collapsed="false" customWidth="true" hidden="false" outlineLevel="0" max="1" min="1" style="0" width="6"/>
    <col collapsed="false" customWidth="true" hidden="false" outlineLevel="0" max="3" min="3" style="0" width="17.71"/>
    <col collapsed="false" customWidth="true" hidden="false" outlineLevel="0" max="11" min="11" style="0" width="12"/>
    <col collapsed="false" customWidth="true" hidden="false" outlineLevel="0" max="12" min="12" style="0" width="11.29"/>
    <col collapsed="false" customWidth="true" hidden="false" outlineLevel="0" max="15" min="15" style="0" width="10.85"/>
    <col collapsed="false" customWidth="true" hidden="false" outlineLevel="0" max="16" min="16" style="0" width="10.14"/>
    <col collapsed="false" customWidth="true" hidden="false" outlineLevel="0" max="17" min="17" style="0" width="14.71"/>
    <col collapsed="false" customWidth="true" hidden="false" outlineLevel="0" max="18" min="18" style="0" width="12.57"/>
    <col collapsed="false" customWidth="true" hidden="false" outlineLevel="0" max="19" min="19" style="0" width="4.14"/>
    <col collapsed="false" customWidth="true" hidden="false" outlineLevel="0" max="20" min="20" style="0" width="4.42"/>
    <col collapsed="false" customWidth="true" hidden="false" outlineLevel="0" max="21" min="21" style="0" width="4"/>
  </cols>
  <sheetData>
    <row r="1" customFormat="false" ht="19.7" hidden="false" customHeight="false" outlineLevel="0" collapsed="false">
      <c r="E1" s="1" t="s">
        <v>0</v>
      </c>
      <c r="F1" s="1"/>
      <c r="G1" s="1"/>
      <c r="H1" s="1"/>
      <c r="I1" s="2" t="n">
        <f aca="false">set!B1</f>
        <v>2</v>
      </c>
      <c r="J1" s="3"/>
    </row>
    <row r="2" customFormat="false" ht="15" hidden="false" customHeight="false" outlineLevel="0" collapsed="false">
      <c r="H2" s="4"/>
      <c r="K2" s="756"/>
      <c r="L2" s="756" t="s">
        <v>1</v>
      </c>
      <c r="M2" s="756"/>
      <c r="N2" s="756"/>
      <c r="O2" s="938" t="n">
        <f aca="false">set!B4</f>
        <v>45608</v>
      </c>
      <c r="P2" s="146"/>
      <c r="Q2" s="72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ИУК11-11Б факультета ИУК МГТУ им. Н.Э. Баумана"</f>
        <v>Успеваемость студентов за 1 семестр 24/25 учебного года по группе ИУК11-11Б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</row>
    <row r="4" customFormat="false" ht="15" hidden="false" customHeight="false" outlineLevel="0" collapsed="false">
      <c r="B4" s="7"/>
      <c r="C4" s="7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/>
      <c r="I5" s="11" t="s">
        <v>7</v>
      </c>
      <c r="J5" s="11"/>
      <c r="K5" s="11"/>
      <c r="L5" s="11"/>
      <c r="M5" s="11"/>
      <c r="N5" s="391" t="s">
        <v>8</v>
      </c>
      <c r="O5" s="392" t="s">
        <v>9</v>
      </c>
      <c r="P5" s="392" t="s">
        <v>10</v>
      </c>
      <c r="Q5" s="14" t="s">
        <v>11</v>
      </c>
      <c r="R5" s="600" t="s">
        <v>1575</v>
      </c>
    </row>
    <row r="6" customFormat="false" ht="15" hidden="false" customHeight="false" outlineLevel="0" collapsed="false">
      <c r="A6" s="8"/>
      <c r="B6" s="8"/>
      <c r="C6" s="8"/>
      <c r="D6" s="9"/>
      <c r="E6" s="339" t="s">
        <v>542</v>
      </c>
      <c r="F6" s="340" t="s">
        <v>1129</v>
      </c>
      <c r="G6" s="340" t="s">
        <v>1130</v>
      </c>
      <c r="H6" s="342" t="s">
        <v>1131</v>
      </c>
      <c r="I6" s="405" t="s">
        <v>3317</v>
      </c>
      <c r="J6" s="340" t="s">
        <v>17</v>
      </c>
      <c r="K6" s="340" t="s">
        <v>18</v>
      </c>
      <c r="L6" s="340" t="s">
        <v>20</v>
      </c>
      <c r="M6" s="342" t="s">
        <v>147</v>
      </c>
      <c r="N6" s="391"/>
      <c r="O6" s="392"/>
      <c r="P6" s="392"/>
      <c r="Q6" s="14"/>
      <c r="R6" s="600"/>
    </row>
    <row r="7" customFormat="false" ht="17.9" hidden="false" customHeight="false" outlineLevel="0" collapsed="false">
      <c r="A7" s="8"/>
      <c r="B7" s="8"/>
      <c r="C7" s="8"/>
      <c r="D7" s="9"/>
      <c r="E7" s="343" t="s">
        <v>22</v>
      </c>
      <c r="F7" s="344" t="s">
        <v>23</v>
      </c>
      <c r="G7" s="344" t="s">
        <v>24</v>
      </c>
      <c r="H7" s="346" t="s">
        <v>25</v>
      </c>
      <c r="I7" s="445" t="s">
        <v>150</v>
      </c>
      <c r="J7" s="366" t="s">
        <v>26</v>
      </c>
      <c r="K7" s="366" t="s">
        <v>27</v>
      </c>
      <c r="L7" s="366" t="s">
        <v>28</v>
      </c>
      <c r="M7" s="406" t="s">
        <v>30</v>
      </c>
      <c r="N7" s="391"/>
      <c r="O7" s="392"/>
      <c r="P7" s="392"/>
      <c r="Q7" s="14"/>
      <c r="R7" s="600"/>
    </row>
    <row r="8" customFormat="false" ht="15" hidden="false" customHeight="true" outlineLevel="0" collapsed="false">
      <c r="A8" s="25" t="n">
        <v>1</v>
      </c>
      <c r="B8" s="25" t="s">
        <v>3318</v>
      </c>
      <c r="C8" s="25" t="s">
        <v>3319</v>
      </c>
      <c r="D8" s="302"/>
      <c r="E8" s="81"/>
      <c r="F8" s="82"/>
      <c r="G8" s="82"/>
      <c r="H8" s="83"/>
      <c r="I8" s="78"/>
      <c r="J8" s="79"/>
      <c r="K8" s="79"/>
      <c r="L8" s="79"/>
      <c r="M8" s="80"/>
      <c r="N8" s="33" t="str">
        <f aca="false">IFERROR(AVERAGE(E8:M8),"")</f>
        <v/>
      </c>
      <c r="O8" s="84" t="str">
        <f aca="false">IF(E8&lt;&gt;"",IF(COUNTIF(E8:M8,"&lt;3"),"Не успевает","Успевает"),"")</f>
        <v/>
      </c>
      <c r="P8" s="241" t="str">
        <f aca="false">IF(D8&lt;&gt;"",(30*(set!B$5)-D8)/(30*(set!B$5))*100,"")</f>
        <v/>
      </c>
      <c r="Q8" s="77" t="str">
        <f aca="false" t="array" ref="Q8:Q8">IF(E8&lt;&gt;"",IF(N8&lt;1.85,"Выговор",IF(N8=1.85,"Выговор",IF(AND(N8&gt;1.85,N8&lt;3),"Предупреждение",IF(AND(N8&gt;3,N8&lt;4.65),"Нормально",IF(AND(N8&gt;4.65,N8&lt;5.1,E8:M8&gt;=4),"Благодарность","Нормально"))))),"")</f>
        <v/>
      </c>
      <c r="R8" s="36" t="n">
        <f aca="false">COUNTIF(E8:M8,2)+COUNTIF(E8:M8,1)+COUNTIF(E8:M8,0)</f>
        <v>0</v>
      </c>
    </row>
    <row r="9" customFormat="false" ht="15" hidden="false" customHeight="true" outlineLevel="0" collapsed="false">
      <c r="A9" s="37" t="n">
        <v>2</v>
      </c>
      <c r="B9" s="37" t="s">
        <v>3320</v>
      </c>
      <c r="C9" s="37" t="s">
        <v>3321</v>
      </c>
      <c r="D9" s="302"/>
      <c r="E9" s="81"/>
      <c r="F9" s="82"/>
      <c r="G9" s="82"/>
      <c r="H9" s="83"/>
      <c r="I9" s="86"/>
      <c r="J9" s="87"/>
      <c r="K9" s="87"/>
      <c r="L9" s="87"/>
      <c r="M9" s="89"/>
      <c r="N9" s="33" t="str">
        <f aca="false">IFERROR(AVERAGE(E9:M9),"")</f>
        <v/>
      </c>
      <c r="O9" s="84" t="str">
        <f aca="false">IF(E9&lt;&gt;"",IF(COUNTIF(E9:M9,"&lt;3"),"Не успевает","Успевает"),"")</f>
        <v/>
      </c>
      <c r="P9" s="241" t="str">
        <f aca="false">IF(D9&lt;&gt;"",(30*(set!B$5)-D9)/(30*(set!B$5))*100,"")</f>
        <v/>
      </c>
      <c r="Q9" s="85" t="str">
        <f aca="false" t="array" ref="Q9:Q9">IF(E9&lt;&gt;"",IF(N9&lt;1.85,"Выговор",IF(N9=1.85,"Выговор",IF(AND(N9&gt;1.85,N9&lt;3),"Предупреждение",IF(AND(N9&gt;3,N9&lt;4.65),"Нормально",IF(AND(N9&gt;4.65,N9&lt;5.1,E9:M9&gt;=4),"Благодарность","Нормально"))))),"")</f>
        <v/>
      </c>
      <c r="R9" s="118" t="n">
        <f aca="false">COUNTIF(E9:M9,2)+COUNTIF(E9:M9,1)+COUNTIF(E9:M9,0)</f>
        <v>0</v>
      </c>
    </row>
    <row r="10" s="45" customFormat="true" ht="15" hidden="false" customHeight="true" outlineLevel="0" collapsed="false">
      <c r="A10" s="37" t="n">
        <v>3</v>
      </c>
      <c r="B10" s="37" t="s">
        <v>3322</v>
      </c>
      <c r="C10" s="37" t="s">
        <v>3323</v>
      </c>
      <c r="D10" s="302"/>
      <c r="E10" s="81"/>
      <c r="F10" s="82"/>
      <c r="G10" s="82"/>
      <c r="H10" s="83"/>
      <c r="I10" s="86"/>
      <c r="J10" s="87"/>
      <c r="K10" s="87"/>
      <c r="L10" s="87"/>
      <c r="M10" s="89"/>
      <c r="N10" s="33" t="str">
        <f aca="false">IFERROR(AVERAGE(E10:M10),"")</f>
        <v/>
      </c>
      <c r="O10" s="84" t="str">
        <f aca="false">IF(E10&lt;&gt;"",IF(COUNTIF(E10:M10,"&lt;3"),"Не успевает","Успевает"),"")</f>
        <v/>
      </c>
      <c r="P10" s="241" t="str">
        <f aca="false">IF(D10&lt;&gt;"",(30*(set!B$5)-D10)/(30*(set!B$5))*100,"")</f>
        <v/>
      </c>
      <c r="Q10" s="85" t="str">
        <f aca="false" t="array" ref="Q10:Q10">IF(E10&lt;&gt;"",IF(N10&lt;1.85,"Выговор",IF(N10=1.85,"Выговор",IF(AND(N10&gt;1.85,N10&lt;3),"Предупреждение",IF(AND(N10&gt;3,N10&lt;4.65),"Нормально",IF(AND(N10&gt;4.65,N10&lt;5.1,E10:M10&gt;=4),"Благодарность","Нормально"))))),"")</f>
        <v/>
      </c>
      <c r="R10" s="118" t="n">
        <f aca="false">COUNTIF(E10:M10,2)+COUNTIF(E10:M10,1)+COUNTIF(E10:M10,0)</f>
        <v>0</v>
      </c>
    </row>
    <row r="11" s="45" customFormat="true" ht="15" hidden="false" customHeight="true" outlineLevel="0" collapsed="false">
      <c r="A11" s="37" t="n">
        <v>4</v>
      </c>
      <c r="B11" s="37" t="s">
        <v>3324</v>
      </c>
      <c r="C11" s="37" t="s">
        <v>3325</v>
      </c>
      <c r="D11" s="302"/>
      <c r="E11" s="81"/>
      <c r="F11" s="82"/>
      <c r="G11" s="82"/>
      <c r="H11" s="83"/>
      <c r="I11" s="86"/>
      <c r="J11" s="87"/>
      <c r="K11" s="87"/>
      <c r="L11" s="87"/>
      <c r="M11" s="89"/>
      <c r="N11" s="33" t="str">
        <f aca="false">IFERROR(AVERAGE(E11:M11),"")</f>
        <v/>
      </c>
      <c r="O11" s="84" t="str">
        <f aca="false">IF(E11&lt;&gt;"",IF(COUNTIF(E11:M11,"&lt;3"),"Не успевает","Успевает"),"")</f>
        <v/>
      </c>
      <c r="P11" s="241" t="str">
        <f aca="false">IF(D11&lt;&gt;"",(30*(set!B$5)-D11)/(30*(set!B$5))*100,"")</f>
        <v/>
      </c>
      <c r="Q11" s="85" t="str">
        <f aca="false" t="array" ref="Q11:Q11">IF(E11&lt;&gt;"",IF(N11&lt;1.85,"Выговор",IF(N11=1.85,"Выговор",IF(AND(N11&gt;1.85,N11&lt;3),"Предупреждение",IF(AND(N11&gt;3,N11&lt;4.65),"Нормально",IF(AND(N11&gt;4.65,N11&lt;5.1,E11:M11&gt;=4),"Благодарность","Нормально"))))),"")</f>
        <v/>
      </c>
      <c r="R11" s="118" t="n">
        <f aca="false">COUNTIF(E11:M11,2)+COUNTIF(E11:M11,1)+COUNTIF(E11:M11,0)</f>
        <v>0</v>
      </c>
    </row>
    <row r="12" s="45" customFormat="true" ht="15" hidden="false" customHeight="true" outlineLevel="0" collapsed="false">
      <c r="A12" s="37" t="n">
        <v>5</v>
      </c>
      <c r="B12" s="37" t="s">
        <v>3326</v>
      </c>
      <c r="C12" s="37" t="s">
        <v>3327</v>
      </c>
      <c r="D12" s="302"/>
      <c r="E12" s="81"/>
      <c r="F12" s="82"/>
      <c r="G12" s="82"/>
      <c r="H12" s="83"/>
      <c r="I12" s="86"/>
      <c r="J12" s="87"/>
      <c r="K12" s="87"/>
      <c r="L12" s="87"/>
      <c r="M12" s="89"/>
      <c r="N12" s="33" t="str">
        <f aca="false">IFERROR(AVERAGE(E12:M12),"")</f>
        <v/>
      </c>
      <c r="O12" s="84" t="str">
        <f aca="false">IF(E12&lt;&gt;"",IF(COUNTIF(E12:M12,"&lt;3"),"Не успевает","Успевает"),"")</f>
        <v/>
      </c>
      <c r="P12" s="241" t="str">
        <f aca="false">IF(D12&lt;&gt;"",(30*(set!B$5)-D12)/(30*(set!B$5))*100,"")</f>
        <v/>
      </c>
      <c r="Q12" s="85" t="str">
        <f aca="false" t="array" ref="Q12:Q12">IF(E12&lt;&gt;"",IF(N12&lt;1.85,"Выговор",IF(N12=1.85,"Выговор",IF(AND(N12&gt;1.85,N12&lt;3),"Предупреждение",IF(AND(N12&gt;3,N12&lt;4.65),"Нормально",IF(AND(N12&gt;4.65,N12&lt;5.1,E12:M12&gt;=4),"Благодарность","Нормально"))))),"")</f>
        <v/>
      </c>
      <c r="R12" s="118" t="n">
        <f aca="false">COUNTIF(E12:M12,2)+COUNTIF(E12:M12,1)+COUNTIF(E12:M12,0)</f>
        <v>0</v>
      </c>
    </row>
    <row r="13" s="45" customFormat="true" ht="15" hidden="false" customHeight="true" outlineLevel="0" collapsed="false">
      <c r="A13" s="37" t="n">
        <v>6</v>
      </c>
      <c r="B13" s="37" t="s">
        <v>3328</v>
      </c>
      <c r="C13" s="37" t="s">
        <v>3329</v>
      </c>
      <c r="D13" s="302"/>
      <c r="E13" s="81"/>
      <c r="F13" s="82"/>
      <c r="G13" s="82"/>
      <c r="H13" s="83"/>
      <c r="I13" s="86"/>
      <c r="J13" s="87"/>
      <c r="K13" s="87"/>
      <c r="L13" s="87"/>
      <c r="M13" s="89"/>
      <c r="N13" s="33" t="str">
        <f aca="false">IFERROR(AVERAGE(E13:M13),"")</f>
        <v/>
      </c>
      <c r="O13" s="84" t="str">
        <f aca="false">IF(E13&lt;&gt;"",IF(COUNTIF(E13:M13,"&lt;3"),"Не успевает","Успевает"),"")</f>
        <v/>
      </c>
      <c r="P13" s="241" t="str">
        <f aca="false">IF(D13&lt;&gt;"",(30*(set!B$5)-D13)/(30*(set!B$5))*100,"")</f>
        <v/>
      </c>
      <c r="Q13" s="85" t="str">
        <f aca="false" t="array" ref="Q13:Q13">IF(E13&lt;&gt;"",IF(N13&lt;1.85,"Выговор",IF(N13=1.85,"Выговор",IF(AND(N13&gt;1.85,N13&lt;3),"Предупреждение",IF(AND(N13&gt;3,N13&lt;4.65),"Нормально",IF(AND(N13&gt;4.65,N13&lt;5.1,E13:M13&gt;=4),"Благодарность","Нормально"))))),"")</f>
        <v/>
      </c>
      <c r="R13" s="118" t="n">
        <f aca="false">COUNTIF(E13:M13,2)+COUNTIF(E13:M13,1)+COUNTIF(E13:M13,0)</f>
        <v>0</v>
      </c>
    </row>
    <row r="14" s="45" customFormat="true" ht="15" hidden="false" customHeight="true" outlineLevel="0" collapsed="false">
      <c r="A14" s="37" t="n">
        <v>7</v>
      </c>
      <c r="B14" s="37" t="s">
        <v>3330</v>
      </c>
      <c r="C14" s="37" t="s">
        <v>3331</v>
      </c>
      <c r="D14" s="302"/>
      <c r="E14" s="81"/>
      <c r="F14" s="82"/>
      <c r="G14" s="82"/>
      <c r="H14" s="83"/>
      <c r="I14" s="86"/>
      <c r="J14" s="87"/>
      <c r="K14" s="87"/>
      <c r="L14" s="87"/>
      <c r="M14" s="89"/>
      <c r="N14" s="33" t="str">
        <f aca="false">IFERROR(AVERAGE(E14:M14),"")</f>
        <v/>
      </c>
      <c r="O14" s="84" t="str">
        <f aca="false">IF(E14&lt;&gt;"",IF(COUNTIF(E14:M14,"&lt;3"),"Не успевает","Успевает"),"")</f>
        <v/>
      </c>
      <c r="P14" s="241" t="str">
        <f aca="false">IF(D14&lt;&gt;"",(30*(set!B$5)-D14)/(30*(set!B$5))*100,"")</f>
        <v/>
      </c>
      <c r="Q14" s="85" t="str">
        <f aca="false" t="array" ref="Q14:Q14">IF(E14&lt;&gt;"",IF(N14&lt;1.85,"Выговор",IF(N14=1.85,"Выговор",IF(AND(N14&gt;1.85,N14&lt;3),"Предупреждение",IF(AND(N14&gt;3,N14&lt;4.65),"Нормально",IF(AND(N14&gt;4.65,N14&lt;5.1,E14:M14&gt;=4),"Благодарность","Нормально"))))),"")</f>
        <v/>
      </c>
      <c r="R14" s="118" t="n">
        <f aca="false">COUNTIF(E14:M14,2)+COUNTIF(E14:M14,1)+COUNTIF(E14:M14,0)</f>
        <v>0</v>
      </c>
    </row>
    <row r="15" s="45" customFormat="true" ht="15" hidden="false" customHeight="true" outlineLevel="0" collapsed="false">
      <c r="A15" s="37" t="n">
        <v>8</v>
      </c>
      <c r="B15" s="37" t="s">
        <v>3332</v>
      </c>
      <c r="C15" s="37" t="s">
        <v>3333</v>
      </c>
      <c r="D15" s="302"/>
      <c r="E15" s="81"/>
      <c r="F15" s="82"/>
      <c r="G15" s="82"/>
      <c r="H15" s="83"/>
      <c r="I15" s="86"/>
      <c r="J15" s="87"/>
      <c r="K15" s="87"/>
      <c r="L15" s="87"/>
      <c r="M15" s="89"/>
      <c r="N15" s="33" t="str">
        <f aca="false">IFERROR(AVERAGE(E15:M15),"")</f>
        <v/>
      </c>
      <c r="O15" s="84" t="str">
        <f aca="false">IF(E15&lt;&gt;"",IF(COUNTIF(E15:M15,"&lt;3"),"Не успевает","Успевает"),"")</f>
        <v/>
      </c>
      <c r="P15" s="241" t="str">
        <f aca="false">IF(D15&lt;&gt;"",(30*(set!B$5)-D15)/(30*(set!B$5))*100,"")</f>
        <v/>
      </c>
      <c r="Q15" s="85" t="str">
        <f aca="false" t="array" ref="Q15:Q15">IF(E15&lt;&gt;"",IF(N15&lt;1.85,"Выговор",IF(N15=1.85,"Выговор",IF(AND(N15&gt;1.85,N15&lt;3),"Предупреждение",IF(AND(N15&gt;3,N15&lt;4.65),"Нормально",IF(AND(N15&gt;4.65,N15&lt;5.1,E15:M15&gt;=4),"Благодарность","Нормально"))))),"")</f>
        <v/>
      </c>
      <c r="R15" s="118" t="n">
        <f aca="false">COUNTIF(E15:M15,2)+COUNTIF(E15:M15,1)+COUNTIF(E15:M15,0)</f>
        <v>0</v>
      </c>
    </row>
    <row r="16" s="45" customFormat="true" ht="15" hidden="false" customHeight="true" outlineLevel="0" collapsed="false">
      <c r="A16" s="37" t="n">
        <v>9</v>
      </c>
      <c r="B16" s="37" t="s">
        <v>3334</v>
      </c>
      <c r="C16" s="37" t="s">
        <v>3335</v>
      </c>
      <c r="D16" s="302"/>
      <c r="E16" s="81"/>
      <c r="F16" s="82"/>
      <c r="G16" s="82"/>
      <c r="H16" s="83"/>
      <c r="I16" s="86"/>
      <c r="J16" s="87"/>
      <c r="K16" s="87"/>
      <c r="L16" s="87"/>
      <c r="M16" s="89"/>
      <c r="N16" s="33" t="str">
        <f aca="false">IFERROR(AVERAGE(E16:M16),"")</f>
        <v/>
      </c>
      <c r="O16" s="84" t="str">
        <f aca="false">IF(E16&lt;&gt;"",IF(COUNTIF(E16:M16,"&lt;3"),"Не успевает","Успевает"),"")</f>
        <v/>
      </c>
      <c r="P16" s="241" t="str">
        <f aca="false">IF(D16&lt;&gt;"",(30*(set!B$5)-D16)/(30*(set!B$5))*100,"")</f>
        <v/>
      </c>
      <c r="Q16" s="85" t="str">
        <f aca="false" t="array" ref="Q16:Q16">IF(E16&lt;&gt;"",IF(N16&lt;1.85,"Выговор",IF(N16=1.85,"Выговор",IF(AND(N16&gt;1.85,N16&lt;3),"Предупреждение",IF(AND(N16&gt;3,N16&lt;4.65),"Нормально",IF(AND(N16&gt;4.65,N16&lt;5.1,E16:M16&gt;=4),"Благодарность","Нормально"))))),"")</f>
        <v/>
      </c>
      <c r="R16" s="118" t="n">
        <f aca="false">COUNTIF(E16:M16,2)+COUNTIF(E16:M16,1)+COUNTIF(E16:M16,0)</f>
        <v>0</v>
      </c>
    </row>
    <row r="17" s="45" customFormat="true" ht="15" hidden="false" customHeight="true" outlineLevel="0" collapsed="false">
      <c r="A17" s="37" t="n">
        <v>10</v>
      </c>
      <c r="B17" s="37" t="s">
        <v>3336</v>
      </c>
      <c r="C17" s="37" t="s">
        <v>3337</v>
      </c>
      <c r="D17" s="302"/>
      <c r="E17" s="81"/>
      <c r="F17" s="82"/>
      <c r="G17" s="82"/>
      <c r="H17" s="83"/>
      <c r="I17" s="86"/>
      <c r="J17" s="87"/>
      <c r="K17" s="87"/>
      <c r="L17" s="87"/>
      <c r="M17" s="89"/>
      <c r="N17" s="33" t="str">
        <f aca="false">IFERROR(AVERAGE(E17:M17),"")</f>
        <v/>
      </c>
      <c r="O17" s="84" t="str">
        <f aca="false">IF(E17&lt;&gt;"",IF(COUNTIF(E17:M17,"&lt;3"),"Не успевает","Успевает"),"")</f>
        <v/>
      </c>
      <c r="P17" s="241" t="str">
        <f aca="false">IF(D17&lt;&gt;"",(30*(set!B$5)-D17)/(30*(set!B$5))*100,"")</f>
        <v/>
      </c>
      <c r="Q17" s="85" t="str">
        <f aca="false" t="array" ref="Q17:Q17">IF(E17&lt;&gt;"",IF(N17&lt;1.85,"Выговор",IF(N17=1.85,"Выговор",IF(AND(N17&gt;1.85,N17&lt;3),"Предупреждение",IF(AND(N17&gt;3,N17&lt;4.65),"Нормально",IF(AND(N17&gt;4.65,N17&lt;5.1,E17:M17&gt;=4),"Благодарность","Нормально"))))),"")</f>
        <v/>
      </c>
      <c r="R17" s="118" t="n">
        <f aca="false">COUNTIF(E17:M17,2)+COUNTIF(E17:M17,1)+COUNTIF(E17:M17,0)</f>
        <v>0</v>
      </c>
    </row>
    <row r="18" s="45" customFormat="true" ht="15" hidden="false" customHeight="true" outlineLevel="0" collapsed="false">
      <c r="A18" s="37" t="n">
        <v>11</v>
      </c>
      <c r="B18" s="37" t="s">
        <v>3338</v>
      </c>
      <c r="C18" s="37" t="s">
        <v>3339</v>
      </c>
      <c r="D18" s="302"/>
      <c r="E18" s="81"/>
      <c r="F18" s="82"/>
      <c r="G18" s="82"/>
      <c r="H18" s="83"/>
      <c r="I18" s="86"/>
      <c r="J18" s="87"/>
      <c r="K18" s="87"/>
      <c r="L18" s="87"/>
      <c r="M18" s="89"/>
      <c r="N18" s="33" t="str">
        <f aca="false">IFERROR(AVERAGE(E18:M18),"")</f>
        <v/>
      </c>
      <c r="O18" s="84" t="str">
        <f aca="false">IF(E18&lt;&gt;"",IF(COUNTIF(E18:M18,"&lt;3"),"Не успевает","Успевает"),"")</f>
        <v/>
      </c>
      <c r="P18" s="241" t="str">
        <f aca="false">IF(D18&lt;&gt;"",(30*(set!B$5)-D18)/(30*(set!B$5))*100,"")</f>
        <v/>
      </c>
      <c r="Q18" s="85" t="str">
        <f aca="false" t="array" ref="Q18:Q18">IF(E18&lt;&gt;"",IF(N18&lt;1.85,"Выговор",IF(N18=1.85,"Выговор",IF(AND(N18&gt;1.85,N18&lt;3),"Предупреждение",IF(AND(N18&gt;3,N18&lt;4.65),"Нормально",IF(AND(N18&gt;4.65,N18&lt;5.1,E18:M18&gt;=4),"Благодарность","Нормально"))))),"")</f>
        <v/>
      </c>
      <c r="R18" s="118" t="n">
        <f aca="false">COUNTIF(E18:M18,2)+COUNTIF(E18:M18,1)+COUNTIF(E18:M18,0)</f>
        <v>0</v>
      </c>
    </row>
    <row r="19" s="45" customFormat="true" ht="15" hidden="false" customHeight="true" outlineLevel="0" collapsed="false">
      <c r="A19" s="37" t="n">
        <v>1</v>
      </c>
      <c r="B19" s="37" t="s">
        <v>3340</v>
      </c>
      <c r="C19" s="37" t="s">
        <v>3341</v>
      </c>
      <c r="D19" s="302"/>
      <c r="E19" s="81"/>
      <c r="F19" s="82"/>
      <c r="G19" s="82"/>
      <c r="H19" s="83"/>
      <c r="I19" s="86"/>
      <c r="J19" s="87"/>
      <c r="K19" s="87"/>
      <c r="L19" s="87"/>
      <c r="M19" s="89"/>
      <c r="N19" s="33" t="str">
        <f aca="false">IFERROR(AVERAGE(E19:M19),"")</f>
        <v/>
      </c>
      <c r="O19" s="84" t="str">
        <f aca="false">IF(E19&lt;&gt;"",IF(COUNTIF(E19:M19,"&lt;3"),"Не успевает","Успевает"),"")</f>
        <v/>
      </c>
      <c r="P19" s="241" t="str">
        <f aca="false">IF(D19&lt;&gt;"",(30*(set!B$5)-D19)/(30*(set!B$5))*100,"")</f>
        <v/>
      </c>
      <c r="Q19" s="85" t="str">
        <f aca="false" t="array" ref="Q19:Q19">IF(E19&lt;&gt;"",IF(N19&lt;1.85,"Выговор",IF(N19=1.85,"Выговор",IF(AND(N19&gt;1.85,N19&lt;3),"Предупреждение",IF(AND(N19&gt;3,N19&lt;4.65),"Нормально",IF(AND(N19&gt;4.65,N19&lt;5.1,E19:M19&gt;=4),"Благодарность","Нормально"))))),"")</f>
        <v/>
      </c>
      <c r="R19" s="118" t="n">
        <f aca="false">COUNTIF(E19:M19,2)+COUNTIF(E19:M19,1)+COUNTIF(E19:M19,0)</f>
        <v>0</v>
      </c>
    </row>
    <row r="20" s="45" customFormat="true" ht="15" hidden="false" customHeight="true" outlineLevel="0" collapsed="false">
      <c r="A20" s="37" t="n">
        <v>12</v>
      </c>
      <c r="B20" s="37" t="s">
        <v>3342</v>
      </c>
      <c r="C20" s="37" t="s">
        <v>3343</v>
      </c>
      <c r="D20" s="302"/>
      <c r="E20" s="81"/>
      <c r="F20" s="82"/>
      <c r="G20" s="82"/>
      <c r="H20" s="83"/>
      <c r="I20" s="86"/>
      <c r="J20" s="87"/>
      <c r="K20" s="87"/>
      <c r="L20" s="87"/>
      <c r="M20" s="89"/>
      <c r="N20" s="33" t="str">
        <f aca="false">IFERROR(AVERAGE(E20:M20),"")</f>
        <v/>
      </c>
      <c r="O20" s="84" t="str">
        <f aca="false">IF(E20&lt;&gt;"",IF(COUNTIF(E20:M20,"&lt;3"),"Не успевает","Успевает"),"")</f>
        <v/>
      </c>
      <c r="P20" s="241" t="str">
        <f aca="false">IF(D20&lt;&gt;"",(30*(set!B$5)-D20)/(30*(set!B$5))*100,"")</f>
        <v/>
      </c>
      <c r="Q20" s="85" t="str">
        <f aca="false" t="array" ref="Q20:Q20">IF(E20&lt;&gt;"",IF(N20&lt;1.85,"Выговор",IF(N20=1.85,"Выговор",IF(AND(N20&gt;1.85,N20&lt;3),"Предупреждение",IF(AND(N20&gt;3,N20&lt;4.65),"Нормально",IF(AND(N20&gt;4.65,N20&lt;5.1,E20:M20&gt;=4),"Благодарность","Нормально"))))),"")</f>
        <v/>
      </c>
      <c r="R20" s="118" t="n">
        <f aca="false">COUNTIF(E20:M20,2)+COUNTIF(E20:M20,1)+COUNTIF(E20:M20,0)</f>
        <v>0</v>
      </c>
    </row>
    <row r="21" s="45" customFormat="true" ht="15" hidden="false" customHeight="true" outlineLevel="0" collapsed="false">
      <c r="A21" s="37" t="n">
        <v>13</v>
      </c>
      <c r="B21" s="37" t="s">
        <v>3344</v>
      </c>
      <c r="C21" s="37" t="s">
        <v>3345</v>
      </c>
      <c r="D21" s="302"/>
      <c r="E21" s="81"/>
      <c r="F21" s="82"/>
      <c r="G21" s="82"/>
      <c r="H21" s="83"/>
      <c r="I21" s="86"/>
      <c r="J21" s="87"/>
      <c r="K21" s="87"/>
      <c r="L21" s="87"/>
      <c r="M21" s="89"/>
      <c r="N21" s="33" t="str">
        <f aca="false">IFERROR(AVERAGE(E21:M21),"")</f>
        <v/>
      </c>
      <c r="O21" s="84" t="str">
        <f aca="false">IF(E21&lt;&gt;"",IF(COUNTIF(E21:M21,"&lt;3"),"Не успевает","Успевает"),"")</f>
        <v/>
      </c>
      <c r="P21" s="241" t="str">
        <f aca="false">IF(D21&lt;&gt;"",(30*(set!B$5)-D21)/(30*(set!B$5))*100,"")</f>
        <v/>
      </c>
      <c r="Q21" s="85" t="str">
        <f aca="false" t="array" ref="Q21:Q21">IF(E21&lt;&gt;"",IF(N21&lt;1.85,"Выговор",IF(N21=1.85,"Выговор",IF(AND(N21&gt;1.85,N21&lt;3),"Предупреждение",IF(AND(N21&gt;3,N21&lt;4.65),"Нормально",IF(AND(N21&gt;4.65,N21&lt;5.1,E21:M21&gt;=4),"Благодарность","Нормально"))))),"")</f>
        <v/>
      </c>
      <c r="R21" s="118" t="n">
        <f aca="false">COUNTIF(E21:M21,2)+COUNTIF(E21:M21,1)+COUNTIF(E21:M21,0)</f>
        <v>0</v>
      </c>
    </row>
    <row r="22" s="45" customFormat="true" ht="15" hidden="false" customHeight="true" outlineLevel="0" collapsed="false">
      <c r="A22" s="37" t="n">
        <v>14</v>
      </c>
      <c r="B22" s="37" t="s">
        <v>3346</v>
      </c>
      <c r="C22" s="37" t="s">
        <v>3347</v>
      </c>
      <c r="D22" s="302"/>
      <c r="E22" s="81"/>
      <c r="F22" s="82"/>
      <c r="G22" s="82"/>
      <c r="H22" s="83"/>
      <c r="I22" s="86"/>
      <c r="J22" s="87"/>
      <c r="K22" s="87"/>
      <c r="L22" s="87"/>
      <c r="M22" s="89"/>
      <c r="N22" s="33" t="str">
        <f aca="false">IFERROR(AVERAGE(E22:M22),"")</f>
        <v/>
      </c>
      <c r="O22" s="84" t="str">
        <f aca="false">IF(E22&lt;&gt;"",IF(COUNTIF(E22:M22,"&lt;3"),"Не успевает","Успевает"),"")</f>
        <v/>
      </c>
      <c r="P22" s="241" t="str">
        <f aca="false">IF(D22&lt;&gt;"",(30*(set!B$5)-D22)/(30*(set!B$5))*100,"")</f>
        <v/>
      </c>
      <c r="Q22" s="85" t="str">
        <f aca="false" t="array" ref="Q22:Q22">IF(E22&lt;&gt;"",IF(N22&lt;1.85,"Выговор",IF(N22=1.85,"Выговор",IF(AND(N22&gt;1.85,N22&lt;3),"Предупреждение",IF(AND(N22&gt;3,N22&lt;4.65),"Нормально",IF(AND(N22&gt;4.65,N22&lt;5.1,E22:M22&gt;=4),"Благодарность","Нормально"))))),"")</f>
        <v/>
      </c>
      <c r="R22" s="118" t="n">
        <f aca="false">COUNTIF(E22:M22,2)+COUNTIF(E22:M22,1)+COUNTIF(E22:M22,0)</f>
        <v>0</v>
      </c>
    </row>
    <row r="23" s="45" customFormat="true" ht="15" hidden="false" customHeight="true" outlineLevel="0" collapsed="false">
      <c r="A23" s="37" t="n">
        <v>15</v>
      </c>
      <c r="B23" s="37" t="s">
        <v>3348</v>
      </c>
      <c r="C23" s="37" t="s">
        <v>3349</v>
      </c>
      <c r="D23" s="302"/>
      <c r="E23" s="81"/>
      <c r="F23" s="82"/>
      <c r="G23" s="82"/>
      <c r="H23" s="83"/>
      <c r="I23" s="86"/>
      <c r="J23" s="87"/>
      <c r="K23" s="87"/>
      <c r="L23" s="87"/>
      <c r="M23" s="89"/>
      <c r="N23" s="33" t="str">
        <f aca="false">IFERROR(AVERAGE(E23:M23),"")</f>
        <v/>
      </c>
      <c r="O23" s="84" t="str">
        <f aca="false">IF(E23&lt;&gt;"",IF(COUNTIF(E23:M23,"&lt;3"),"Не успевает","Успевает"),"")</f>
        <v/>
      </c>
      <c r="P23" s="241" t="str">
        <f aca="false">IF(D23&lt;&gt;"",(30*(set!B$5)-D23)/(30*(set!B$5))*100,"")</f>
        <v/>
      </c>
      <c r="Q23" s="85" t="str">
        <f aca="false" t="array" ref="Q23:Q23">IF(E23&lt;&gt;"",IF(N23&lt;1.85,"Выговор",IF(N23=1.85,"Выговор",IF(AND(N23&gt;1.85,N23&lt;3),"Предупреждение",IF(AND(N23&gt;3,N23&lt;4.65),"Нормально",IF(AND(N23&gt;4.65,N23&lt;5.1,E23:M23&gt;=4),"Благодарность","Нормально"))))),"")</f>
        <v/>
      </c>
      <c r="R23" s="118" t="n">
        <f aca="false">COUNTIF(E23:M23,2)+COUNTIF(E23:M23,1)+COUNTIF(E23:M23,0)</f>
        <v>0</v>
      </c>
    </row>
    <row r="24" s="45" customFormat="true" ht="15" hidden="false" customHeight="true" outlineLevel="0" collapsed="false">
      <c r="A24" s="37" t="n">
        <v>16</v>
      </c>
      <c r="B24" s="37" t="s">
        <v>3350</v>
      </c>
      <c r="C24" s="37" t="s">
        <v>3351</v>
      </c>
      <c r="D24" s="302"/>
      <c r="E24" s="81"/>
      <c r="F24" s="82"/>
      <c r="G24" s="82"/>
      <c r="H24" s="83"/>
      <c r="I24" s="86"/>
      <c r="J24" s="87"/>
      <c r="K24" s="87"/>
      <c r="L24" s="87"/>
      <c r="M24" s="89"/>
      <c r="N24" s="33" t="str">
        <f aca="false">IFERROR(AVERAGE(E24:M24),"")</f>
        <v/>
      </c>
      <c r="O24" s="84" t="str">
        <f aca="false">IF(E24&lt;&gt;"",IF(COUNTIF(E24:M24,"&lt;3"),"Не успевает","Успевает"),"")</f>
        <v/>
      </c>
      <c r="P24" s="241" t="str">
        <f aca="false">IF(D24&lt;&gt;"",(30*(set!B$5)-D24)/(30*(set!B$5))*100,"")</f>
        <v/>
      </c>
      <c r="Q24" s="85" t="str">
        <f aca="false" t="array" ref="Q24:Q24">IF(E24&lt;&gt;"",IF(N24&lt;1.85,"Выговор",IF(N24=1.85,"Выговор",IF(AND(N24&gt;1.85,N24&lt;3),"Предупреждение",IF(AND(N24&gt;3,N24&lt;4.65),"Нормально",IF(AND(N24&gt;4.65,N24&lt;5.1,E24:M24&gt;=4),"Благодарность","Нормально"))))),"")</f>
        <v/>
      </c>
      <c r="R24" s="118" t="n">
        <f aca="false">COUNTIF(E24:M24,2)+COUNTIF(E24:M24,1)+COUNTIF(E24:M24,0)</f>
        <v>0</v>
      </c>
    </row>
    <row r="25" s="45" customFormat="true" ht="15" hidden="false" customHeight="true" outlineLevel="0" collapsed="false">
      <c r="A25" s="37" t="n">
        <v>17</v>
      </c>
      <c r="B25" s="37" t="s">
        <v>3352</v>
      </c>
      <c r="C25" s="37" t="s">
        <v>3353</v>
      </c>
      <c r="D25" s="302"/>
      <c r="E25" s="81"/>
      <c r="F25" s="82"/>
      <c r="G25" s="82"/>
      <c r="H25" s="83"/>
      <c r="I25" s="86"/>
      <c r="J25" s="87"/>
      <c r="K25" s="87"/>
      <c r="L25" s="87"/>
      <c r="M25" s="89"/>
      <c r="N25" s="33" t="str">
        <f aca="false">IFERROR(AVERAGE(E25:M25),"")</f>
        <v/>
      </c>
      <c r="O25" s="84" t="str">
        <f aca="false">IF(E25&lt;&gt;"",IF(COUNTIF(E25:M25,"&lt;3"),"Не успевает","Успевает"),"")</f>
        <v/>
      </c>
      <c r="P25" s="241" t="str">
        <f aca="false">IF(D25&lt;&gt;"",(30*(set!B$5)-D25)/(30*(set!B$5))*100,"")</f>
        <v/>
      </c>
      <c r="Q25" s="85" t="str">
        <f aca="false" t="array" ref="Q25:Q25">IF(E25&lt;&gt;"",IF(N25&lt;1.85,"Выговор",IF(N25=1.85,"Выговор",IF(AND(N25&gt;1.85,N25&lt;3),"Предупреждение",IF(AND(N25&gt;3,N25&lt;4.65),"Нормально",IF(AND(N25&gt;4.65,N25&lt;5.1,E25:M25&gt;=4),"Благодарность","Нормально"))))),"")</f>
        <v/>
      </c>
      <c r="R25" s="118" t="n">
        <f aca="false">COUNTIF(E25:M25,2)+COUNTIF(E25:M25,1)+COUNTIF(E25:M25,0)</f>
        <v>0</v>
      </c>
    </row>
    <row r="26" s="45" customFormat="true" ht="15" hidden="false" customHeight="true" outlineLevel="0" collapsed="false">
      <c r="A26" s="37" t="n">
        <v>18</v>
      </c>
      <c r="B26" s="37" t="s">
        <v>3354</v>
      </c>
      <c r="C26" s="37" t="s">
        <v>3355</v>
      </c>
      <c r="D26" s="302"/>
      <c r="E26" s="81"/>
      <c r="F26" s="82"/>
      <c r="G26" s="82"/>
      <c r="H26" s="83"/>
      <c r="I26" s="86"/>
      <c r="J26" s="87"/>
      <c r="K26" s="87"/>
      <c r="L26" s="87"/>
      <c r="M26" s="89"/>
      <c r="N26" s="33" t="str">
        <f aca="false">IFERROR(AVERAGE(E26:M26),"")</f>
        <v/>
      </c>
      <c r="O26" s="84" t="str">
        <f aca="false">IF(E26&lt;&gt;"",IF(COUNTIF(E26:M26,"&lt;3"),"Не успевает","Успевает"),"")</f>
        <v/>
      </c>
      <c r="P26" s="241" t="str">
        <f aca="false">IF(D26&lt;&gt;"",(30*(set!B$5)-D26)/(30*(set!B$5))*100,"")</f>
        <v/>
      </c>
      <c r="Q26" s="85" t="str">
        <f aca="false" t="array" ref="Q26:Q26">IF(E26&lt;&gt;"",IF(N26&lt;1.85,"Выговор",IF(N26=1.85,"Выговор",IF(AND(N26&gt;1.85,N26&lt;3),"Предупреждение",IF(AND(N26&gt;3,N26&lt;4.65),"Нормально",IF(AND(N26&gt;4.65,N26&lt;5.1,E26:M26&gt;=4),"Благодарность","Нормально"))))),"")</f>
        <v/>
      </c>
      <c r="R26" s="118" t="n">
        <f aca="false">COUNTIF(E26:M26,2)+COUNTIF(E26:M26,1)+COUNTIF(E26:M26,0)</f>
        <v>0</v>
      </c>
    </row>
    <row r="27" s="45" customFormat="true" ht="15" hidden="false" customHeight="true" outlineLevel="0" collapsed="false">
      <c r="A27" s="37" t="n">
        <v>19</v>
      </c>
      <c r="B27" s="37" t="s">
        <v>3356</v>
      </c>
      <c r="C27" s="37" t="s">
        <v>3357</v>
      </c>
      <c r="D27" s="302"/>
      <c r="E27" s="81"/>
      <c r="F27" s="82"/>
      <c r="G27" s="82"/>
      <c r="H27" s="83"/>
      <c r="I27" s="86"/>
      <c r="J27" s="87"/>
      <c r="K27" s="87"/>
      <c r="L27" s="87"/>
      <c r="M27" s="89"/>
      <c r="N27" s="33" t="str">
        <f aca="false">IFERROR(AVERAGE(E27:M27),"")</f>
        <v/>
      </c>
      <c r="O27" s="84" t="str">
        <f aca="false">IF(E27&lt;&gt;"",IF(COUNTIF(E27:M27,"&lt;3"),"Не успевает","Успевает"),"")</f>
        <v/>
      </c>
      <c r="P27" s="241" t="str">
        <f aca="false">IF(D27&lt;&gt;"",(30*(set!B$5)-D27)/(30*(set!B$5))*100,"")</f>
        <v/>
      </c>
      <c r="Q27" s="85" t="str">
        <f aca="false" t="array" ref="Q27:Q27">IF(E27&lt;&gt;"",IF(N27&lt;1.85,"Выговор",IF(N27=1.85,"Выговор",IF(AND(N27&gt;1.85,N27&lt;3),"Предупреждение",IF(AND(N27&gt;3,N27&lt;4.65),"Нормально",IF(AND(N27&gt;4.65,N27&lt;5.1,E27:M27&gt;=4),"Благодарность","Нормально"))))),"")</f>
        <v/>
      </c>
      <c r="R27" s="118" t="n">
        <f aca="false">COUNTIF(E27:M27,2)+COUNTIF(E27:M27,1)+COUNTIF(E27:M27,0)</f>
        <v>0</v>
      </c>
    </row>
    <row r="28" s="45" customFormat="true" ht="15" hidden="false" customHeight="true" outlineLevel="0" collapsed="false">
      <c r="A28" s="37" t="n">
        <v>20</v>
      </c>
      <c r="B28" s="37" t="s">
        <v>3358</v>
      </c>
      <c r="C28" s="37" t="s">
        <v>3359</v>
      </c>
      <c r="D28" s="302"/>
      <c r="E28" s="81"/>
      <c r="F28" s="82"/>
      <c r="G28" s="82"/>
      <c r="H28" s="83"/>
      <c r="I28" s="86"/>
      <c r="J28" s="87"/>
      <c r="K28" s="87"/>
      <c r="L28" s="87"/>
      <c r="M28" s="89"/>
      <c r="N28" s="33" t="str">
        <f aca="false">IFERROR(AVERAGE(E28:M28),"")</f>
        <v/>
      </c>
      <c r="O28" s="84" t="str">
        <f aca="false">IF(E28&lt;&gt;"",IF(COUNTIF(E28:M28,"&lt;3"),"Не успевает","Успевает"),"")</f>
        <v/>
      </c>
      <c r="P28" s="241" t="str">
        <f aca="false">IF(D28&lt;&gt;"",(30*(set!B$5)-D28)/(30*(set!B$5))*100,"")</f>
        <v/>
      </c>
      <c r="Q28" s="85" t="str">
        <f aca="false" t="array" ref="Q28:Q28">IF(E28&lt;&gt;"",IF(N28&lt;1.85,"Выговор",IF(N28=1.85,"Выговор",IF(AND(N28&gt;1.85,N28&lt;3),"Предупреждение",IF(AND(N28&gt;3,N28&lt;4.65),"Нормально",IF(AND(N28&gt;4.65,N28&lt;5.1,E28:M28&gt;=4),"Благодарность","Нормально"))))),"")</f>
        <v/>
      </c>
      <c r="R28" s="118" t="n">
        <f aca="false">COUNTIF(E28:M28,2)+COUNTIF(E28:M28,1)+COUNTIF(E28:M28,0)</f>
        <v>0</v>
      </c>
    </row>
    <row r="29" s="45" customFormat="true" ht="15" hidden="false" customHeight="true" outlineLevel="0" collapsed="false">
      <c r="A29" s="37" t="n">
        <v>21</v>
      </c>
      <c r="B29" s="37" t="s">
        <v>3360</v>
      </c>
      <c r="C29" s="37" t="s">
        <v>3361</v>
      </c>
      <c r="D29" s="302"/>
      <c r="E29" s="81"/>
      <c r="F29" s="82"/>
      <c r="G29" s="82"/>
      <c r="H29" s="83"/>
      <c r="I29" s="86"/>
      <c r="J29" s="87"/>
      <c r="K29" s="87"/>
      <c r="L29" s="87"/>
      <c r="M29" s="89"/>
      <c r="N29" s="33" t="str">
        <f aca="false">IFERROR(AVERAGE(E29:M29),"")</f>
        <v/>
      </c>
      <c r="O29" s="84" t="str">
        <f aca="false">IF(E29&lt;&gt;"",IF(COUNTIF(E29:M29,"&lt;3"),"Не успевает","Успевает"),"")</f>
        <v/>
      </c>
      <c r="P29" s="241" t="str">
        <f aca="false">IF(D29&lt;&gt;"",(30*(set!B$5)-D29)/(30*(set!B$5))*100,"")</f>
        <v/>
      </c>
      <c r="Q29" s="85" t="str">
        <f aca="false" t="array" ref="Q29:Q29">IF(E29&lt;&gt;"",IF(N29&lt;1.85,"Выговор",IF(N29=1.85,"Выговор",IF(AND(N29&gt;1.85,N29&lt;3),"Предупреждение",IF(AND(N29&gt;3,N29&lt;4.65),"Нормально",IF(AND(N29&gt;4.65,N29&lt;5.1,E29:M29&gt;=4),"Благодарность","Нормально"))))),"")</f>
        <v/>
      </c>
      <c r="R29" s="118" t="n">
        <f aca="false">COUNTIF(E29:M29,2)+COUNTIF(E29:M29,1)+COUNTIF(E29:M29,0)</f>
        <v>0</v>
      </c>
    </row>
    <row r="30" s="45" customFormat="true" ht="15" hidden="false" customHeight="true" outlineLevel="0" collapsed="false">
      <c r="A30" s="37" t="n">
        <v>22</v>
      </c>
      <c r="B30" s="37" t="s">
        <v>3362</v>
      </c>
      <c r="C30" s="37" t="s">
        <v>3363</v>
      </c>
      <c r="D30" s="302"/>
      <c r="E30" s="81"/>
      <c r="F30" s="82"/>
      <c r="G30" s="82"/>
      <c r="H30" s="83"/>
      <c r="I30" s="86"/>
      <c r="J30" s="87"/>
      <c r="K30" s="87"/>
      <c r="L30" s="87"/>
      <c r="M30" s="89"/>
      <c r="N30" s="33" t="str">
        <f aca="false">IFERROR(AVERAGE(E30:M30),"")</f>
        <v/>
      </c>
      <c r="O30" s="84" t="str">
        <f aca="false">IF(E30&lt;&gt;"",IF(COUNTIF(E30:M30,"&lt;3"),"Не успевает","Успевает"),"")</f>
        <v/>
      </c>
      <c r="P30" s="241" t="str">
        <f aca="false">IF(D30&lt;&gt;"",(30*(set!B$5)-D30)/(30*(set!B$5))*100,"")</f>
        <v/>
      </c>
      <c r="Q30" s="85" t="str">
        <f aca="false" t="array" ref="Q30:Q30">IF(E30&lt;&gt;"",IF(N30&lt;1.85,"Выговор",IF(N30=1.85,"Выговор",IF(AND(N30&gt;1.85,N30&lt;3),"Предупреждение",IF(AND(N30&gt;3,N30&lt;4.65),"Нормально",IF(AND(N30&gt;4.65,N30&lt;5.1,E30:M30&gt;=4),"Благодарность","Нормально"))))),"")</f>
        <v/>
      </c>
      <c r="R30" s="118" t="n">
        <f aca="false">COUNTIF(E30:M30,2)+COUNTIF(E30:M30,1)+COUNTIF(E30:M30,0)</f>
        <v>0</v>
      </c>
    </row>
    <row r="31" s="45" customFormat="true" ht="15" hidden="false" customHeight="true" outlineLevel="0" collapsed="false">
      <c r="A31" s="37" t="n">
        <v>23</v>
      </c>
      <c r="B31" s="37" t="s">
        <v>3364</v>
      </c>
      <c r="C31" s="37" t="s">
        <v>3365</v>
      </c>
      <c r="D31" s="302"/>
      <c r="E31" s="81"/>
      <c r="F31" s="82"/>
      <c r="G31" s="82"/>
      <c r="H31" s="83"/>
      <c r="I31" s="86"/>
      <c r="J31" s="87"/>
      <c r="K31" s="87"/>
      <c r="L31" s="87"/>
      <c r="M31" s="89"/>
      <c r="N31" s="33" t="str">
        <f aca="false">IFERROR(AVERAGE(E31:M31),"")</f>
        <v/>
      </c>
      <c r="O31" s="84" t="str">
        <f aca="false">IF(E31&lt;&gt;"",IF(COUNTIF(E31:M31,"&lt;3"),"Не успевает","Успевает"),"")</f>
        <v/>
      </c>
      <c r="P31" s="241" t="str">
        <f aca="false">IF(D31&lt;&gt;"",(30*(set!B$5)-D31)/(30*(set!B$5))*100,"")</f>
        <v/>
      </c>
      <c r="Q31" s="85" t="str">
        <f aca="false" t="array" ref="Q31:Q31">IF(E31&lt;&gt;"",IF(N31&lt;1.85,"Выговор",IF(N31=1.85,"Выговор",IF(AND(N31&gt;1.85,N31&lt;3),"Предупреждение",IF(AND(N31&gt;3,N31&lt;4.65),"Нормально",IF(AND(N31&gt;4.65,N31&lt;5.1,E31:M31&gt;=4),"Благодарность","Нормально"))))),"")</f>
        <v/>
      </c>
      <c r="R31" s="118" t="n">
        <f aca="false">COUNTIF(E31:M31,2)+COUNTIF(E31:M31,1)+COUNTIF(E31:M31,0)</f>
        <v>0</v>
      </c>
    </row>
    <row r="32" s="45" customFormat="true" ht="15" hidden="false" customHeight="true" outlineLevel="0" collapsed="false">
      <c r="A32" s="37" t="n">
        <v>24</v>
      </c>
      <c r="B32" s="37" t="s">
        <v>3366</v>
      </c>
      <c r="C32" s="37" t="s">
        <v>3367</v>
      </c>
      <c r="D32" s="302"/>
      <c r="E32" s="81"/>
      <c r="F32" s="82"/>
      <c r="G32" s="82"/>
      <c r="H32" s="83"/>
      <c r="I32" s="86"/>
      <c r="J32" s="87"/>
      <c r="K32" s="87"/>
      <c r="L32" s="87"/>
      <c r="M32" s="89"/>
      <c r="N32" s="33" t="str">
        <f aca="false">IFERROR(AVERAGE(E32:M32),"")</f>
        <v/>
      </c>
      <c r="O32" s="84" t="str">
        <f aca="false">IF(E32&lt;&gt;"",IF(COUNTIF(E32:M32,"&lt;3"),"Не успевает","Успевает"),"")</f>
        <v/>
      </c>
      <c r="P32" s="241" t="str">
        <f aca="false">IF(D32&lt;&gt;"",(30*(set!B$5)-D32)/(30*(set!B$5))*100,"")</f>
        <v/>
      </c>
      <c r="Q32" s="85" t="str">
        <f aca="false" t="array" ref="Q32:Q32">IF(E32&lt;&gt;"",IF(N32&lt;1.85,"Выговор",IF(N32=1.85,"Выговор",IF(AND(N32&gt;1.85,N32&lt;3),"Предупреждение",IF(AND(N32&gt;3,N32&lt;4.65),"Нормально",IF(AND(N32&gt;4.65,N32&lt;5.1,E32:M32&gt;=4),"Благодарность","Нормально"))))),"")</f>
        <v/>
      </c>
      <c r="R32" s="118" t="n">
        <f aca="false">COUNTIF(E32:M32,2)+COUNTIF(E32:M32,1)+COUNTIF(E32:M32,0)</f>
        <v>0</v>
      </c>
    </row>
    <row r="33" customFormat="false" ht="15" hidden="false" customHeight="true" outlineLevel="0" collapsed="false">
      <c r="A33" s="37" t="n">
        <v>25</v>
      </c>
      <c r="B33" s="37" t="s">
        <v>3368</v>
      </c>
      <c r="C33" s="37" t="s">
        <v>3369</v>
      </c>
      <c r="D33" s="302"/>
      <c r="E33" s="81"/>
      <c r="F33" s="82"/>
      <c r="G33" s="82"/>
      <c r="H33" s="83"/>
      <c r="I33" s="86"/>
      <c r="J33" s="87"/>
      <c r="K33" s="87"/>
      <c r="L33" s="87"/>
      <c r="M33" s="89"/>
      <c r="N33" s="33" t="str">
        <f aca="false">IFERROR(AVERAGE(E33:M33),"")</f>
        <v/>
      </c>
      <c r="O33" s="84" t="str">
        <f aca="false">IF(E33&lt;&gt;"",IF(COUNTIF(E33:M33,"&lt;3"),"Не успевает","Успевает"),"")</f>
        <v/>
      </c>
      <c r="P33" s="241" t="str">
        <f aca="false">IF(D33&lt;&gt;"",(30*(set!B$5)-D33)/(30*(set!B$5))*100,"")</f>
        <v/>
      </c>
      <c r="Q33" s="85" t="str">
        <f aca="false" t="array" ref="Q33:Q33">IF(E33&lt;&gt;"",IF(N33&lt;1.85,"Выговор",IF(N33=1.85,"Выговор",IF(AND(N33&gt;1.85,N33&lt;3),"Предупреждение",IF(AND(N33&gt;3,N33&lt;4.65),"Нормально",IF(AND(N33&gt;4.65,N33&lt;5.1,E33:M33&gt;=4),"Благодарность","Нормально"))))),"")</f>
        <v/>
      </c>
      <c r="R33" s="118" t="n">
        <f aca="false">COUNTIF(E33:M33,2)+COUNTIF(E33:M33,1)+COUNTIF(E33:M33,0)</f>
        <v>0</v>
      </c>
    </row>
    <row r="34" customFormat="false" ht="15" hidden="false" customHeight="true" outlineLevel="0" collapsed="false">
      <c r="A34" s="0" t="s">
        <v>77</v>
      </c>
      <c r="D34" s="46"/>
      <c r="E34" s="47" t="e">
        <f aca="false">AVERAGE(E8:E33)</f>
        <v>#DIV/0!</v>
      </c>
      <c r="F34" s="47" t="e">
        <f aca="false">AVERAGE(F8:F33)</f>
        <v>#DIV/0!</v>
      </c>
      <c r="G34" s="47" t="e">
        <f aca="false">AVERAGE(G8:G33)</f>
        <v>#DIV/0!</v>
      </c>
      <c r="H34" s="47" t="e">
        <f aca="false">AVERAGE(H8:H33)</f>
        <v>#DIV/0!</v>
      </c>
      <c r="I34" s="47" t="e">
        <f aca="false">AVERAGE(I8:I33)</f>
        <v>#DIV/0!</v>
      </c>
      <c r="J34" s="47" t="e">
        <f aca="false">AVERAGE(J8:J33)</f>
        <v>#DIV/0!</v>
      </c>
      <c r="K34" s="47" t="e">
        <f aca="false">AVERAGE(K8:K33)</f>
        <v>#DIV/0!</v>
      </c>
      <c r="L34" s="47" t="e">
        <f aca="false">AVERAGE(L8:L33)</f>
        <v>#DIV/0!</v>
      </c>
      <c r="M34" s="47" t="e">
        <f aca="false">AVERAGE(M8:M33)</f>
        <v>#DIV/0!</v>
      </c>
      <c r="N34" s="47"/>
      <c r="O34" s="48"/>
      <c r="P34" s="49"/>
    </row>
    <row r="35" customFormat="false" ht="15" hidden="false" customHeight="true" outlineLevel="0" collapsed="false">
      <c r="A35" s="0" t="s">
        <v>78</v>
      </c>
      <c r="D35" s="537"/>
      <c r="E35" s="49" t="e">
        <f aca="false">(COUNTIF(E8:E33,5)+COUNTIF(E8:E33,4)+COUNTIF(E8:E33,3))/$O$40*100</f>
        <v>#DIV/0!</v>
      </c>
      <c r="F35" s="49" t="e">
        <f aca="false">(COUNTIF(F8:F33,5)+COUNTIF(F8:F33,4)+COUNTIF(F8:F33,3))/$O$40*100</f>
        <v>#DIV/0!</v>
      </c>
      <c r="G35" s="49" t="e">
        <f aca="false">(COUNTIF(G8:G33,5)+COUNTIF(G8:G33,4)+COUNTIF(G8:G33,3))/$O$40*100</f>
        <v>#DIV/0!</v>
      </c>
      <c r="H35" s="49" t="e">
        <f aca="false">(COUNTIF(H8:H33,5)+COUNTIF(H8:H33,4)+COUNTIF(H8:H33,3))/$O$40*100</f>
        <v>#DIV/0!</v>
      </c>
      <c r="I35" s="49" t="e">
        <f aca="false">(COUNTIF(I8:I33,5)+COUNTIF(I8:I33,4)+COUNTIF(I8:I33,3))/$O$40*100</f>
        <v>#DIV/0!</v>
      </c>
      <c r="J35" s="49" t="e">
        <f aca="false">(COUNTIF(J8:J33,5)+COUNTIF(J8:J33,4)+COUNTIF(J8:J33,3))/$O$40*100</f>
        <v>#DIV/0!</v>
      </c>
      <c r="K35" s="49" t="e">
        <f aca="false">(COUNTIF(K8:K33,5)+COUNTIF(K8:K33,4)+COUNTIF(K8:K33,3))/$O$40*100</f>
        <v>#DIV/0!</v>
      </c>
      <c r="L35" s="49" t="e">
        <f aca="false">(COUNTIF(L8:L33,5)+COUNTIF(L8:L33,4)+COUNTIF(L8:L33,3))/$O$40*100</f>
        <v>#DIV/0!</v>
      </c>
      <c r="M35" s="49" t="e">
        <f aca="false">(COUNTIF(M8:M33,5)+COUNTIF(M8:M33,4)+COUNTIF(M8:M33,3))/$O$40*100</f>
        <v>#DIV/0!</v>
      </c>
      <c r="N35" s="48"/>
      <c r="O35" s="47"/>
      <c r="P35" s="48"/>
      <c r="Q35" s="49"/>
      <c r="R35" s="242"/>
    </row>
    <row r="36" customFormat="false" ht="15" hidden="false" customHeight="true" outlineLevel="0" collapsed="false">
      <c r="D36" s="537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7"/>
      <c r="Q36" s="48"/>
      <c r="R36" s="49"/>
      <c r="S36" s="242"/>
    </row>
    <row r="37" customFormat="false" ht="15" hidden="false" customHeight="true" outlineLevel="0" collapsed="false"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</row>
    <row r="38" customFormat="false" ht="15" hidden="false" customHeight="true" outlineLevel="0" collapsed="false">
      <c r="B38" s="50"/>
      <c r="C38" s="50" t="s">
        <v>8</v>
      </c>
      <c r="D38" s="51" t="str">
        <f aca="false">IFERROR(AVERAGE(N8:N33),"")</f>
        <v/>
      </c>
      <c r="E38" s="52" t="s">
        <v>9</v>
      </c>
      <c r="F38" s="52"/>
      <c r="G38" s="53" t="str">
        <f aca="false">IFERROR(COUNTIF(O8:O33,"Успевает")/O40*100,"")</f>
        <v/>
      </c>
      <c r="H38" s="54" t="s">
        <v>79</v>
      </c>
      <c r="I38" s="54"/>
      <c r="J38" s="55" t="str">
        <f aca="false">IFERROR(AVERAGE(P8:P33),"")</f>
        <v/>
      </c>
      <c r="K38" s="52"/>
      <c r="L38" s="52"/>
      <c r="M38" s="52"/>
      <c r="N38" s="52"/>
      <c r="O38" s="48"/>
      <c r="P38" s="48"/>
      <c r="Q38" s="48"/>
      <c r="R38" s="48"/>
    </row>
    <row r="39" customFormat="false" ht="15" hidden="false" customHeight="true" outlineLevel="0" collapsed="false">
      <c r="B39" s="50"/>
      <c r="C39" s="50"/>
      <c r="D39" s="50"/>
      <c r="E39" s="56"/>
      <c r="F39" s="56"/>
      <c r="G39" s="56"/>
      <c r="H39" s="56"/>
      <c r="I39" s="56"/>
      <c r="J39" s="56"/>
      <c r="K39" s="56"/>
      <c r="L39" s="56"/>
      <c r="M39" s="56"/>
      <c r="N39" s="56"/>
      <c r="R39" s="59"/>
    </row>
    <row r="40" customFormat="false" ht="15" hidden="false" customHeight="true" outlineLevel="0" collapsed="false">
      <c r="A40" s="50"/>
      <c r="B40" s="61" t="s">
        <v>81</v>
      </c>
      <c r="C40" s="61"/>
      <c r="D40" s="61"/>
      <c r="E40" s="61"/>
      <c r="F40" s="61"/>
      <c r="G40" s="61"/>
      <c r="H40" s="61"/>
      <c r="I40" s="61"/>
      <c r="J40" s="61"/>
      <c r="K40" s="347" t="s">
        <v>82</v>
      </c>
      <c r="L40" s="347"/>
      <c r="M40" s="57" t="s">
        <v>80</v>
      </c>
      <c r="N40" s="57"/>
      <c r="O40" s="58" t="n">
        <f aca="false">SUM(O41,O42)</f>
        <v>0</v>
      </c>
      <c r="R40" s="64"/>
    </row>
    <row r="41" customFormat="false" ht="15" hidden="false" customHeight="true" outlineLevel="0" collapsed="false">
      <c r="A41" s="50"/>
      <c r="B41" s="65" t="str">
        <f aca="false">$E$6</f>
        <v> Аналитическая геометрия и линейная алгебра</v>
      </c>
      <c r="C41" s="65"/>
      <c r="D41" s="65"/>
      <c r="E41" s="65"/>
      <c r="F41" s="65"/>
      <c r="G41" s="65"/>
      <c r="H41" s="65"/>
      <c r="I41" s="65"/>
      <c r="J41" s="65"/>
      <c r="K41" s="939"/>
      <c r="L41" s="939"/>
      <c r="M41" s="57" t="s">
        <v>83</v>
      </c>
      <c r="N41" s="57"/>
      <c r="O41" s="58" t="n">
        <f aca="false">COUNTIF(O8:O33,"Успевает")</f>
        <v>0</v>
      </c>
      <c r="R41" s="64"/>
    </row>
    <row r="42" customFormat="false" ht="15" hidden="false" customHeight="true" outlineLevel="0" collapsed="false">
      <c r="A42" s="50"/>
      <c r="B42" s="65" t="str">
        <f aca="false">$F$6</f>
        <v> Информатика</v>
      </c>
      <c r="C42" s="65"/>
      <c r="D42" s="65"/>
      <c r="E42" s="65"/>
      <c r="F42" s="65"/>
      <c r="G42" s="65"/>
      <c r="H42" s="65"/>
      <c r="I42" s="65"/>
      <c r="J42" s="65"/>
      <c r="K42" s="939"/>
      <c r="L42" s="939"/>
      <c r="M42" s="98" t="s">
        <v>84</v>
      </c>
      <c r="N42" s="98"/>
      <c r="O42" s="58" t="n">
        <f aca="false">COUNTIF(O8:O33,"Не успевает")</f>
        <v>0</v>
      </c>
      <c r="R42" s="48"/>
    </row>
    <row r="43" customFormat="false" ht="15" hidden="false" customHeight="true" outlineLevel="0" collapsed="false">
      <c r="A43" s="50"/>
      <c r="B43" s="65" t="str">
        <f aca="false">$G$6</f>
        <v> Математический анализ </v>
      </c>
      <c r="C43" s="65"/>
      <c r="D43" s="65"/>
      <c r="E43" s="65"/>
      <c r="F43" s="65"/>
      <c r="G43" s="65"/>
      <c r="H43" s="65"/>
      <c r="I43" s="65"/>
      <c r="J43" s="65"/>
      <c r="K43" s="939"/>
      <c r="L43" s="939"/>
      <c r="M43" s="98" t="s">
        <v>85</v>
      </c>
      <c r="N43" s="98"/>
      <c r="O43" s="58" t="n">
        <f aca="false">COUNTIF(Q8:Q33,"Благодарность")</f>
        <v>0</v>
      </c>
      <c r="R43" s="48"/>
    </row>
    <row r="44" customFormat="false" ht="15" hidden="false" customHeight="true" outlineLevel="0" collapsed="false">
      <c r="A44" s="50"/>
      <c r="B44" s="65" t="str">
        <f aca="false">$H$6</f>
        <v> Начертательная геометрия</v>
      </c>
      <c r="C44" s="65"/>
      <c r="D44" s="65"/>
      <c r="E44" s="65"/>
      <c r="F44" s="65"/>
      <c r="G44" s="65"/>
      <c r="H44" s="65"/>
      <c r="I44" s="65"/>
      <c r="J44" s="65"/>
      <c r="K44" s="939"/>
      <c r="L44" s="939"/>
      <c r="M44" s="98" t="s">
        <v>86</v>
      </c>
      <c r="N44" s="98"/>
      <c r="O44" s="58" t="n">
        <f aca="false">COUNTIF(Q8:Q33,"Нормально")</f>
        <v>0</v>
      </c>
      <c r="R44" s="48"/>
    </row>
    <row r="45" customFormat="false" ht="15" hidden="false" customHeight="true" outlineLevel="0" collapsed="false">
      <c r="A45" s="50"/>
      <c r="B45" s="65" t="str">
        <f aca="false">$I$6</f>
        <v>Закономерности химических процессов в биомедицине</v>
      </c>
      <c r="C45" s="65"/>
      <c r="D45" s="65"/>
      <c r="E45" s="65"/>
      <c r="F45" s="65"/>
      <c r="G45" s="65"/>
      <c r="H45" s="65"/>
      <c r="I45" s="65"/>
      <c r="J45" s="65"/>
      <c r="K45" s="939"/>
      <c r="L45" s="939"/>
      <c r="M45" s="98" t="s">
        <v>87</v>
      </c>
      <c r="N45" s="98"/>
      <c r="O45" s="58" t="n">
        <f aca="false">COUNTIF(Q8:Q33,"Предупреждение")</f>
        <v>0</v>
      </c>
      <c r="R45" s="48"/>
    </row>
    <row r="46" customFormat="false" ht="15" hidden="false" customHeight="true" outlineLevel="0" collapsed="false">
      <c r="A46" s="50"/>
      <c r="B46" s="65" t="str">
        <f aca="false">$J$6</f>
        <v>Инженерная графика</v>
      </c>
      <c r="C46" s="65"/>
      <c r="D46" s="65"/>
      <c r="E46" s="65"/>
      <c r="F46" s="65"/>
      <c r="G46" s="65"/>
      <c r="H46" s="65"/>
      <c r="I46" s="65"/>
      <c r="J46" s="65"/>
      <c r="K46" s="939"/>
      <c r="L46" s="939"/>
      <c r="M46" s="98" t="s">
        <v>88</v>
      </c>
      <c r="N46" s="98"/>
      <c r="O46" s="58" t="n">
        <f aca="false">COUNTIF(Q8:Q33,"Выговор")</f>
        <v>0</v>
      </c>
      <c r="R46" s="48"/>
    </row>
    <row r="47" customFormat="false" ht="15" hidden="false" customHeight="true" outlineLevel="0" collapsed="false">
      <c r="A47" s="50"/>
      <c r="B47" s="65" t="str">
        <f aca="false">$K$6</f>
        <v>Иностранный язык</v>
      </c>
      <c r="C47" s="65"/>
      <c r="D47" s="65"/>
      <c r="E47" s="65"/>
      <c r="F47" s="65"/>
      <c r="G47" s="65"/>
      <c r="H47" s="65"/>
      <c r="I47" s="65"/>
      <c r="J47" s="65"/>
      <c r="K47" s="939"/>
      <c r="L47" s="939"/>
      <c r="M47" s="185" t="s">
        <v>1575</v>
      </c>
      <c r="N47" s="380"/>
      <c r="O47" s="143" t="n">
        <f aca="false">SUM(R8:R33)</f>
        <v>0</v>
      </c>
      <c r="P47" s="67"/>
      <c r="Q47" s="48"/>
      <c r="R47" s="48"/>
    </row>
    <row r="48" customFormat="false" ht="15" hidden="false" customHeight="true" outlineLevel="0" collapsed="false">
      <c r="A48" s="50"/>
      <c r="B48" s="65" t="str">
        <f aca="false">$L$6</f>
        <v>Учебно-технологический практикум</v>
      </c>
      <c r="C48" s="65"/>
      <c r="D48" s="65"/>
      <c r="E48" s="65"/>
      <c r="F48" s="65"/>
      <c r="G48" s="65"/>
      <c r="H48" s="65"/>
      <c r="I48" s="65"/>
      <c r="J48" s="65"/>
      <c r="K48" s="939"/>
      <c r="L48" s="939"/>
      <c r="M48" s="139"/>
      <c r="N48" s="139"/>
      <c r="O48" s="67"/>
      <c r="P48" s="67"/>
      <c r="Q48" s="48"/>
      <c r="R48" s="48"/>
    </row>
    <row r="49" customFormat="false" ht="15" hidden="false" customHeight="true" outlineLevel="0" collapsed="false">
      <c r="A49" s="50"/>
      <c r="B49" s="65" t="str">
        <f aca="false">$M$6</f>
        <v>Физическая культура и спорт</v>
      </c>
      <c r="C49" s="65"/>
      <c r="D49" s="65"/>
      <c r="E49" s="65"/>
      <c r="F49" s="65"/>
      <c r="G49" s="65"/>
      <c r="H49" s="65"/>
      <c r="I49" s="65"/>
      <c r="J49" s="65"/>
      <c r="K49" s="939"/>
      <c r="L49" s="939"/>
      <c r="M49" s="139"/>
      <c r="N49" s="139"/>
      <c r="O49" s="67"/>
      <c r="P49" s="67"/>
      <c r="Q49" s="48"/>
      <c r="R49" s="48"/>
    </row>
    <row r="50" customFormat="false" ht="15" hidden="false" customHeight="true" outlineLevel="0" collapsed="false">
      <c r="A50" s="50"/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67"/>
      <c r="M50" s="67"/>
      <c r="N50" s="67"/>
      <c r="O50" s="48"/>
      <c r="P50" s="48"/>
      <c r="Q50" s="48"/>
      <c r="R50" s="48"/>
    </row>
    <row r="51" customFormat="false" ht="15" hidden="false" customHeight="true" outlineLevel="0" collapsed="false">
      <c r="A51" s="50"/>
      <c r="B51" s="428" t="s">
        <v>405</v>
      </c>
      <c r="C51" s="327" t="s">
        <v>3370</v>
      </c>
      <c r="D51" s="327"/>
      <c r="E51" s="327"/>
      <c r="F51" s="52" t="s">
        <v>407</v>
      </c>
      <c r="G51" s="300" t="s">
        <v>3371</v>
      </c>
      <c r="H51" s="52"/>
      <c r="I51" s="52"/>
      <c r="J51" s="52"/>
      <c r="K51" s="50"/>
      <c r="L51" s="50"/>
      <c r="M51" s="50"/>
      <c r="N51" s="50"/>
      <c r="O51" s="48"/>
      <c r="P51" s="48"/>
      <c r="Q51" s="48"/>
      <c r="R51" s="48"/>
    </row>
    <row r="52" customFormat="false" ht="15" hidden="false" customHeight="tru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48"/>
      <c r="P52" s="48"/>
      <c r="Q52" s="48"/>
      <c r="R52" s="48"/>
    </row>
    <row r="53" customFormat="false" ht="15" hidden="false" customHeight="true" outlineLevel="0" collapsed="false">
      <c r="A53" s="50"/>
      <c r="B53" s="50" t="s">
        <v>93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48"/>
      <c r="P53" s="48"/>
    </row>
    <row r="54" customFormat="false" ht="15" hidden="false" customHeight="true" outlineLevel="0" collapsed="false">
      <c r="A54" s="50"/>
      <c r="B54" s="50" t="s">
        <v>94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48"/>
      <c r="P54" s="48"/>
    </row>
    <row r="55" customFormat="false" ht="15" hidden="false" customHeight="true" outlineLevel="0" collapsed="false">
      <c r="A55" s="50"/>
      <c r="B55" s="50" t="s">
        <v>95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48"/>
      <c r="P55" s="48"/>
    </row>
    <row r="56" customFormat="false" ht="15" hidden="false" customHeight="true" outlineLevel="0" collapsed="false">
      <c r="A56" s="50"/>
      <c r="B56" s="50" t="s">
        <v>96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48"/>
      <c r="P56" s="48"/>
    </row>
    <row r="57" customFormat="false" ht="15" hidden="false" customHeight="true" outlineLevel="0" collapsed="false">
      <c r="A57" s="50"/>
      <c r="B57" s="50" t="s">
        <v>97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48"/>
      <c r="P57" s="48"/>
    </row>
    <row r="58" customFormat="false" ht="15" hidden="false" customHeight="true" outlineLevel="0" collapsed="false">
      <c r="A58" s="50"/>
      <c r="B58" s="50" t="s">
        <v>98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48"/>
      <c r="P58" s="48"/>
    </row>
    <row r="59" customFormat="false" ht="15" hidden="false" customHeight="true" outlineLevel="0" collapsed="false">
      <c r="A59" s="50"/>
      <c r="B59" s="50" t="s">
        <v>99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48"/>
      <c r="P59" s="48"/>
    </row>
    <row r="60" customFormat="false" ht="15" hidden="false" customHeight="true" outlineLevel="0" collapsed="false"/>
    <row r="61" customFormat="false" ht="15" hidden="false" customHeight="true" outlineLevel="0" collapsed="false"/>
    <row r="62" customFormat="false" ht="15" hidden="false" customHeight="true" outlineLevel="0" collapsed="false"/>
  </sheetData>
  <mergeCells count="42">
    <mergeCell ref="E1:H1"/>
    <mergeCell ref="A3:P3"/>
    <mergeCell ref="A5:A7"/>
    <mergeCell ref="B5:B7"/>
    <mergeCell ref="C5:C7"/>
    <mergeCell ref="D5:D7"/>
    <mergeCell ref="E5:H5"/>
    <mergeCell ref="I5:M5"/>
    <mergeCell ref="N5:N7"/>
    <mergeCell ref="O5:O7"/>
    <mergeCell ref="P5:P7"/>
    <mergeCell ref="Q5:Q7"/>
    <mergeCell ref="R5:R7"/>
    <mergeCell ref="H38:I38"/>
    <mergeCell ref="B40:J40"/>
    <mergeCell ref="K40:L40"/>
    <mergeCell ref="M40:N40"/>
    <mergeCell ref="B41:J41"/>
    <mergeCell ref="K41:L41"/>
    <mergeCell ref="M41:N41"/>
    <mergeCell ref="B42:J42"/>
    <mergeCell ref="K42:L42"/>
    <mergeCell ref="M42:N42"/>
    <mergeCell ref="B43:J43"/>
    <mergeCell ref="K43:L43"/>
    <mergeCell ref="M43:N43"/>
    <mergeCell ref="B44:J44"/>
    <mergeCell ref="K44:L44"/>
    <mergeCell ref="M44:N44"/>
    <mergeCell ref="B45:J45"/>
    <mergeCell ref="K45:L45"/>
    <mergeCell ref="M45:N45"/>
    <mergeCell ref="B46:J46"/>
    <mergeCell ref="K46:L46"/>
    <mergeCell ref="M46:N46"/>
    <mergeCell ref="B47:J47"/>
    <mergeCell ref="K47:L47"/>
    <mergeCell ref="B48:J48"/>
    <mergeCell ref="K48:L48"/>
    <mergeCell ref="B49:J49"/>
    <mergeCell ref="K49:L49"/>
    <mergeCell ref="C51:E51"/>
  </mergeCells>
  <conditionalFormatting sqref="P36 O35 N8:N34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H8:H33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6:O36 E35:N35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34:M34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:G33 I8:M33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R34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T12" activeCellId="0" sqref="T12"/>
    </sheetView>
  </sheetViews>
  <sheetFormatPr defaultColWidth="8.6796875" defaultRowHeight="15" zeroHeight="false" outlineLevelRow="0" outlineLevelCol="0"/>
  <cols>
    <col collapsed="false" customWidth="true" hidden="false" outlineLevel="0" max="2" min="2" style="0" width="11.43"/>
    <col collapsed="false" customWidth="true" hidden="false" outlineLevel="0" max="3" min="3" style="0" width="15.42"/>
    <col collapsed="false" customWidth="true" hidden="false" outlineLevel="0" max="5" min="5" style="45" width="8.86"/>
    <col collapsed="false" customWidth="true" hidden="false" outlineLevel="0" max="16" min="16" style="0" width="10.85"/>
  </cols>
  <sheetData>
    <row r="1" customFormat="false" ht="19.7" hidden="false" customHeight="false" outlineLevel="0" collapsed="false">
      <c r="A1" s="45"/>
      <c r="B1" s="45"/>
      <c r="C1" s="45"/>
      <c r="D1" s="45"/>
      <c r="F1" s="1" t="s">
        <v>0</v>
      </c>
      <c r="G1" s="1"/>
      <c r="H1" s="1"/>
      <c r="I1" s="1"/>
      <c r="J1" s="2" t="n">
        <f aca="false">set!B1</f>
        <v>2</v>
      </c>
      <c r="K1" s="3"/>
      <c r="L1" s="45"/>
      <c r="M1" s="45"/>
      <c r="N1" s="45"/>
      <c r="O1" s="45"/>
      <c r="P1" s="45"/>
      <c r="Q1" s="45"/>
      <c r="R1" s="45"/>
    </row>
    <row r="2" customFormat="false" ht="15" hidden="false" customHeight="false" outlineLevel="0" collapsed="false">
      <c r="A2" s="45"/>
      <c r="B2" s="45"/>
      <c r="C2" s="45"/>
      <c r="D2" s="45"/>
      <c r="F2" s="45"/>
      <c r="G2" s="45"/>
      <c r="H2" s="45"/>
      <c r="I2" s="4"/>
      <c r="J2" s="45"/>
      <c r="K2" s="45"/>
      <c r="L2" s="756"/>
      <c r="M2" s="5" t="s">
        <v>1</v>
      </c>
      <c r="N2" s="5"/>
      <c r="O2" s="5"/>
      <c r="P2" s="146" t="n">
        <f aca="false">set!B4</f>
        <v>45608</v>
      </c>
      <c r="Q2" s="45"/>
      <c r="R2" s="45"/>
    </row>
    <row r="3" customFormat="false" ht="15" hidden="false" customHeight="false" outlineLevel="0" collapsed="false">
      <c r="A3" s="76" t="str">
        <f aca="false">"Успеваемость студентов за "&amp;(set!B2)&amp;" "&amp;"семестр"&amp;" "&amp;(set!B3) &amp;" "&amp; "учебного года по группе ИУК11-31М факультета ИУК МГТУ им. Н.Э. Баумана"</f>
        <v>Успеваемость студентов за 1 семестр 24/25 учебного года по группе ИУК11-31М факультета ИУК МГТУ им. Н.Э. Баумана</v>
      </c>
      <c r="B3" s="76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45"/>
      <c r="Q3" s="45"/>
      <c r="R3" s="45"/>
    </row>
    <row r="4" customFormat="false" ht="15" hidden="false" customHeight="false" outlineLevel="0" collapsed="false">
      <c r="A4" s="45"/>
      <c r="B4" s="7"/>
      <c r="C4" s="7"/>
      <c r="D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</row>
    <row r="5" customFormat="false" ht="15" hidden="false" customHeight="true" outlineLevel="0" collapsed="false">
      <c r="A5" s="8" t="s">
        <v>2</v>
      </c>
      <c r="B5" s="8" t="s">
        <v>3</v>
      </c>
      <c r="C5" s="8" t="s">
        <v>4</v>
      </c>
      <c r="D5" s="9" t="s">
        <v>5</v>
      </c>
      <c r="E5" s="11" t="s">
        <v>6</v>
      </c>
      <c r="F5" s="11"/>
      <c r="G5" s="11"/>
      <c r="H5" s="11" t="s">
        <v>7</v>
      </c>
      <c r="I5" s="11"/>
      <c r="J5" s="11"/>
      <c r="K5" s="11"/>
      <c r="L5" s="391" t="s">
        <v>8</v>
      </c>
      <c r="M5" s="392" t="s">
        <v>9</v>
      </c>
      <c r="N5" s="392" t="s">
        <v>10</v>
      </c>
      <c r="O5" s="14" t="s">
        <v>11</v>
      </c>
      <c r="P5" s="620" t="s">
        <v>1575</v>
      </c>
      <c r="Q5" s="45"/>
      <c r="R5" s="45"/>
    </row>
    <row r="6" customFormat="false" ht="15" hidden="false" customHeight="false" outlineLevel="0" collapsed="false">
      <c r="A6" s="8"/>
      <c r="B6" s="8"/>
      <c r="C6" s="8"/>
      <c r="D6" s="9"/>
      <c r="E6" s="15" t="s">
        <v>3372</v>
      </c>
      <c r="F6" s="16" t="s">
        <v>3373</v>
      </c>
      <c r="G6" s="18" t="s">
        <v>1106</v>
      </c>
      <c r="H6" s="339" t="s">
        <v>3374</v>
      </c>
      <c r="I6" s="16" t="s">
        <v>505</v>
      </c>
      <c r="J6" s="16" t="s">
        <v>2046</v>
      </c>
      <c r="K6" s="18" t="s">
        <v>3375</v>
      </c>
      <c r="L6" s="391"/>
      <c r="M6" s="392"/>
      <c r="N6" s="392"/>
      <c r="O6" s="14"/>
      <c r="P6" s="620"/>
      <c r="Q6" s="45"/>
      <c r="R6" s="45"/>
    </row>
    <row r="7" customFormat="false" ht="17.9" hidden="false" customHeight="false" outlineLevel="0" collapsed="false">
      <c r="A7" s="8"/>
      <c r="B7" s="8"/>
      <c r="C7" s="8"/>
      <c r="D7" s="9"/>
      <c r="E7" s="343" t="s">
        <v>3376</v>
      </c>
      <c r="F7" s="344" t="s">
        <v>3377</v>
      </c>
      <c r="G7" s="346" t="s">
        <v>299</v>
      </c>
      <c r="H7" s="343" t="s">
        <v>3378</v>
      </c>
      <c r="I7" s="344" t="s">
        <v>3379</v>
      </c>
      <c r="J7" s="344" t="s">
        <v>1004</v>
      </c>
      <c r="K7" s="346" t="s">
        <v>3380</v>
      </c>
      <c r="L7" s="391"/>
      <c r="M7" s="392"/>
      <c r="N7" s="392"/>
      <c r="O7" s="14"/>
      <c r="P7" s="620"/>
      <c r="Q7" s="45"/>
      <c r="R7" s="45"/>
    </row>
    <row r="8" customFormat="false" ht="15" hidden="false" customHeight="false" outlineLevel="0" collapsed="false">
      <c r="A8" s="85" t="n">
        <v>1</v>
      </c>
      <c r="B8" s="85" t="s">
        <v>3381</v>
      </c>
      <c r="C8" s="85" t="s">
        <v>3382</v>
      </c>
      <c r="D8" s="311"/>
      <c r="E8" s="150"/>
      <c r="F8" s="117"/>
      <c r="G8" s="152"/>
      <c r="H8" s="150"/>
      <c r="I8" s="117"/>
      <c r="J8" s="117"/>
      <c r="K8" s="152"/>
      <c r="L8" s="154" t="str">
        <f aca="false">IFERROR(AVERAGE(F8:K8),"")</f>
        <v/>
      </c>
      <c r="M8" s="84" t="str">
        <f aca="false">IF(F8&lt;&gt;"",IF(COUNTIF(F8:K8,"&lt;3"),"Не успевает","Успевает"),"")</f>
        <v/>
      </c>
      <c r="N8" s="241" t="str">
        <f aca="false">IF(D8&lt;&gt;"",(30*(set!B$5)-D8)/(30*(set!B$5))*100,"")</f>
        <v/>
      </c>
      <c r="O8" s="85" t="str">
        <f aca="false" t="array" ref="O8:O8">IF(F8&lt;&gt;"",IF(L8&lt;1.85,"Выговор",IF(L8=1.85,"Выговор",IF(AND(L8&gt;1.85,L8&lt;3),"Предупреждение",IF(AND(L8&gt;3,L8&lt;4.65),"Нормально",IF(AND(L8&gt;4.65,L8&lt;5.1,F8:K8&gt;=4),"Благодарность","Нормально"))))),"")</f>
        <v/>
      </c>
      <c r="P8" s="118" t="n">
        <f aca="false">COUNTIF(F8:K8,2)+COUNTIF(F8:K8,1)+COUNTIF(F8:K8,0)</f>
        <v>0</v>
      </c>
      <c r="Q8" s="45"/>
      <c r="R8" s="45"/>
    </row>
    <row r="9" customFormat="false" ht="15" hidden="false" customHeight="false" outlineLevel="0" collapsed="false">
      <c r="A9" s="45" t="s">
        <v>77</v>
      </c>
      <c r="B9" s="45"/>
      <c r="C9" s="45"/>
      <c r="D9" s="209"/>
      <c r="E9" s="210" t="e">
        <f aca="false">AVERAGE(E8:E8)</f>
        <v>#DIV/0!</v>
      </c>
      <c r="F9" s="210" t="e">
        <f aca="false">AVERAGE(F8:F8)</f>
        <v>#DIV/0!</v>
      </c>
      <c r="G9" s="210" t="e">
        <f aca="false">AVERAGE(G8:G8)</f>
        <v>#DIV/0!</v>
      </c>
      <c r="H9" s="210" t="e">
        <f aca="false">AVERAGE(H8:H8)</f>
        <v>#DIV/0!</v>
      </c>
      <c r="I9" s="210" t="e">
        <f aca="false">AVERAGE(I8:I8)</f>
        <v>#DIV/0!</v>
      </c>
      <c r="J9" s="210" t="e">
        <f aca="false">AVERAGE(J8:J8)</f>
        <v>#DIV/0!</v>
      </c>
      <c r="K9" s="210" t="e">
        <f aca="false">AVERAGE(K8:K8)</f>
        <v>#DIV/0!</v>
      </c>
      <c r="L9" s="47"/>
      <c r="M9" s="48"/>
      <c r="N9" s="49"/>
      <c r="O9" s="45"/>
      <c r="P9" s="45"/>
      <c r="Q9" s="45"/>
      <c r="R9" s="45"/>
    </row>
    <row r="10" customFormat="false" ht="15" hidden="false" customHeight="false" outlineLevel="0" collapsed="false">
      <c r="A10" s="45" t="s">
        <v>78</v>
      </c>
      <c r="B10" s="45"/>
      <c r="C10" s="45"/>
      <c r="D10" s="536"/>
      <c r="E10" s="137" t="e">
        <f aca="false">(COUNTIF(E8:E8,5)+COUNTIF(E8:E8,4)+COUNTIF(E8:E8,3))/$R$14*100</f>
        <v>#DIV/0!</v>
      </c>
      <c r="F10" s="137" t="e">
        <f aca="false">(COUNTIF(F8:F8,5)+COUNTIF(F8:F8,4)+COUNTIF(F8:F8,3))/$R$14*100</f>
        <v>#DIV/0!</v>
      </c>
      <c r="G10" s="137" t="e">
        <f aca="false">(COUNTIF(G8:G8,5)+COUNTIF(G8:G8,4)+COUNTIF(G8:G8,3))/$R$14*100</f>
        <v>#DIV/0!</v>
      </c>
      <c r="H10" s="137" t="e">
        <f aca="false">(COUNTIF(H8:H8,5)+COUNTIF(H8:H8,4)+COUNTIF(H8:H8,3))/$R$14*100</f>
        <v>#DIV/0!</v>
      </c>
      <c r="I10" s="137" t="e">
        <f aca="false">(COUNTIF(I8:I8,5)+COUNTIF(I8:I8,4)+COUNTIF(I8:I8,3))/$R$14*100</f>
        <v>#DIV/0!</v>
      </c>
      <c r="J10" s="137" t="e">
        <f aca="false">(COUNTIF(J8:J8,5)+COUNTIF(J8:J8,4)+COUNTIF(J8:J8,3))/$R$14*100</f>
        <v>#DIV/0!</v>
      </c>
      <c r="K10" s="137" t="e">
        <f aca="false">(COUNTIF(K8:K8,5)+COUNTIF(K8:K8,4)+COUNTIF(K8:K8,3))/$R$14*100</f>
        <v>#DIV/0!</v>
      </c>
      <c r="L10" s="48"/>
      <c r="M10" s="47"/>
      <c r="N10" s="48"/>
      <c r="O10" s="49"/>
      <c r="P10" s="242"/>
      <c r="Q10" s="45"/>
      <c r="R10" s="45"/>
    </row>
    <row r="11" customFormat="false" ht="15" hidden="false" customHeight="false" outlineLevel="0" collapsed="false">
      <c r="A11" s="45"/>
      <c r="B11" s="45"/>
      <c r="C11" s="45"/>
      <c r="D11" s="45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5"/>
    </row>
    <row r="12" customFormat="false" ht="25.35" hidden="false" customHeight="true" outlineLevel="0" collapsed="false">
      <c r="A12" s="45"/>
      <c r="B12" s="50"/>
      <c r="C12" s="50" t="s">
        <v>8</v>
      </c>
      <c r="D12" s="51" t="str">
        <f aca="false">IFERROR(AVERAGE(L8:L8),"")</f>
        <v/>
      </c>
      <c r="E12" s="51"/>
      <c r="F12" s="52" t="s">
        <v>9</v>
      </c>
      <c r="G12" s="52"/>
      <c r="H12" s="53" t="str">
        <f aca="false">IFERROR(COUNTIF(M8:M8,"Успевает")/R14*100,"")</f>
        <v/>
      </c>
      <c r="I12" s="54" t="s">
        <v>79</v>
      </c>
      <c r="J12" s="54"/>
      <c r="K12" s="55" t="str">
        <f aca="false">IFERROR(AVERAGE(N8:N8),"")</f>
        <v/>
      </c>
      <c r="L12" s="52"/>
      <c r="M12" s="52"/>
      <c r="N12" s="48"/>
      <c r="O12" s="48"/>
      <c r="P12" s="48"/>
      <c r="Q12" s="48"/>
      <c r="R12" s="45"/>
    </row>
    <row r="13" customFormat="false" ht="15" hidden="false" customHeight="false" outlineLevel="0" collapsed="false">
      <c r="A13" s="45"/>
      <c r="B13" s="50"/>
      <c r="C13" s="50"/>
      <c r="D13" s="50"/>
      <c r="E13" s="50"/>
      <c r="F13" s="56"/>
      <c r="G13" s="56"/>
      <c r="H13" s="56"/>
      <c r="I13" s="56"/>
      <c r="J13" s="56"/>
      <c r="K13" s="56"/>
      <c r="L13" s="56"/>
      <c r="M13" s="56"/>
      <c r="N13" s="45"/>
      <c r="O13" s="45"/>
      <c r="P13" s="45"/>
      <c r="Q13" s="59"/>
      <c r="R13" s="45"/>
    </row>
    <row r="14" customFormat="false" ht="15" hidden="false" customHeight="true" outlineLevel="0" collapsed="false">
      <c r="A14" s="50"/>
      <c r="B14" s="61" t="s">
        <v>81</v>
      </c>
      <c r="C14" s="61"/>
      <c r="D14" s="61"/>
      <c r="E14" s="61"/>
      <c r="F14" s="61"/>
      <c r="G14" s="61"/>
      <c r="H14" s="61"/>
      <c r="I14" s="61"/>
      <c r="J14" s="61"/>
      <c r="K14" s="61"/>
      <c r="L14" s="347" t="s">
        <v>82</v>
      </c>
      <c r="M14" s="347"/>
      <c r="N14" s="347"/>
      <c r="O14" s="45"/>
      <c r="P14" s="57" t="s">
        <v>80</v>
      </c>
      <c r="Q14" s="57"/>
      <c r="R14" s="58" t="n">
        <f aca="false">SUM(R15,R16)</f>
        <v>0</v>
      </c>
    </row>
    <row r="15" customFormat="false" ht="15" hidden="false" customHeight="true" outlineLevel="0" collapsed="false">
      <c r="A15" s="50"/>
      <c r="B15" s="65" t="str">
        <f aca="false">$E$6</f>
        <v> Методы и техника неинвазивных измерений параметров систем и сред организма</v>
      </c>
      <c r="C15" s="65"/>
      <c r="D15" s="65"/>
      <c r="E15" s="65"/>
      <c r="F15" s="65"/>
      <c r="G15" s="65"/>
      <c r="H15" s="65"/>
      <c r="I15" s="65"/>
      <c r="J15" s="65"/>
      <c r="K15" s="65"/>
      <c r="L15" s="66"/>
      <c r="M15" s="66"/>
      <c r="N15" s="66"/>
      <c r="O15" s="45"/>
      <c r="P15" s="57" t="s">
        <v>83</v>
      </c>
      <c r="Q15" s="57"/>
      <c r="R15" s="58" t="n">
        <f aca="false">COUNTIF(M8:M8,"Успевает")</f>
        <v>0</v>
      </c>
    </row>
    <row r="16" customFormat="false" ht="15" hidden="false" customHeight="false" outlineLevel="0" collapsed="false">
      <c r="A16" s="50"/>
      <c r="B16" s="65" t="str">
        <f aca="false">$F$6</f>
        <v> ДВ №2 Специальные вопросы разработки телемедицинских систем</v>
      </c>
      <c r="C16" s="65"/>
      <c r="D16" s="65"/>
      <c r="E16" s="65"/>
      <c r="F16" s="65"/>
      <c r="G16" s="65"/>
      <c r="H16" s="65"/>
      <c r="I16" s="65"/>
      <c r="J16" s="65"/>
      <c r="K16" s="65"/>
      <c r="L16" s="66"/>
      <c r="M16" s="66"/>
      <c r="N16" s="66"/>
      <c r="O16" s="45"/>
      <c r="P16" s="98" t="s">
        <v>84</v>
      </c>
      <c r="Q16" s="98"/>
      <c r="R16" s="58" t="n">
        <f aca="false">COUNTIF(M8:M8,"Не успевает")</f>
        <v>0</v>
      </c>
    </row>
    <row r="17" customFormat="false" ht="15" hidden="false" customHeight="false" outlineLevel="0" collapsed="false">
      <c r="A17" s="50"/>
      <c r="B17" s="65" t="str">
        <f aca="false">$G$6</f>
        <v> Эргономический анализ человеко-машинных интерфейсов</v>
      </c>
      <c r="C17" s="65"/>
      <c r="D17" s="65"/>
      <c r="E17" s="65"/>
      <c r="F17" s="65"/>
      <c r="G17" s="65"/>
      <c r="H17" s="65"/>
      <c r="I17" s="65"/>
      <c r="J17" s="65"/>
      <c r="K17" s="65"/>
      <c r="L17" s="66"/>
      <c r="M17" s="66"/>
      <c r="N17" s="66"/>
      <c r="O17" s="45"/>
      <c r="P17" s="98" t="s">
        <v>85</v>
      </c>
      <c r="Q17" s="98"/>
      <c r="R17" s="58" t="n">
        <f aca="false">COUNTIF(O8:O8,"Благодарность")</f>
        <v>0</v>
      </c>
    </row>
    <row r="18" customFormat="false" ht="15" hidden="false" customHeight="false" outlineLevel="0" collapsed="false">
      <c r="A18" s="50"/>
      <c r="B18" s="65" t="str">
        <f aca="false">$H$6</f>
        <v> Биотехнические системы и технологии (к.п.)</v>
      </c>
      <c r="C18" s="65"/>
      <c r="D18" s="65"/>
      <c r="E18" s="65"/>
      <c r="F18" s="65"/>
      <c r="G18" s="65"/>
      <c r="H18" s="65"/>
      <c r="I18" s="65"/>
      <c r="J18" s="65"/>
      <c r="K18" s="65"/>
      <c r="L18" s="66"/>
      <c r="M18" s="66"/>
      <c r="N18" s="66"/>
      <c r="O18" s="45"/>
      <c r="P18" s="98" t="s">
        <v>86</v>
      </c>
      <c r="Q18" s="98"/>
      <c r="R18" s="58" t="n">
        <f aca="false">COUNTIF(O8:O8,"Нормально")</f>
        <v>0</v>
      </c>
    </row>
    <row r="19" customFormat="false" ht="15" hidden="false" customHeight="false" outlineLevel="0" collapsed="false">
      <c r="A19" s="50"/>
      <c r="B19" s="65" t="str">
        <f aca="false">$I$6</f>
        <v> Педагогическая практика</v>
      </c>
      <c r="C19" s="65"/>
      <c r="D19" s="65"/>
      <c r="E19" s="65"/>
      <c r="F19" s="65"/>
      <c r="G19" s="65"/>
      <c r="H19" s="65"/>
      <c r="I19" s="65"/>
      <c r="J19" s="65"/>
      <c r="K19" s="65"/>
      <c r="L19" s="66"/>
      <c r="M19" s="66"/>
      <c r="N19" s="66"/>
      <c r="O19" s="45"/>
      <c r="P19" s="98" t="s">
        <v>87</v>
      </c>
      <c r="Q19" s="98"/>
      <c r="R19" s="58" t="n">
        <f aca="false">COUNTIF(O8:O8,"Предупреждение")</f>
        <v>0</v>
      </c>
    </row>
    <row r="20" customFormat="false" ht="15" hidden="false" customHeight="false" outlineLevel="0" collapsed="false">
      <c r="A20" s="50"/>
      <c r="B20" s="65" t="str">
        <f aca="false">$J$6</f>
        <v> Перспективные технологии разработки программных средств</v>
      </c>
      <c r="C20" s="65"/>
      <c r="D20" s="65"/>
      <c r="E20" s="65"/>
      <c r="F20" s="65"/>
      <c r="G20" s="65"/>
      <c r="H20" s="65"/>
      <c r="I20" s="65"/>
      <c r="J20" s="65"/>
      <c r="K20" s="65"/>
      <c r="L20" s="66"/>
      <c r="M20" s="66"/>
      <c r="N20" s="66"/>
      <c r="O20" s="45"/>
      <c r="P20" s="98" t="s">
        <v>88</v>
      </c>
      <c r="Q20" s="98"/>
      <c r="R20" s="58" t="n">
        <f aca="false">COUNTIF(O8:O8,"Выговор")</f>
        <v>0</v>
      </c>
    </row>
    <row r="21" customFormat="false" ht="15" hidden="false" customHeight="false" outlineLevel="0" collapsed="false">
      <c r="A21" s="50"/>
      <c r="B21" s="65" t="str">
        <f aca="false">$K$6</f>
        <v> Проектно-конструкторская практика</v>
      </c>
      <c r="C21" s="65"/>
      <c r="D21" s="65"/>
      <c r="E21" s="65"/>
      <c r="F21" s="65"/>
      <c r="G21" s="65"/>
      <c r="H21" s="65"/>
      <c r="I21" s="65"/>
      <c r="J21" s="65"/>
      <c r="K21" s="65"/>
      <c r="L21" s="66"/>
      <c r="M21" s="66"/>
      <c r="N21" s="66"/>
      <c r="O21" s="45"/>
      <c r="P21" s="185" t="s">
        <v>1575</v>
      </c>
      <c r="Q21" s="380"/>
      <c r="R21" s="143" t="n">
        <f aca="false">SUM(P8:P8)</f>
        <v>0</v>
      </c>
    </row>
    <row r="22" s="45" customFormat="true" ht="15" hidden="false" customHeight="false" outlineLevel="0" collapsed="false">
      <c r="A22" s="50"/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</row>
    <row r="23" s="45" customFormat="true" ht="15" hidden="false" customHeight="false" outlineLevel="0" collapsed="false">
      <c r="A23" s="50"/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</row>
    <row r="24" customFormat="false" ht="15" hidden="false" customHeight="true" outlineLevel="0" collapsed="false">
      <c r="A24" s="50"/>
      <c r="B24" s="73" t="s">
        <v>405</v>
      </c>
      <c r="C24" s="198" t="s">
        <v>3383</v>
      </c>
      <c r="D24" s="198"/>
      <c r="E24" s="198"/>
      <c r="F24" s="67"/>
      <c r="G24" s="52" t="s">
        <v>407</v>
      </c>
      <c r="H24" s="300" t="s">
        <v>3371</v>
      </c>
      <c r="I24" s="52"/>
      <c r="J24" s="52"/>
      <c r="K24" s="52"/>
      <c r="L24" s="50"/>
      <c r="M24" s="50"/>
      <c r="N24" s="67"/>
      <c r="O24" s="67"/>
      <c r="P24" s="48"/>
      <c r="Q24" s="48"/>
      <c r="R24" s="45"/>
    </row>
    <row r="25" customFormat="false" ht="15" hidden="false" customHeight="false" outlineLevel="0" collapsed="false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48"/>
      <c r="O25" s="48"/>
      <c r="P25" s="48"/>
      <c r="Q25" s="48"/>
      <c r="R25" s="45"/>
    </row>
    <row r="26" customFormat="false" ht="15" hidden="false" customHeight="false" outlineLevel="0" collapsed="false">
      <c r="A26" s="50"/>
      <c r="B26" s="50" t="s">
        <v>93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48"/>
      <c r="O26" s="48"/>
      <c r="P26" s="45"/>
      <c r="Q26" s="45"/>
      <c r="R26" s="45"/>
    </row>
    <row r="27" customFormat="false" ht="15" hidden="false" customHeight="false" outlineLevel="0" collapsed="false">
      <c r="A27" s="50"/>
      <c r="B27" s="50" t="s">
        <v>94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48"/>
      <c r="O27" s="48"/>
      <c r="P27" s="45"/>
      <c r="Q27" s="45"/>
      <c r="R27" s="45"/>
    </row>
    <row r="28" customFormat="false" ht="15" hidden="false" customHeight="false" outlineLevel="0" collapsed="false">
      <c r="A28" s="50"/>
      <c r="B28" s="50" t="s">
        <v>95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48"/>
      <c r="O28" s="48"/>
      <c r="P28" s="45"/>
      <c r="Q28" s="45"/>
      <c r="R28" s="45"/>
    </row>
    <row r="29" customFormat="false" ht="15" hidden="false" customHeight="false" outlineLevel="0" collapsed="false">
      <c r="A29" s="50"/>
      <c r="B29" s="50" t="s">
        <v>96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48"/>
      <c r="O29" s="48"/>
      <c r="P29" s="45"/>
      <c r="Q29" s="45"/>
      <c r="R29" s="45"/>
    </row>
    <row r="30" customFormat="false" ht="15" hidden="false" customHeight="false" outlineLevel="0" collapsed="false">
      <c r="A30" s="50"/>
      <c r="B30" s="50" t="s">
        <v>97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48"/>
      <c r="O30" s="48"/>
      <c r="P30" s="45"/>
      <c r="Q30" s="45"/>
      <c r="R30" s="45"/>
    </row>
    <row r="31" customFormat="false" ht="15" hidden="false" customHeight="false" outlineLevel="0" collapsed="false">
      <c r="A31" s="50"/>
      <c r="B31" s="50" t="s">
        <v>98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48"/>
      <c r="O31" s="48"/>
      <c r="P31" s="45"/>
      <c r="Q31" s="45"/>
      <c r="R31" s="45"/>
    </row>
    <row r="32" customFormat="false" ht="15" hidden="false" customHeight="false" outlineLevel="0" collapsed="false">
      <c r="A32" s="50"/>
      <c r="B32" s="50" t="s">
        <v>99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48"/>
      <c r="O32" s="48"/>
      <c r="P32" s="45"/>
      <c r="Q32" s="45"/>
      <c r="R32" s="45"/>
    </row>
    <row r="33" customFormat="false" ht="15.75" hidden="false" customHeight="false" outlineLevel="0" collapsed="false">
      <c r="A33" s="50"/>
      <c r="B33" s="45"/>
      <c r="C33" s="45"/>
      <c r="D33" s="45"/>
      <c r="F33" s="45"/>
      <c r="G33" s="45"/>
      <c r="H33" s="45"/>
      <c r="I33" s="45"/>
      <c r="J33" s="45"/>
      <c r="K33" s="45"/>
      <c r="L33" s="45"/>
      <c r="M33" s="45"/>
      <c r="N33" s="48"/>
      <c r="O33" s="48"/>
      <c r="P33" s="45"/>
      <c r="Q33" s="45"/>
      <c r="R33" s="45"/>
    </row>
    <row r="34" customFormat="false" ht="15.75" hidden="false" customHeight="false" outlineLevel="0" collapsed="false">
      <c r="A34" s="50"/>
      <c r="B34" s="45"/>
      <c r="C34" s="45"/>
      <c r="D34" s="45"/>
      <c r="F34" s="45"/>
      <c r="G34" s="45"/>
      <c r="H34" s="45"/>
      <c r="I34" s="45"/>
      <c r="J34" s="45"/>
      <c r="K34" s="45"/>
      <c r="L34" s="45"/>
      <c r="M34" s="45"/>
      <c r="N34" s="48"/>
      <c r="O34" s="48"/>
      <c r="P34" s="45"/>
      <c r="Q34" s="45"/>
      <c r="R34" s="45"/>
    </row>
  </sheetData>
  <mergeCells count="38">
    <mergeCell ref="F1:I1"/>
    <mergeCell ref="M2:O2"/>
    <mergeCell ref="A3:O3"/>
    <mergeCell ref="A5:A7"/>
    <mergeCell ref="B5:B7"/>
    <mergeCell ref="C5:C7"/>
    <mergeCell ref="D5:D7"/>
    <mergeCell ref="E5:G5"/>
    <mergeCell ref="H5:K5"/>
    <mergeCell ref="L5:L7"/>
    <mergeCell ref="M5:M7"/>
    <mergeCell ref="N5:N7"/>
    <mergeCell ref="O5:O7"/>
    <mergeCell ref="P5:P7"/>
    <mergeCell ref="I12:J12"/>
    <mergeCell ref="B14:K14"/>
    <mergeCell ref="L14:N14"/>
    <mergeCell ref="P14:Q14"/>
    <mergeCell ref="B15:K15"/>
    <mergeCell ref="L15:N15"/>
    <mergeCell ref="P15:Q15"/>
    <mergeCell ref="B16:K16"/>
    <mergeCell ref="L16:N16"/>
    <mergeCell ref="P16:Q16"/>
    <mergeCell ref="B17:K17"/>
    <mergeCell ref="L17:N17"/>
    <mergeCell ref="P17:Q17"/>
    <mergeCell ref="B18:K18"/>
    <mergeCell ref="L18:N18"/>
    <mergeCell ref="P18:Q18"/>
    <mergeCell ref="B19:K19"/>
    <mergeCell ref="L19:N19"/>
    <mergeCell ref="P19:Q19"/>
    <mergeCell ref="B20:K20"/>
    <mergeCell ref="L20:N20"/>
    <mergeCell ref="P20:Q20"/>
    <mergeCell ref="B21:K21"/>
    <mergeCell ref="L21:N21"/>
  </mergeCells>
  <conditionalFormatting sqref="F8">
    <cfRule type="colorScale" priority="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8">
    <cfRule type="colorScale" priority="3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L8:L9 M10">
    <cfRule type="colorScale" priority="4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9:K9">
    <cfRule type="colorScale" priority="5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E10:L10">
    <cfRule type="colorScale" priority="6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G8:K8">
    <cfRule type="colorScale" priority="7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C5"/>
  <sheetViews>
    <sheetView showFormulas="false" showGridLines="true" showRowColHeaders="true" showZeros="true" rightToLeft="false" tabSelected="false" showOutlineSymbols="true" defaultGridColor="true" view="normal" topLeftCell="A1" colorId="64" zoomScale="140" zoomScaleNormal="140" zoomScalePageLayoutView="100" workbookViewId="0">
      <selection pane="topLeft" activeCell="C11" activeCellId="0" sqref="C11"/>
    </sheetView>
  </sheetViews>
  <sheetFormatPr defaultColWidth="8.71484375" defaultRowHeight="15" zeroHeight="false" outlineLevelRow="0" outlineLevelCol="0"/>
  <cols>
    <col collapsed="false" customWidth="true" hidden="false" outlineLevel="0" max="1" min="1" style="0" width="11.57"/>
    <col collapsed="false" customWidth="true" hidden="false" outlineLevel="0" max="2" min="2" style="0" width="13.86"/>
  </cols>
  <sheetData>
    <row r="1" customFormat="false" ht="15" hidden="false" customHeight="false" outlineLevel="0" collapsed="false">
      <c r="A1" s="0" t="s">
        <v>3384</v>
      </c>
      <c r="B1" s="0" t="n">
        <v>2</v>
      </c>
    </row>
    <row r="2" customFormat="false" ht="15" hidden="false" customHeight="false" outlineLevel="0" collapsed="false">
      <c r="A2" s="0" t="s">
        <v>3385</v>
      </c>
      <c r="B2" s="0" t="n">
        <v>1</v>
      </c>
    </row>
    <row r="3" customFormat="false" ht="15" hidden="false" customHeight="false" outlineLevel="0" collapsed="false">
      <c r="A3" s="0" t="s">
        <v>3386</v>
      </c>
      <c r="B3" s="0" t="s">
        <v>3387</v>
      </c>
    </row>
    <row r="4" customFormat="false" ht="15" hidden="false" customHeight="false" outlineLevel="0" collapsed="false">
      <c r="A4" s="0" t="s">
        <v>3388</v>
      </c>
      <c r="B4" s="75" t="n">
        <v>45608</v>
      </c>
    </row>
    <row r="5" customFormat="false" ht="15" hidden="false" customHeight="false" outlineLevel="0" collapsed="false">
      <c r="A5" s="940" t="s">
        <v>3389</v>
      </c>
      <c r="B5" s="940" t="n">
        <v>9</v>
      </c>
      <c r="C5" s="0" t="s">
        <v>3390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16</TotalTime>
  <Application>LibreOffice/24.8.2.1$Linux_X86_64 LibreOffice_project/480$Build-1</Application>
  <AppVersion>15.0000</AppVersion>
  <Company>Microsoft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2018-04-18T10:06:00Z</dcterms:created>
  <dc:creator>Виталий В.. Кашин</dc:creator>
  <dc:description/>
  <dc:language>ru-RU</dc:language>
  <cp:lastModifiedBy/>
  <cp:lastPrinted>2024-05-13T08:01:51Z</cp:lastPrinted>
  <dcterms:modified xsi:type="dcterms:W3CDTF">2024-11-12T12:59:29Z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